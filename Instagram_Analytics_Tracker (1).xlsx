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ow To Use" sheetId="1" r:id="rId5"/>
    <sheet state="visible" name="Dashboard" sheetId="2" r:id="rId6"/>
    <sheet state="visible" name="Manual Entry" sheetId="3" r:id="rId7"/>
    <sheet state="visible" name="Overall Analytics" sheetId="4" r:id="rId8"/>
    <sheet state="visible" name="Best Reels" sheetId="5" r:id="rId9"/>
    <sheet state="visible" name="Best Carousels" sheetId="6" r:id="rId10"/>
    <sheet state="visible" name="Monthly Comparison" sheetId="7" r:id="rId11"/>
    <sheet state="hidden" name="Lists" sheetId="8" r:id="rId12"/>
    <sheet state="visible" name="Calc" sheetId="9" r:id="rId13"/>
  </sheets>
  <definedNames>
    <definedName name="CT_Diabetes">Lists!$E$2:$E$7</definedName>
    <definedName name="FMT_Longevity">Lists!$O$2:$O$20</definedName>
    <definedName name="FMT_Obesity">Lists!$L$2:$L$9</definedName>
    <definedName name="Pillars_List">Lists!$A$2:$A$6</definedName>
    <definedName name="CT_Kids">Lists!$G$2:$G$6</definedName>
    <definedName name="All_ContentTypes">Lists!$T$2:$T$23</definedName>
    <definedName name="Avatars_List">Lists!$C$2:$C$8</definedName>
    <definedName name="CT_Obesity">Lists!$F$2:$F$5</definedName>
    <definedName name="FMT_Diabetes">Lists!$K$2:$K$18</definedName>
    <definedName name="FMT_Nutrition_Myths">Lists!$N$2:$N$4</definedName>
    <definedName name="CT_Nutrition_Myths">Lists!$H$2</definedName>
    <definedName name="CT_Longevity">Lists!$I$2:$I$7</definedName>
    <definedName name="FMT_Kids">Lists!$M$2:$M$16</definedName>
    <definedName name="All_Formats">Lists!$U$2:$U$63</definedName>
  </definedNames>
  <calcPr/>
</workbook>
</file>

<file path=xl/sharedStrings.xml><?xml version="1.0" encoding="utf-8"?>
<sst xmlns="http://schemas.openxmlformats.org/spreadsheetml/2006/main" count="711" uniqueCount="299">
  <si>
    <t>Instagram Analytics Tracker — How This Works</t>
  </si>
  <si>
    <t>1. Where You Enter Data</t>
  </si>
  <si>
    <t>Go to the 'Manual Entry' sheet — it's the ONLY sheet you touch. Fill in Date, Title, Caption, then pick Content Pillar from the dropdown. Content Type and Format dropdowns will automatically filter to match your chosen Pillar. Post Type (Reel/Carousel) fills in automatically based on the Format you pick — you never set it manually. Then enter Views, Likes, Comments, Shares, Saves and Accounts Reached. Every other sheet updates instantly.</t>
  </si>
  <si>
    <t>2. How 'Best Reel' / 'Best Carousel' Is Calculated</t>
  </si>
  <si>
    <t>Raw totals aren't compared directly (a Reel with huge Views but no engagement isn't automatically 'best'). Instead, each post is scored on 5 metrics — Views, Like Rate, Comment Rate, Share Rate and Save Rate (rates are relative to Accounts Reached, so posts that reach fewer people aren't unfairly penalized). Each metric is converted to a percentile rank against similar posts in the same period, then combined into a single weighted score:
   Reels:      20% Views + 15% Likes + 25% Comments + 25% Shares + 15% Saves
   Carousels: 10% Views + 10% Likes + 20% Comments + 30% Shares + 30% Saves
Carousels weight Shares and Saves higher because people share/save carousels for reference far more than Reels — that's the strongest quality signal for that format.</t>
  </si>
  <si>
    <t>3. What Each Sheet Shows</t>
  </si>
  <si>
    <t>• Overall Analytics — totals, best pillar, best avatar, engagement rate
• Best Reels / Best Carousels — this week's &amp; this month's winner, plus weekly leaderboard, monthly leaderboard, and all-time Top 20 ranking
• Monthly Comparison — previous vs current month, growth %, best pillar/avatar per month
• Dashboard — one-page overview with KPIs, top performers, and charts</t>
  </si>
  <si>
    <t>4. Capacity &amp; Extending It</t>
  </si>
  <si>
    <t>The tracker supports up to 500 posts out of the box, and leaderboards cover the most recent 60 weeks and 30 months. If you outgrow this, the formulas can be dragged down further — just ask and it can be expanded.</t>
  </si>
  <si>
    <t>5. A Note on Color Coding</t>
  </si>
  <si>
    <t>Blue text = manual input. Green text = automatic formulas. Never type over green cells — they recalculate on their own.</t>
  </si>
  <si>
    <t>📊 Instagram Analytics Dashboard</t>
  </si>
  <si>
    <t>Complete overview — pulls live from all other sheets. Do not edit this sheet.</t>
  </si>
  <si>
    <t>Total Posts</t>
  </si>
  <si>
    <t>Total Reels</t>
  </si>
  <si>
    <t>Total Carousels</t>
  </si>
  <si>
    <t>Total Views</t>
  </si>
  <si>
    <t>Total Accounts Reached</t>
  </si>
  <si>
    <t>Overall Engagement Rate</t>
  </si>
  <si>
    <t>Pillar</t>
  </si>
  <si>
    <t>Views</t>
  </si>
  <si>
    <t>Diabetes</t>
  </si>
  <si>
    <t>Obesity</t>
  </si>
  <si>
    <t>This Week &amp; This Month — Top Performers</t>
  </si>
  <si>
    <t>Kids</t>
  </si>
  <si>
    <t>Best Reel — This Week</t>
  </si>
  <si>
    <t>Best Carousel — This Week</t>
  </si>
  <si>
    <t>Best Reel — This Month</t>
  </si>
  <si>
    <t>Best Carousel — This Month</t>
  </si>
  <si>
    <t>Nutrition Myths</t>
  </si>
  <si>
    <t>Longevity</t>
  </si>
  <si>
    <t>Avatar</t>
  </si>
  <si>
    <t>Diabetes Patient</t>
  </si>
  <si>
    <t>Parents</t>
  </si>
  <si>
    <t>Working Professional</t>
  </si>
  <si>
    <t>Senior Adult</t>
  </si>
  <si>
    <t>Health Enthusiast</t>
  </si>
  <si>
    <t>Weight Loss</t>
  </si>
  <si>
    <t>Womens</t>
  </si>
  <si>
    <t>Month</t>
  </si>
  <si>
    <t>Date</t>
  </si>
  <si>
    <t>Reel/Carousel Title</t>
  </si>
  <si>
    <t>Caption</t>
  </si>
  <si>
    <t>Content Pillar</t>
  </si>
  <si>
    <t>Content Type</t>
  </si>
  <si>
    <t>Format</t>
  </si>
  <si>
    <t>Post Type (Auto)</t>
  </si>
  <si>
    <t>Audience Avatar</t>
  </si>
  <si>
    <t>Likes</t>
  </si>
  <si>
    <t>Comments</t>
  </si>
  <si>
    <t>Shares</t>
  </si>
  <si>
    <t>Saves</t>
  </si>
  <si>
    <t>Accounts Reached</t>
  </si>
  <si>
    <t>15 Minutes Night Routine for Diabetics</t>
  </si>
  <si>
    <t>🚨 Diabetes Patients… Don’t Skip
This 15-Minute Night Routine!
Morning walking is good… but what if I told you there’s
a more powerful habit for controlling blood sugar? 👀
After dinner, just walk for 15 minutes inside your home
or on your terrace. When your leg muscles start
moving, they use the excess sugar in your blood for
energy. 🩸➡️⚡
Experts say this simple habit can help reduce sugar
levels by 20–30 points consistently. Small daily actions
like this can become a major step in your diabetes
reversal journey. 💪
A healthy lifestyle without depending completely on
medicines is possible — when you follow the right
scientifically-backed habits.
Comment “SUGAR” below 🍬
I’ll send you the details directly to your inbox. 📩
diabetes reversal, night walking, blood sugar control,
post dinner walk, diabetes management, sugar
reduction, healthy lifestyle, insulin sensitivity, walking
after dinner, natural diabetes control, diabetes tips,
scientific health habits"
#Diabetes #HealthTips #HealthyLifestyle
#FitnessMotivation #WellnessJourney #DiabetesCare
#BloodSugarControl #WalkingBenefits
#DiabetesManagement #InsulinResistance
#SugarControl #HealthyHabits #LifestyleMedicine
#PostDinnerWalk #NaturalHealing #NightWalking
#DiabetesReversalJourney #ReverseDiabetesNaturally
#SugarLevelControl #15MinuteWalk #TerraceWalking
#IndianHealthTips #PrediabetesCare
#MedicineFreeLifestyle #GlucoseManagement</t>
  </si>
  <si>
    <t>Talking Head with or without Props</t>
  </si>
  <si>
    <t>Summer Hydration Guide</t>
  </si>
  <si>
    <t>💧 Are you drinking enough water this
summer... or just guessing?
Hydration needs change with age, weather, pregnancy,
and even how much you sweat. From babies to older
adults, staying hydrated is one of the simplest ways to
protect your health during hot summer months. ☀️
Quick hydration check:
🟡 Pale yellow urine = Well hydrated
🟠 Dark yellow = Time to drink water
⚪ Colourless = You may be overhydrated
Save this guide for your family and make sure
everyone stays hydrated this summer! 💙
👇 Which summer drink is your favorite?
🥥 Tender Coconut Water
🥛 Buttermilk
🍉 Watermelon Juice
🍋 Lemon Water
🌾 Ragi Koozh
#Hydration #HealthyLifestyle #SummerHealth
#DrinkWater #WellnessJourney HydrationTips</t>
  </si>
  <si>
    <t>Carousel - Answering Questions</t>
  </si>
  <si>
    <t>5 health habits that cost zero rupees</t>
  </si>
  <si>
    <t>Your health doesn’t change with
expensive supplements…
It changes with simple daily habits. 💯
These 5 FREE habits can improve your energy, sleep,
sugar levels, and overall health starting from
tomorrow👇
✅ Walk 10 minutes after every meal
✅ Eat vegetables &amp; protein before rice
✅ Drink water before meals
✅ No phone 30 mins before sleep
✅ Get sunlight within 10 mins of waking up ☀️
Small habits. Massive results.
Most people know WHAT to do…
But consistency starts when habits become simple and
practical.
Save this reel and start following at least ONE habit
today. ❤️
Share this with your friends &amp; family who want a
healthier life.
#HealthyLifestyle #HealthTips #Wellness
#FitnessMotivation #HealthyLiving</t>
  </si>
  <si>
    <t>5 Indian Spices supporting Blood sugar</t>
  </si>
  <si>
    <t>🚨 Blood sugar control may be hiding
in your kitchen! 🌿
These 5 Indian spices have been clinically studied for
their potential role in supporting healthy blood sugar
levels:
✅ Fenugreek (Vendhayam)
✅ Cinnamon (Pattai)
✅ Ginger (Inji)
✅ Amla (Nellikai)
✅ Turmeric (Manjal)
From slowing sugar absorption to supporting insulin
sensitivity, these everyday ingredients may offer
additional support alongside a healthy lifestyle. 💚
blood sugar control, diabetes management, Indian
spices, fenugreek benefits, cinnamon for diabetes,
ginger benefits, amla health benefits, turmeric benefits,
insulin sensitivity, glucose metabolism, diabetic diet,
natural blood sugar support
#diabetes #healthtips #healthylifestyl #nutrition
#wellnes
#bloodsugarcontrol #DiabetesAwareness
#HealthyEating #PreventiveHealth #naturalremedies
#insulinsensitivity #glucosecontrol #diabeticdiet
#functionalnutrition #fenugreekbenefits
#cinnamonbenefits #gingerforhealth #amlabenefit
#TurmericBenefits #IndianSpices #bloodsugarsupport
#diabeteseducation #healthyglucose #doctorfarmer</t>
  </si>
  <si>
    <t>ICMR Warning about Coffee on Empty Stomach</t>
  </si>
  <si>
    <t>☕ Drinking tea or coffee first thing in
the morning? You may want to rethink that.
According to ICMR guidelines, having tea or coffee on
an empty stomach can increase acidity and may
contribute to stomach-related issues. Excess caffeine
and sugar can also affect blood sugar levels and
reduce calcium absorption.
✅ Drink fewer cups
✅ Avoid tea or coffee on an empty stomach
✅ Have it after a meal instead
Small changes in your daily routine can make a big
difference to your long-term health.
📌 Save this post for later and share it with every tea &amp;
coffee lover in your family! ☕❤️
#HealthTips #HealthyLifestyle #Wellness #Nutrition
#HealthyLiving #TeaLovers #CoffeeLovers
#MorningRoutine #DigestiveHealth
#BloodSugarControl #AcidityRelief #GutHealth
#HealthyHabits #PreventiveHealth #NutritionTips
#ICMR #EmptyStomachTea #EmptyStomachCoffee
#CaffeineAwareness #HealthyMorningHabits
#TeaAndHealth #CoffeeAndHealth #IndianHealthTips
#DoctorFarmer #DailyHealthAdvice</t>
  </si>
  <si>
    <t>Breakfast is doing more harm than good</t>
  </si>
  <si>
    <t>🚨 Your breakfast might be doing more
harm than good!
Most people think they're starting the day healthy, but
one simple breakfast mistake could be causing energy
crashes, constant hunger, weight gain, and even
increasing the risk of diabetes.
The good news? You don't have to give up your
favorite foods. A few smart changes and adding more
protein can help you stay full longer, reduce cravings,
and support better overall health. 💪🥚🥗
Save this reel so you can make healthier breakfast
choices every morning! 📌
👉 Follow for more simple health and nutrition tips
every day.</t>
  </si>
  <si>
    <t>☕️Stop drinking tea or coffee on an empty
stomach!
According to recent guidelines from the Indian Council of Medical Research (ICMR), starting your day with tea or coffee before eating may increase acidity, digestive discomfort, and ulcer-related issues.
Not only that, excess caffeine and sugar can contribute to blood sugar spikes and may affect calcium absorption over time.
Simple fix:
• Reduce your daily tea/coffee intake
• Have it after a meal instead of on an empty stomach
• Make small changes that support long-term health
Your morning habits matter more than you think.
Tag a tea or coffee lover who needs to see this and share this with your friends and family!</t>
  </si>
  <si>
    <t>Lack of Sleep increase blood sugar more than rice</t>
  </si>
  <si>
    <t>🚨 Think rice is the biggest reason
your sugar levels are high?
What if I told you that just ONE night of poor sleep can
raise your blood sugar even more? 😳
When you don't sleep properly, your body produces a
stress hormone called cortisol. This hormone signals
your liver to release stored sugar into your
bloodstream, causing your sugar levels to spike the
very next morning.
Diabetes is not just about food. Sleep, stress, activity,
and lifestyle habits all play a major role.
The good news? When you understand the real
reasons behind high blood sugar and make the right
lifestyle changes, better control is possible.
Let's find the root cause and create a plan that works
for you. ❤️
#Diabetes #HealthTips #HealthyLifestyle #BloodSugar
#WellnessJourney #DiabetesManagement
#BloodSugarControl #Type2Diabetes
#DiabetesAwareness #HealthyLivingTips
#MetabolicHealth</t>
  </si>
  <si>
    <t>Night walking better than Morning walking</t>
  </si>
  <si>
    <t>🚶‍♂️ Most people with diabetes focus
only on morning walks...
But what if a simple 15-minute walk after dinner could
help lower your blood sugar more effectively? 🌙
When you walk after your evening meal, your leg
muscles use excess glucose from your bloodstream as
energy. This can help reduce post-meal sugar spikes
and support better blood sugar management. 📉
Small daily habits create big health transformations.
Consistency is the key to your diabetes reversal
journey. 💙
Want to learn more science-backed strategies to
reduce sugar levels naturally and move towards a
medicine-free lifestyle?
#Diabetes #HealthTips #HealthyLifestyle
#WellnessJourney</t>
  </si>
  <si>
    <t>3 Mistakes in Morning Breakfast</t>
  </si>
  <si>
    <t>🚨 Your breakfast may be the reason
you're always hungry!
Most people think they're eating a healthy breakfast...
but 9 out of 10 are making a mistake that can lead to
frequent hunger, weight gain, and even diabetes.
🍽️ Starting your day with only idli, dosa, chapati, or
puri can cause blood sugar spikes and make you crave
snacks within hours.
✅ The solution? Add more protein to your breakfast!
Eggs, sundal, vegetables, and balanced portions of
your favorite foods can keep you full longer, reduce
junk food cravings, and support better health.
Save this post for your next breakfast 🍳 and share it
with someone who needs to know this! Follow for more
simple health tips every day. 💙</t>
  </si>
  <si>
    <t>🍚 Think rice is the biggest reason
your sugar levels go up?
What if I told you that just ONE night of poor sleep can
raise your blood sugar even more?
When you don't sleep properly, your body releases a
stress hormone called cortisol. This hormone signals
your liver to release stored sugar into your
bloodstream, causing your glucose levels to spike the
very next morning.
Diabetes is not just about food. Sleep, stress,
hormones, and lifestyle all play a major role.
The good news? When you understand the real causes
and make the right lifestyle changes, transformation
becomes possible.
#Diabetes #HealthTips #HealthyLifestyle #Wellness
#BloodSugar
#DiabetesAwareness #BloodSugarControl
#InsulinResistance #GlucoseManagement
#HealthyLiving</t>
  </si>
  <si>
    <t>Fruit mistakes diabetics make</t>
  </si>
  <si>
    <t xml:space="preserve">🍎 Same fruit. Different impact.
Most people think eating an apple and drinking apple
juice are the same. They’re not.
When you eat a whole fruit, you get the natural fiber
that helps slow down sugar absorption and supports
better blood sugar control.
When you drink fruit juice, much of that fiber is
removed, allowing sugar to enter the bloodstream
much faster.
The lesson isn't to fear fruit—it's to understand the
right way to consume it.
Choose whole fruits more often than fruit juices for
better metabolic health, stable energy, and improved
glucose management. 💪
#HealthyLifestyle #Nutrition #DiabetesAwareness
#HealthTips #WellnessJourney #BloodSugarControl
#HealthyEatingHabits #MetabolicHealth
#NutritionEducation
</t>
  </si>
  <si>
    <t>⚠️ The biggest mistake people make
with fruits...
Many people avoid junk food but unknowingly drink
their fruits every day.
Here’s the problem👇
🍎 When you eat a whole apple, the fiber acts like a
natural brake, slowing how quickly sugar enters your
bloodstream.
🥤 When you drink apple juice, that protective fiber is
largely missing, allowing sugar to hit your blood much
faster.
The fruit isn’t the problem.
The way you consume it matters.
Small daily choices can have a big impact on your
energy levels, blood sugar, and long-term health.
Choose the fruit. Skip the juice when possible. 💯
💬 What’s your favorite fruit? Tell me in the comments!
#HealthEducation #HealthyLiving #NutritionTips
#Wellness #DiabetesAwareness BloodSugar
HealthyChoices NutritionCoach HealthyHabits
MetabolicHealth GlucoseControl HealthyDietTips
FiberBenefits EatRealFood</t>
  </si>
  <si>
    <t>Ragi - Kids Best drink for growth</t>
  </si>
  <si>
    <t>🚨 Stop spending on expensive health
drinks when nature already has a better option for your
kids!
Ragi is a nutritional powerhouse packed with calcium,
iron, and essential B vitamins that support healthy
growth, stronger bones, and better dental
development. 💪🦴✨
Instead of relying only on commercial health drinks, try
adding a homemade ragi drink with jaggery to your
child's daily routine. It's simple, nutritious, and rooted
in traditional wisdom. 🌾
Small food choices today can create healthier, stronger
kids tomorrow.
👉 Do you give ragi to your children? Share your
favorite ragi recipe in the comments below!
#HealthyKids #KidsNutrition #HealthyEating
#ParentingTips #NutritionMatters #RagiBenefits
#MilletPower #HealthyParenting</t>
  </si>
  <si>
    <t>Stop spending money on health drinks
without knowing this...
There’s a traditional superfood that can be even more
nutritious for your child than many popular malt-based
drinks.
🌾 Ragi is packed with nutrients and contains
significantly more calcium than milk, along with iron
and essential B vitamins.
When prepared with natural jaggery and included
regularly in your child's diet, it can support:
✅ Strong bones
✅ Healthy growth
✅ Better dental development
✅ Overall nutrition
Sometimes the best nutrition isn't found in a
packet—it's already in our traditional foods.
Have you tried giving ragi to your kids? Share your
experience in the comments 👇 and save this post for
other parents!
#HealthyKids #Nutrition #HealthyEating #ParentingTips
#KidsHealth #Ragi #Millets #HealthyFoodForKids
#ChildNutrition #HealthyParenting</t>
  </si>
  <si>
    <t>Tips for Effective sleep</t>
  </si>
  <si>
    <t>😴 Still struggling to sleep at night?
Most people think insomnia is a nighttime problem. But
the real solution starts long before bedtime.
✅ Reset your body clock
✅ Avoid bright white lights after 7 PM
✅ Keep your bedroom completely dark
✅ Stay active in the evening
✅ Avoid afternoon naps
Small changes in your daily routine can dramatically
improve your sleep quality and help your body produce
melatonin naturally.
Good sleep isn't a luxury—it's the foundation of your
health. 🌙✨
Which of these sleep hacks are you going to try
tonight? Let me know in the comments below! 👇
Save this reel and share it with someone who struggles
with sleep. 💙
#SleepTips #Insomnia #HealthyLifestyle
#WellnessJourney #HealthTips
#BetterSleep #SleepHealth #SleepRoutine #DeepSleep
#CircadianRhythm</t>
  </si>
  <si>
    <t>4 Truths about Periods Blood</t>
  </si>
  <si>
    <t>🩸 உங்கள் மாதவிடாய் ரத்தம் வெறும்
ரத்தப்போக்கு அல்ல...
அது உங்கள் ஹார்மோன்கள், ஊட்டச்சத்து நிலை, மன
அழுத்தம் மற்றும் உடல்நலத்தைப் பற்றி முக்கியமான
தகவல்களை சொல்லும் ஒரு சிக்னல். 👩‍⚕️
✔️ 3 நாட்களுக்கும் குறைவான மாதவிடாய்
✔️ அதிக ரத்தப்போக்கும் கட்டிகளும்
✔️ மாதவிடாய்க்கு முன்பே ரத்தக் கசிவு
✔️ ஒழுங்கற்ற சுழற்சி
✔️ அதிக வலியுடன் வரும் மாதவிடாய்
இவை அனைத்திற்கும் உடல் ஏதோ ஒரு காரணத்தை
காட்டிக்கொண்டு இருக்கலாம்.
இந்த carousel-ஐ முழுவதும் படித்து, உங்கள் உடல்
சொல்லும் செய்தியை புரிந்துகொள்ளுங்கள். 💜
📌 இந்த பதிவை சேமித்து வையுங்கள்.
📤 பெண்கள் அனைவருக்கும் பகிருங்கள்.
💬 உங்களுடைய மாதவிடாய் அனுபவம் இதில் எதனுடன்
தொடர்புடையது என்பதை கமெண்டில் சொல்லுங்கள்.
#HormoneHealth #PeriodHealth #WomensHealth
#HealthyHormones #TamilHealth #MyHealthSchool</t>
  </si>
  <si>
    <t>New Office Opening</t>
  </si>
  <si>
    <t>A new office.
The same mission. ❤️
From a dream to a growing movement, we’re taking the
next step in our journey towards creating a healthier
world.
Welcome to the new home of My Health School. 🏢✨
This is not just an office.
It’s where ideas become impact, knowledge becomes
transformation, and lives change every day.
Thank you for being part of this journey. 🙏
#MyHealthSchool #NewOffice #NewBeginnings
#HealthEducation</t>
  </si>
  <si>
    <t>🏢✨ New Office. Bigger Vision. Greater Impact.
We’re excited to open the doors to the new My Health School office!
Thank you to our team, community, and supporters who made this possible. This is just the beginning. 🚀
#MyHealthSchool #NewOffice #Growth #HealthEducation #TeamMHS</t>
  </si>
  <si>
    <t>3 Best Fruits for Diabetrics</t>
  </si>
  <si>
    <t xml:space="preserve">🚨 Have Diabetes? Don't avoid ALL
fruits!
Many people believe that fruits should be completely
avoided if you have diabetes. But that's not entirely
true.
Here are 3 fruits that can be enjoyed as part of a
healthy diabetic diet:
✅ Guava – Rich in fiber and has a very low glycemic
load
✅ Gooseberry (Amla) – Packed with Vitamin C and
fiber
✅ Apple – High in fiber and helps support better
blood sugar control
⚠️ One important rule:
Eat them as whole fruits.
❌ No fruit juice
❌ No added sugar
Whole fruits contain fiber that helps slow down sugar
absorption and supports better glucose management.
#Diabetes #HealthyLifestyle #HealthyEating #Nutrition
#HealthTips #BloodSugarControl #DiabetesCare
#DiabeticDiet #DiabetesAwareness
</t>
  </si>
  <si>
    <t>Reducing Salt was a Wrong Advice</t>
  </si>
  <si>
    <t>🫀 Was Reducing Salt the Wrong
Advice?
For years, we've been told: "Eat less salt to protect
your heart." But recent research suggests the story
may be more complex.
✅ Not everyone needs the same amount of salt
✅ Extremely low sodium intake may not be ideal for
everyone
✅ Potassium-rich foods play a major role in heart
health
✅ Balance matters more than fear
The key takeaway? Instead of focusing only on
reducing salt, pay attention to your overall diet,
potassium intake, and individual health needs.
📌 Save this post for future reference.
📤 Share it with someone who still believes all salt is
bad.
#DoctorFarmer #DrPrabhakarRaj #HeartHealth
#SaltIntake #Potassium #HealthyLiving #NutritionFacts
#HealthAwareness #HealthEducation #HealthyLifestyle
#CardioHealth</t>
  </si>
  <si>
    <t>Diabetics Avoiding rice and taking Millets</t>
  </si>
  <si>
    <t>For appointment : 8925954625 /
7200424271
🚨 Stopped eating white rice and switched to millets
because of diabetes?
That alone may not be enough.
Many people believe millets are a free-pass
replacement for white rice. But the truth is, eating large
quantities of millets can still affect your blood sugar
levels.
✅ The real solution is balance:
• Controlled portions of millets
• More vegetables
• Adequate protein
• Better sleep
• Stress management
• Healthy lifestyle habits
Diabetes management is not about one food
change—it's about transforming your entire lifestyle.
If you've been struggling with diabetes for years and
want expert guidance to take control of your health,
we're here to help.
📞 Call the number below and book your appointment
today.
👉 Share this with someone who thinks millets alone
can reverse diabetes.
diabetes management, millet diet, blood sugar control,
diabetes reversal, healthy eating, glycemic index,
millet benefits, diabetes lifestyle, balanced diet, insulin
resistance, diabetes awareness, healthy nutrition
#Diabetes #HealthyLifestyle #BloodSugarControl
#Nutrition #HealthTips #DiabetesAwareness
#HealthyEating #WellnessJourney #LifestyleMedicine
#FoodAsMedicine #DiabetesCare #BalancedDiet
#InsulinResistance #LowGI #HealthyHabits #MilletDiet
#DiabetesEducation</t>
  </si>
  <si>
    <t>Indian croosing 45*c and Kidlneys Failing</t>
  </si>
  <si>
    <t>🌡️ வெயில் அதிகமானால் உடல்
மட்டுமல்ல... உங்கள் சிறுநீரகமும் பாதிக்கப்படலாம்!
கோடைக்காலத்தில் உடலில் நீர்ச்சத்து குறைவது,
எலக்ட்ரோலைட் சமநிலை பாதிப்பது, அதிக வியர்வை
போன்றவை சிறுநீரகங்களுக்கு கூடுதல் அழுத்தத்தை
ஏற்படுத்தலாம்.
நீங்கள் தெரிந்துகொள்ளப் போவது:
💧 வெயில் சிறுநீரகத்தை எப்படி பாதிக்கிறது?
⚠️ கவனிக்க வேண்டிய அறிகுறிகள் என்ன?
🥥 எந்த பானங்கள் உதவும்?
🧂 உப்பு, தண்ணீர், எலக்ட்ரோலைட் சமநிலை ஏன்
முக்கியம்?
✅ சிறுநீரகத்தை பாதுகாக்க தினசரி என்ன செய்ய
வேண்டும்?
👉 கடைசி s வரை Swipe செய்து உங்கள் சிறுநீரகங்களை
பாதுகாக்கும் எளிய வழிகளை தெரிந்துகொள்ளுங்கள்.
💙 இந்த தகவல் பயனுள்ளதாக இருந்தால் Like ❤️ | Save
📌 | Share 📤 செய்யுங்கள்.
#KidneyHealth #SummerHealth #HeatWave #Hydration
#Electrolytes #Dehydration #HealthyLifestyle
#PreventiveHealth #HealthEducation #DoctorFarmer
#TamilHealth #TamilReels #HealthTipsTamil</t>
  </si>
  <si>
    <t>2 techniques for weight loss</t>
  </si>
  <si>
    <t>🔥 Weight loss isn't just about **what
you eat... it's also about when you DON'T eat.**
Most people focus only on diet, but two simple habits
can make a huge difference:
✅ Intermittent Fasting (13–16 hours overnight)
✅ Mini Fasting (No snacks between meals)
These small changes can naturally reduce your daily
calorie intake and support your weight loss journey
without complicated diets.
Remember: The timing of your meals is just as
important as the food on your plate.
💬 Got a weight loss question? Drop it in the
comments, and I'll answer as many as I can!
❤️ Save this reel for later and share it with someone
who is trying to lose weight.
#WeightLoss #HealthyLifestyle #FitnessJourney
#Nutrition #FatLoss #IntermittentFasting
#CalorieDeficit #HealthyEating #WeightLossTips
#MealTiming #NutritionTips #HealthCoach
#HealthyHabits #FitnessMotivation</t>
  </si>
  <si>
    <t>Control Your Blood Pressure</t>
  </si>
  <si>
    <t>❤️ உங்கள் இதயம் தினமும்
உங்களுக்காக வேலை செய்கிறது… அதை பாதுகாப்பது
உங்கள் பொறுப்பு!
உயர் ரத்த அழுத்தம் (High Blood Pressure) அமைதியாக
உடலை பாதிக்கும் ஒரு "Silent Killer". ஆனால், சரியான
உணவு, நல்ல தூக்கம், சூரிய ஒளி, உடற்பயிற்சி மற்றும்
சில எளிய வாழ்க்கைமுறை மாற்றங்கள் மூலம் அதை
கட்டுப்படுத்த முடியும்.
இந்த கருசலில்:
✅ ரத்த அழுத்தத்தின் 3 முக்கிய காரணங்கள்
✅ 30 நாட்கள் செயல்திட்டம்
✅ உணவில் செய்ய வேண்டிய மாற்றங்கள்
✅ இதய ஆரோக்கியத்தை மேம்படுத்தும் பழக்கங்கள்
💙 இன்று தொடங்கும் ஒரு சிறிய மாற்றம், நாளைய பெரிய
ஆரோக்கியத்தை உருவாக்கும்.
📌 இந்த பதிவை Save செய்து வைத்துக்கொள்ளுங்கள்.
👨‍👩‍👧‍👦 இதய ஆரோக்கியம் தேவைப்படும் ஒருவருடன் Share
செய்யுங்கள்.
💬 உங்கள் Blood Pressure எவ்வளவு? Comment-ல்
பகிருங்கள்.
#HighBloodPressure #BloodPressure #HeartHealth
#HealthyHeart #HeartCare #Hypertension
#HealthyLifestyle #PreventiveHealth #Wellness
#HealthEducation #LifestyleMedicine #Nutrition
#Fitness #TamilHealth #TamilDoctor #HealthTips
#DoctorFarmer #IamDoctorFarmer #MyHealthSchool</t>
  </si>
  <si>
    <t>Doe eating sugar alone causes Diabetes?</t>
  </si>
  <si>
    <t>For appointment - 8925954625 /
7200424271
🚨 **Does eating sugar alone cause diabetes? The
answer might surprise you!**
Many people believe that sugar is the only reason
behind diabetes—but that's a myth.
Diabetes develops due to **insulin resistance**, which
is influenced by multiple factors such as:
🍚 Poor food choices
🛋️ Sedentary lifestyle
🚬 Smoking
💊 Overuse of medications
⚠️ Reduced metabolism
The good news? By addressing these root causes, it's
possible to improve your metabolic health and take
control of diabetes.
💙 You don't have to fight diabetes alone. Our team is
here to guide and support you on your journey toward
better health.
📞 Ready to take the first step? Call the number below
and book your appointment today.
💬 Comment **"DIABETES"** if you want to learn
more.
📌 Save this reel for future reference.
👨‍👩‍👧‍👦 Share it with someone who needs to hear this.
diabetes, insulin resistance, blood sugar, metabolic
health, diabetes reversal, healthy lifestyle, glucose,
nutrition, diabetes awareness, preventive healthcare,
lifestyle medicine, health education
#Diabetes #Health #HealthyLifestyle #Wellness
#Nutrition #DiabetesAwareness #BloodSugar
#MetabolicHealth #InsulinResistance #PreventDiabetes
#LifestyleMedicine #HealthEducation</t>
  </si>
  <si>
    <t>India 1990 Vs India 2026</t>
  </si>
  <si>
    <t>990-ல் வசதிகள் குறைவு... ஆனால்
ஆரோக்கியம் அதிகம்.
2026-ல் வசதிகள் அதிகம்... ஆனால் ஆரோக்கியம்
குறைகிறது.
தொழில்நுட்பம் எதிரி இல்லை.
அதை எப்படி பயன்படுத்துகிறோம் என்பதுதான் நம்
உடலையும், வாழ்க்கையையும் தீர்மானிக்கிறது.
🚶‍♂️ அதிகம் நடப்போம்.
🥗 இயற்கையான உணவை தேர்வு செய்வோம்.
😴 நல்ல தூக்கத்தை பழகுவோம்.
📱 Screen Time-ஐ குறைப்போம்.
❤️ குடும்பத்தோடு நேரம் செலவிடுவோம்.
மாற்றம் உலகத்தில் வேண்டாம்... முதலில் நம்மிடம்
ஆரம்பிக்கட்டும்.
👉 இந்த Carousel-ஐ முழுவதும் Swipe செய்து
பாருங்கள்.
💬 உங்களுக்கு 1990 வாழ்க்கையா? 2026 வாழ்க்கையா?
Comment-ல் சொல்லுங்கள்.
📌 Save செய்து உங்கள் நண்பர்களுக்கும் Share
செய்யுங்கள்.
#DoctorFarmer #MyHealthSchool #HealthyLifestyle
#HealthyLiving #DiabetesAwareness #PreventDiabetes
#LifestyleMedicine #FoodIsMedicine #EatNatural
#RealFood #HealthEducation #TamilHealth #TamilReels
#TamilContent #TamilCreator #WellnessJourney
#HealthyHabits</t>
  </si>
  <si>
    <t>Lifestyle more important than genetics</t>
  </si>
  <si>
    <t>🚨 Diabetes isn't your destiny—your
lifestyle matters more than your genetics.
Our grandparents worked from sunrise to sunset, ate
real food, and lived active lives. Diabetes was
rare—not because they had different genes, but
because they had a different lifestyle.
Today, our food, habits, and daily routines have
changed dramatically. The result? Diabetes has
become one of the biggest health challenges of our
generation.
The good news? Lifestyle can be changed. 💚
If you're living with diabetes and want to take the first
step toward improving your health, we're here to guide
and support you.
📞 Call the number below to book your appointment
and let our team help you begin your journey.
Call for the Daibetes Treatment - 8925954625 /
7200424271
diabetes, diabetes reversal, lifestyle disease, healthy
lifestyle, diabetes management, blood sugar control,
healthy eating, metabolic health, insulin resistance,
preventive healthcare, nutrition, lifestyle medicine
#Diabetes #Health #HealthyLifestyle #Wellness
#Nutrition #DiabetesAwareness #DiabetesCare
#BloodSugar #LifestyleMedicine #HealthyLiving
#MetabolicHealth #InsulinResistance
#PreventiveHealth</t>
  </si>
  <si>
    <t>3 Types of Fat</t>
  </si>
  <si>
    <t>உங்கள் உடல் எடை மட்டும் உங்கள்
ஆரோக்கியத்தை தீர்மானிக்காது! ⚠️
ஒல்லியாக இருந்தாலும் உடலுக்குள் ஆபத்தான கொழுப்பு
(Visceral Fat / TOFI) இருக்கலாம்.
இந்த பதிவில் தெரிந்து கொள்ளுங்கள்:
✅ Visceral Fat என்றால் என்ன?
✅ Subcutaneous Fat-க்கும் இதற்கும் என்ன
வித்தியாசம்?
✅ TOFI (Thin Outside, Fat Inside) என்றால் என்ன?
✅ உங்கள் இடுப்பளவு எவ்வளவு இருக்க வேண்டும்?
✅ உடலுக்குள் இருக்கும் கொழுப்பை குறைக்கும் 3 எளிய
வழிகள்.
இன்று முதல் Weight மட்டும் பார்க்காதீர்கள்...
Waist Size, Lifestyle, Metabolic Health-ஐயும்
கவனியுங்கள். 💙
இந்த தகவல் உங்களுக்கு பயனுள்ளதாக இருந்தால் ❤️
Like, 💬 Comment, 📤 Share செய்து உங்கள்
குடும்பத்தினருக்கும் நண்பர்களுக்கும் அனுப்புங்கள்.
👉 Follow @iamdoctorfarmer for evidence-based
health education.
#DoctorFarmer #IamDoctorFarmer #VisceralFat
#SubcutaneousFat #TOFI #ThinOutsideFatInside
#BellyFat #MetabolicHealth #HealthyLifestyle
#WaistCircumference #FatLoss #DiabetesPrevention</t>
  </si>
  <si>
    <t>Indian breakfast dangerous than cake</t>
  </si>
  <si>
    <t>🍽️ ஆரோக்கியமான உணவு என்றாலே
எல்லாமே குறைந்த இரத்த சர்க்கரை உயர்வை தரும் என்று
நினைக்கிறீர்களா?
ஒரு உணவின் Glycemic Index (GI) மட்டும் அல்ல, அதை
சாப்பிடும் முறை, அளவு, நேரம் ஆகியவையும் உங்கள்
இரத்த சர்க்கரையை பாதிக்கின்றன.
✅ ஆரோக்கியமான உணவையும் சரியான முறையில்
சாப்பிடுங்கள்.
✅ புரதம், நல்ல கொழுப்பு மற்றும் நார்ச்சத்து சேர்த்து
உணவை சமநிலைப்படுத்துங்கள்.
✅ நீண்ட நேரம் பசியோ, அதிக அளவு உணவோ
தவிர்க்கவும்.
சிறிய மாற்றங்கள் உங்கள் சர்க்கரை கட்டுப்பாட்டில் பெரிய
வித்தியாசத்தை உருவாக்கும். 💚
👉 இந்த carousel-ஐ Swipe செய்து முழு தகவலையும்
தெரிந்துகொள்ளுங்கள்.
📌 இந்த தகவல் பயனுள்ளதாக இருந்தால் Save செய்து,
உங்கள் நண்பர்கள் மற்றும் குடும்பத்தினருடன் Share
செய்யுங்கள்.
#DiabetesAwareness #DiabetesCare #BloodSugar
#BloodSugarControl #GlycemicIndex #HealthyEating
#HealthyLifestyle #Nutrition #HealthEducation
#PreventDiabetes #DiabetesManagement</t>
  </si>
  <si>
    <t>Factors affecting sleep</t>
  </si>
  <si>
    <t>😴 Your bedroom light could be the
reason you're not sleeping well.
Sleep isn't just rest—it's your body's natural medicine.
🌙✨ While you sleep, your body detoxifies, repairs
damaged cells, strengthens immunity, and restores
your energy.
But here's what most people don't know👇
💡 White LED and fluorescent lights emit blue
wavelengths that can suppress melatonin, your body's
natural sleep hormone. Less melatonin = poor sleep,
disrupted circadian rhythm, and waking up tired.
✅ After 7 PM, switch to warm yellow, amber, or
orange lighting and create a sleep-friendly
environment. It's one of the simplest habits that can
improve your sleep quality naturally.
💬 Did you know your evening lighting affects your
sleep? Share your thoughts below and save this reel
for your nighttime routine! 🌙💛
#Sleep #Health #Wellness #HealthyLifestyle #SelfCare
#SleepHealth #SleepHygiene #BetterSleep #Melatonin
#CircadianRhythm #BlueLight #EveningRoutine
#NaturalHealth</t>
  </si>
  <si>
    <t>Diabetes Then Vs Now</t>
  </si>
  <si>
    <t>🚨 Your grandfather didn't follow a diet
plan. He followed a lifestyle.
Same blood. Same rice. Same India.
So why did diabetes increase from 2.6 crore to 10.1
crore people?
Your grandfather's routine wasn't old-fashioned.
It was metabolic medicine.
💬 Which habit do you think made the biggest
difference? Tell us in the comments and share this with
someone who needs to see it today.
For Appointments:
+91 89259 54625
+91 72004 24271
#Diabetes #Health #HealthyLifestyle #Nutrition
#Wellness #DiabetesPrevention #BloodSugar
#MetabolicHealth #HealthyEating #InsulinResistance
#Prediabetes #LifestyleMedicine</t>
  </si>
  <si>
    <t>Not treating Diabetes, only managaing symptoms</t>
  </si>
  <si>
    <t>You’re not treating diabetes… you’re
just managing the symptoms. ⚠️
Imagine this: a blocked pipe.
Water stops flowing.
Do you fix the flow… or remove the blockage?
That’s exactly what’s happening with Type 2 Diabetes.
Most people focus on controlling sugar levels (the
“water”)…
But ignore the real problem — insulin resistance (the
blockage).
No medicine can fix what lifestyle created.
Until you clean the system, nothing truly changes.
The truth?
You can reduce dependency on medication.
You can regain control.
Thousands already have. 💪
For appointments:
+91 89259 54625
+91 72004 24271
#diabetes #type2diabetes #healthylifestyle
#bloodsugar #insulinresistance
#diabetesawareness #metabolichealth
#reversediabetes #healthjourney #wellnesscoach</t>
  </si>
  <si>
    <t>Talking Head - If You Feel/Have X, Check These Blood Markers</t>
  </si>
  <si>
    <t>Indian sitting for a whole day</t>
  </si>
  <si>
    <t>🚨 ஜிம் போறது மட்டும் போதாது... நாள்
முழுக்க உட்கார்ந்திருந்தால் உடல் அமைதியாக
பாதிக்கப்படும்! 😨
ஒரு நாளில் 10–12 மணி நேரம் தொடர்ந்து
உட்கார்ந்திருக்கும் பழக்கம், Visceral Fat மற்றும் Insulin
Resistance அபாயத்தை அதிகரிக்கலாம். ⚠️
நல்ல செய்தி? 🙌
இதற்கு தீர்வு பெரிய Workout இல்லை.
சிறிய அசைவுகள்... பெரிய ஆரோக்கிய மாற்றங்களை
உருவாக்கும். 💙
📌 இந்த பதிவை Save செய்து வையுங்கள்.
📤 "நான் ஜிம்முக்கு போறேன்... எனக்கு எதுவும் ஆகாது!"
என்று சொல்லும் நண்பருடன் உடனே பகிருங்கள்!
#HealthTips #HealthyLifestyle #Fitness #Wellness
#DiabetesAwareness #InsulinResistance
#MetabolicHealth #BloodSugar #PreventDiabetes
#OfficeHealth #DeskJob #MoveMore #HealthyHabits</t>
  </si>
  <si>
    <t>1 in 11 in India have Diabetes</t>
  </si>
  <si>
    <t>🚨 1 in 11 Indians already have Diabetes. 1 in 6 could be next… and many don't even know it.
Diabetes doesn't appear overnight—it develops silently for years before your blood test detects it.
If you think "I'm not overweight, so I'm safe," think again. Many Indians develop insulin resistance even at a normal BMI.
Watch for the early warning signs:
⚠️ Dark neck or underarms
⚠️ Sugar cravings after meals
The good news? Small lifestyle changes can make a big difference:
🥗 Eat salad → protein → carbs
🚶 Walk for 10 minutes after meals
Early awareness is your biggest advantage. Don't wait until diabetes finds you—take action before it's too late.
For Appointments:
+91 89259 54625
+91 72004 24271</t>
  </si>
  <si>
    <t>5 Foods harming Your Thyroid</t>
  </si>
  <si>
    <t>🚨 உங்கள் தைராய்டை மெதுவாக
பாதிக்கும் உணவுகள்... நீங்கள் தினமும்
சாப்பிடுகிறீர்களா? 😨
தைராய்டு பிரச்சினை மருந்தால் மட்டும் கட்டுப்படாது.
நீங்கள் தினமும் சாப்பிடும் சில உணவுகள் அயோடின்
பயன்பாட்டைத் தடுக்கவும், ஹார்மோன் உற்பத்தியை
பாதிக்கவும், தன்னெதிர்ப்பு (Autoimmune) தாக்குதல்களை
அதிகரிக்கவும் காரணமாக இருக்கலாம்.
❌ அதிக சோயா
❌ அதிகமாக பச்சையாக சாப்பிடும் முட்டைக்கோஸ்,
காலிஃபிளவர், ப்ரோக்கோலி
❌ Ultra-processed &amp; packaged foods
❌ Bromine உள்ள "Diet" foods
❌ அதிக Fluoride
அதற்கு பதிலாக, செலினியம், ஜிங்க் மற்றும் அயோடின்
நிறைந்த உணவுகளை சரியான முறையில் தேர்வு செய்வது
தைராய்டு ஆரோக்கியத்திற்கு உதவலாம். 💚
📌 இந்த தகவல் பயனுள்ளதாக இருந்தால் Save
செய்யுங்கள், Share செய்து மற்றவர்களுக்கும்
தெரியப்படுத்துங்கள், மேலும் தைராய்டு குறித்து
உங்களுக்கு இருக்கும் கேள்வியை Comments-ல் பதிவு
செய்யுங்கள்.
#Thyroid #HealthyEating #Nutrition #Wellness
#HealthTips #ThyroidHealth #Hypothyroidism
#ThyroidDiet #GutHealth #AutoimmuneHealth
#HormoneHealth #HealthyLifestyle #EatBetter</t>
  </si>
  <si>
    <t>Overall Analytics</t>
  </si>
  <si>
    <t>Auto-updates from Manual Entry — do not edit this sheet</t>
  </si>
  <si>
    <t>Total Likes</t>
  </si>
  <si>
    <t>Total Comments</t>
  </si>
  <si>
    <t>Total Shares</t>
  </si>
  <si>
    <t>Total Saves</t>
  </si>
  <si>
    <t>Content Pillar Performance</t>
  </si>
  <si>
    <t>Avg Performance Score</t>
  </si>
  <si>
    <t>Best Performing Pillar:</t>
  </si>
  <si>
    <t>Audience Avatar Performance</t>
  </si>
  <si>
    <t>Best Performing Avatar:</t>
  </si>
  <si>
    <t>Best Reels</t>
  </si>
  <si>
    <t>🏆 Best Reel — This Week</t>
  </si>
  <si>
    <t>🏆 Best Reel — This Month</t>
  </si>
  <si>
    <t>Views:</t>
  </si>
  <si>
    <t>Likes:</t>
  </si>
  <si>
    <t>Comments:</t>
  </si>
  <si>
    <t>Shares:</t>
  </si>
  <si>
    <t>Saves:</t>
  </si>
  <si>
    <t>Weekly Leaderboard — Best Reel Each Week (most recent first)</t>
  </si>
  <si>
    <t>Week Starting</t>
  </si>
  <si>
    <t>Title</t>
  </si>
  <si>
    <t>Reach</t>
  </si>
  <si>
    <t>Score</t>
  </si>
  <si>
    <t>Monthly Leaderboard — Best Reel Each Month (most recent first)</t>
  </si>
  <si>
    <t>All-Time Top 20 Reels — Ranked by Weighted Performance Score</t>
  </si>
  <si>
    <t>Rank</t>
  </si>
  <si>
    <t>Best Carousels</t>
  </si>
  <si>
    <t>🏆 Best Carousel — This Week</t>
  </si>
  <si>
    <t>🏆 Best Carousel — This Month</t>
  </si>
  <si>
    <t>Weekly Leaderboard — Best Carousel Each Week (most recent first)</t>
  </si>
  <si>
    <t>Monthly Leaderboard — Best Carousel Each Month (most recent first)</t>
  </si>
  <si>
    <t>All-Time Top 20 Carousels — Ranked by Weighted Performance Score</t>
  </si>
  <si>
    <t>Monthly Comparison</t>
  </si>
  <si>
    <t>Current Month:</t>
  </si>
  <si>
    <t>Previous Month:</t>
  </si>
  <si>
    <t>Previous Month vs Current Month</t>
  </si>
  <si>
    <t>ScorePrev</t>
  </si>
  <si>
    <t>ScoreCur</t>
  </si>
  <si>
    <t>Metric</t>
  </si>
  <si>
    <t>Previous Month</t>
  </si>
  <si>
    <t>Current Month</t>
  </si>
  <si>
    <t>Change</t>
  </si>
  <si>
    <t>Growth Rate (%)</t>
  </si>
  <si>
    <t>Content Pillar &amp; Avatar — Monthly Winners</t>
  </si>
  <si>
    <t>Best Pillar - Previous Month</t>
  </si>
  <si>
    <t>Best Pillar - Current Month</t>
  </si>
  <si>
    <t>Best Avatar - Previous Month</t>
  </si>
  <si>
    <t>Best Avatar - Current Month</t>
  </si>
  <si>
    <t>Key Performance Insights</t>
  </si>
  <si>
    <t>Pillars</t>
  </si>
  <si>
    <t>Audience Avatars</t>
  </si>
  <si>
    <t>CT: Diabetes</t>
  </si>
  <si>
    <t>CT: Obesity</t>
  </si>
  <si>
    <t>CT: Kids</t>
  </si>
  <si>
    <t>CT: Nutrition Myths</t>
  </si>
  <si>
    <t>CT: Longevity</t>
  </si>
  <si>
    <t>FMT: Diabetes</t>
  </si>
  <si>
    <t>FMT: Obesity</t>
  </si>
  <si>
    <t>FMT: Kids</t>
  </si>
  <si>
    <t>FMT: Nutrition Myths</t>
  </si>
  <si>
    <t>FMT: Longevity</t>
  </si>
  <si>
    <t>Post Type</t>
  </si>
  <si>
    <t>All Content Types</t>
  </si>
  <si>
    <t>All Formats</t>
  </si>
  <si>
    <t>Diabetes Food Choices</t>
  </si>
  <si>
    <t>Root Cause / Science Explanation</t>
  </si>
  <si>
    <t>Packaged Food Exposed</t>
  </si>
  <si>
    <t>Food &amp; Nutrition Myths</t>
  </si>
  <si>
    <t>Blood Marker</t>
  </si>
  <si>
    <t>One Specific Food as Q&amp;A - Reading a Comment</t>
  </si>
  <si>
    <t>Whiteboard / Motion Graphics Animation</t>
  </si>
  <si>
    <t>Food Label Live Decode - Talking Head with Prop</t>
  </si>
  <si>
    <t>Reading a Comment / DM</t>
  </si>
  <si>
    <t>Side Angle - One Marker Deep Dive</t>
  </si>
  <si>
    <t>Reel</t>
  </si>
  <si>
    <t>Diabetes Myth Busting</t>
  </si>
  <si>
    <t>Food Choices</t>
  </si>
  <si>
    <t>Ingredient Truth</t>
  </si>
  <si>
    <t>Clinic Content</t>
  </si>
  <si>
    <t>Ranking Diabetes Foods (Excellent/Good/Average/Danger)</t>
  </si>
  <si>
    <t>Analogy with Props</t>
  </si>
  <si>
    <t>Packaged Food - Never Give / Rarely Give / Freely Give</t>
  </si>
  <si>
    <t>Reaction to Viral Health Reel</t>
  </si>
  <si>
    <t>Transformation Story</t>
  </si>
  <si>
    <t>Myth</t>
  </si>
  <si>
    <t>Myth Busting Kids</t>
  </si>
  <si>
    <t>Longevity Nutrition and Supplements</t>
  </si>
  <si>
    <t>Diabetes Food Label Expose</t>
  </si>
  <si>
    <t>Plate Comparison - Calories</t>
  </si>
  <si>
    <t>Glass Jar Ingredient Reveal - Physical Ingredients Live</t>
  </si>
  <si>
    <t>Scientific Study Green Screen</t>
  </si>
  <si>
    <t>Carousel - Each Slide = One Test, What It Measures, Optimal Range</t>
  </si>
  <si>
    <t>Q and A</t>
  </si>
  <si>
    <t>Mental &amp; Emotional Side of Obesity</t>
  </si>
  <si>
    <t>Healthy Swap</t>
  </si>
  <si>
    <t>FAQ and Myth</t>
  </si>
  <si>
    <t>Carousel - Listicle / No.1 Food / Top 5 Food</t>
  </si>
  <si>
    <t>One Ingredient Deep Dive - Talking Head</t>
  </si>
  <si>
    <t>Equipment Science Explainer - Talking Head Live</t>
  </si>
  <si>
    <t>Diabetes Science</t>
  </si>
  <si>
    <t>General Topics</t>
  </si>
  <si>
    <t>Longevity Habits</t>
  </si>
  <si>
    <t>Podcast Style - Anchor and Doctor</t>
  </si>
  <si>
    <t>Ranking Format (Excellent/Good/Average/Danger)</t>
  </si>
  <si>
    <t>First Time Reaction + Clinic BTS - Cold Plunge/Sauna</t>
  </si>
  <si>
    <t>Diabetes Mistakes</t>
  </si>
  <si>
    <t>What's Slowly Killing Your Longevity</t>
  </si>
  <si>
    <t>Reaction Video / Organs Talking Animation</t>
  </si>
  <si>
    <t>Reaction to Viral Content (Santhosh Jacob)</t>
  </si>
  <si>
    <t>Carousel - Ingredient Glossary</t>
  </si>
  <si>
    <t>Client Testimonial - Filmed Inside Clinic</t>
  </si>
  <si>
    <t>Carousel / AI Video Story - Patient Transformation</t>
  </si>
  <si>
    <t>Rapid Fire - True or False</t>
  </si>
  <si>
    <t>Celebrity/Known Face First Visit</t>
  </si>
  <si>
    <t>Carousel</t>
  </si>
  <si>
    <t>Summit Testimony + Award Receiving Footage</t>
  </si>
  <si>
    <t>Raw Talking Head - No Filter - Mindset/Willpower - No CTA</t>
  </si>
  <si>
    <t>Reading a Parent Comment / DM</t>
  </si>
  <si>
    <t>One Nutrient Deep Dive</t>
  </si>
  <si>
    <t>Talking Head - Reversal Numbers Hook / HOF Interview Cuts</t>
  </si>
  <si>
    <t>Side by Side Comparison</t>
  </si>
  <si>
    <t>Longevity Superfoods - Tamil Kitchen Edition</t>
  </si>
  <si>
    <t>Reading a Comment</t>
  </si>
  <si>
    <t>Tiffin Box</t>
  </si>
  <si>
    <t>One Condition - Top 2-3 Recommendations Rapid Fire</t>
  </si>
  <si>
    <t>Carousel - FAQ Select One + CTA Appointment</t>
  </si>
  <si>
    <t>Cooking Video - 1 Min Healthy</t>
  </si>
  <si>
    <t>Reading a Comment/DM - Longevity, Nutrition</t>
  </si>
  <si>
    <t>Whiteboard / Motion Graphics Explainer</t>
  </si>
  <si>
    <t>My Kid - I Will/Won't Do This and Why (After a Month)</t>
  </si>
  <si>
    <t>Podcast - Supplement FAQ</t>
  </si>
  <si>
    <t>Analogy-Based Talking Head</t>
  </si>
  <si>
    <t>Scientific Studies / Big News - Green Screen</t>
  </si>
  <si>
    <t>Research Study Reaction and Hacks</t>
  </si>
  <si>
    <t>FAQ Parents Question - Parents Podcast</t>
  </si>
  <si>
    <t>Raw Talking (Car/Walking) - 1 Mistake - No Filters</t>
  </si>
  <si>
    <t>Seasonal / Calendar Health Tips</t>
  </si>
  <si>
    <t>Tamil Elders Who Did It Right - Side Angle</t>
  </si>
  <si>
    <t>Carousel - No.1 / Top 5</t>
  </si>
  <si>
    <t>Science Behind the Habit - Talking Head</t>
  </si>
  <si>
    <t>Organs Crying/Sad - Sugar Mistakes / Organ Damage</t>
  </si>
  <si>
    <t>Talking Head - Direct Warning</t>
  </si>
  <si>
    <t>Carousel - Silent Killers List</t>
  </si>
  <si>
    <t>Cooking Method Expose + Hacks for Bioavailability</t>
  </si>
  <si>
    <t>WeekStart</t>
  </si>
  <si>
    <t>MonthKey</t>
  </si>
  <si>
    <t>PostType</t>
  </si>
  <si>
    <t>LikeRate</t>
  </si>
  <si>
    <t>CommentRate</t>
  </si>
  <si>
    <t>ShareRate</t>
  </si>
  <si>
    <t>SaveRate</t>
  </si>
  <si>
    <t>ViewsPctlWk</t>
  </si>
  <si>
    <t>LikePctlWk</t>
  </si>
  <si>
    <t>CommentPctlWk</t>
  </si>
  <si>
    <t>SharePctlWk</t>
  </si>
  <si>
    <t>SavePctlWk</t>
  </si>
  <si>
    <t>ViewsPctlMo</t>
  </si>
  <si>
    <t>LikePctlMo</t>
  </si>
  <si>
    <t>CommentPctlMo</t>
  </si>
  <si>
    <t>SharePctlMo</t>
  </si>
  <si>
    <t>SavePctlMo</t>
  </si>
  <si>
    <t>ViewsPctlAll</t>
  </si>
  <si>
    <t>LikePctlAll</t>
  </si>
  <si>
    <t>CommentPctlAll</t>
  </si>
  <si>
    <t>SharePctlAll</t>
  </si>
  <si>
    <t>SavePctlAll</t>
  </si>
  <si>
    <t>ScoreWeek</t>
  </si>
  <si>
    <t>ScoreMonth</t>
  </si>
  <si>
    <t>ScoreAll</t>
  </si>
  <si>
    <t>IsWeekBest</t>
  </si>
  <si>
    <t>WeekBestKey</t>
  </si>
  <si>
    <t>IsMonthBest</t>
  </si>
  <si>
    <t>MonthBestKey</t>
  </si>
  <si>
    <t>ScoreKeyAll</t>
  </si>
  <si>
    <t>MonthKeyNum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</si>
</sst>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mmm\-yyyy"/>
    <numFmt numFmtId="166" formatCode="0.000"/>
  </numFmts>
  <fonts count="29">
    <font>
      <sz val="11.0"/>
      <color theme="1"/>
      <name val="Calibri"/>
      <scheme val="minor"/>
    </font>
    <font>
      <b/>
      <sz val="18.0"/>
      <color rgb="FF1F4E5F"/>
      <name val="Calibri"/>
    </font>
    <font>
      <b/>
      <sz val="13.0"/>
      <color rgb="FFFFFFFF"/>
      <name val="Calibri"/>
    </font>
    <font>
      <sz val="11.0"/>
      <color theme="1"/>
      <name val="Calibri"/>
    </font>
    <font>
      <b/>
      <sz val="22.0"/>
      <color rgb="FF1F4E5F"/>
      <name val="Calibri"/>
    </font>
    <font>
      <i/>
      <sz val="10.0"/>
      <color rgb="FF999999"/>
      <name val="Calibri"/>
    </font>
    <font>
      <sz val="10.0"/>
      <color rgb="FFFFFFFF"/>
      <name val="Calibri"/>
    </font>
    <font/>
    <font>
      <sz val="8.0"/>
      <color rgb="FFC8C8C8"/>
      <name val="Calibri"/>
    </font>
    <font>
      <b/>
      <sz val="22.0"/>
      <color rgb="FFFFFFFF"/>
      <name val="Calibri"/>
    </font>
    <font>
      <sz val="9.0"/>
      <color rgb="FFFFFFFF"/>
      <name val="Calibri"/>
    </font>
    <font>
      <i/>
      <sz val="11.0"/>
      <color theme="1"/>
      <name val="Calibri"/>
    </font>
    <font>
      <b/>
      <sz val="11.0"/>
      <color rgb="FFFFFFFF"/>
      <name val="Calibri"/>
    </font>
    <font>
      <sz val="9.0"/>
      <color rgb="FF0000FF"/>
      <name val="Google Sans"/>
    </font>
    <font>
      <sz val="9.0"/>
      <color rgb="FF008000"/>
      <name val="Google Sans"/>
    </font>
    <font>
      <color theme="1"/>
      <name val="Calibri"/>
      <scheme val="minor"/>
    </font>
    <font>
      <sz val="10.0"/>
      <color rgb="FF0000FF"/>
      <name val="Calibri"/>
    </font>
    <font>
      <sz val="10.0"/>
      <color rgb="FF008000"/>
      <name val="Calibri"/>
    </font>
    <font>
      <sz val="10.0"/>
      <color rgb="FF666666"/>
      <name val="Calibri"/>
    </font>
    <font>
      <b/>
      <sz val="20.0"/>
      <color rgb="FF1F4E5F"/>
      <name val="Calibri"/>
    </font>
    <font>
      <b/>
      <sz val="10.0"/>
      <color rgb="FFFFFFFF"/>
      <name val="Calibri"/>
    </font>
    <font>
      <b/>
      <sz val="11.0"/>
      <color theme="1"/>
      <name val="Calibri"/>
    </font>
    <font>
      <b/>
      <sz val="11.0"/>
      <color rgb="FF1F7A3D"/>
      <name val="Calibri"/>
    </font>
    <font>
      <b/>
      <sz val="15.0"/>
      <color rgb="FFFFFFFF"/>
      <name val="Calibri"/>
    </font>
    <font>
      <sz val="8.0"/>
      <color rgb="FFC0392B"/>
      <name val="Calibri"/>
    </font>
    <font>
      <b/>
      <sz val="10.0"/>
      <color theme="1"/>
      <name val="Calibri"/>
    </font>
    <font>
      <sz val="9.0"/>
      <color theme="1"/>
      <name val="Calibri"/>
    </font>
    <font>
      <sz val="8.0"/>
      <color rgb="FF6C3483"/>
      <name val="Calibri"/>
    </font>
    <font>
      <b/>
      <sz val="9.0"/>
      <color rgb="FFFFFFFF"/>
      <name val="Calibri"/>
    </font>
  </fonts>
  <fills count="12">
    <fill>
      <patternFill patternType="none"/>
    </fill>
    <fill>
      <patternFill patternType="lightGray"/>
    </fill>
    <fill>
      <patternFill patternType="solid">
        <fgColor rgb="FF1F4E5F"/>
        <bgColor rgb="FF1F4E5F"/>
      </patternFill>
    </fill>
    <fill>
      <patternFill patternType="solid">
        <fgColor rgb="FF2E75B6"/>
        <bgColor rgb="FF2E75B6"/>
      </patternFill>
    </fill>
    <fill>
      <patternFill patternType="solid">
        <fgColor rgb="FFC0392B"/>
        <bgColor rgb="FFC0392B"/>
      </patternFill>
    </fill>
    <fill>
      <patternFill patternType="solid">
        <fgColor rgb="FF6C3483"/>
        <bgColor rgb="FF6C3483"/>
      </patternFill>
    </fill>
    <fill>
      <patternFill patternType="solid">
        <fgColor rgb="FF1F7A3D"/>
        <bgColor rgb="FF1F7A3D"/>
      </patternFill>
    </fill>
    <fill>
      <patternFill patternType="solid">
        <fgColor rgb="FFB9770E"/>
        <bgColor rgb="FFB9770E"/>
      </patternFill>
    </fill>
    <fill>
      <patternFill patternType="solid">
        <fgColor rgb="FFFFF6D9"/>
        <bgColor rgb="FFFFF6D9"/>
      </patternFill>
    </fill>
    <fill>
      <patternFill patternType="solid">
        <fgColor rgb="FFF2F7FA"/>
        <bgColor rgb="FFF2F7FA"/>
      </patternFill>
    </fill>
    <fill>
      <patternFill patternType="solid">
        <fgColor rgb="FFD5F0DD"/>
        <bgColor rgb="FFD5F0DD"/>
      </patternFill>
    </fill>
    <fill>
      <patternFill patternType="solid">
        <fgColor rgb="FF404040"/>
        <bgColor rgb="FF404040"/>
      </patternFill>
    </fill>
  </fills>
  <borders count="14">
    <border/>
    <border>
      <left/>
      <right/>
      <top/>
      <bottom/>
    </border>
    <border>
      <left/>
      <top/>
      <bottom/>
    </border>
    <border>
      <right/>
      <top/>
      <bottom/>
    </border>
    <border>
      <top/>
      <bottom/>
    </border>
    <border>
      <left style="thin">
        <color rgb="FFD9D9D9"/>
      </left>
      <right style="thin">
        <color rgb="FFD9D9D9"/>
      </right>
      <top style="thin">
        <color rgb="FFD9D9D9"/>
      </top>
      <bottom style="thin">
        <color rgb="FFD9D9D9"/>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0"/>
    </xf>
    <xf borderId="0" fillId="0" fontId="3" numFmtId="0" xfId="0" applyAlignment="1" applyFont="1">
      <alignment shrinkToFit="0" vertical="top" wrapText="1"/>
    </xf>
    <xf borderId="0" fillId="0" fontId="4" numFmtId="0" xfId="0" applyAlignment="1" applyFont="1">
      <alignment shrinkToFit="0" vertical="bottom" wrapText="0"/>
    </xf>
    <xf borderId="0" fillId="0" fontId="5" numFmtId="0" xfId="0" applyAlignment="1" applyFont="1">
      <alignment shrinkToFit="0" vertical="bottom" wrapText="0"/>
    </xf>
    <xf borderId="2" fillId="3" fontId="6" numFmtId="0" xfId="0" applyAlignment="1" applyBorder="1" applyFill="1" applyFont="1">
      <alignment shrinkToFit="0" vertical="bottom" wrapText="0"/>
    </xf>
    <xf borderId="3" fillId="0" fontId="7" numFmtId="0" xfId="0" applyBorder="1" applyFont="1"/>
    <xf borderId="2" fillId="2" fontId="6" numFmtId="0" xfId="0" applyAlignment="1" applyBorder="1" applyFont="1">
      <alignment shrinkToFit="0" vertical="bottom" wrapText="0"/>
    </xf>
    <xf borderId="2" fillId="4" fontId="6" numFmtId="0" xfId="0" applyAlignment="1" applyBorder="1" applyFill="1" applyFont="1">
      <alignment shrinkToFit="0" vertical="bottom" wrapText="0"/>
    </xf>
    <xf borderId="2" fillId="5" fontId="6" numFmtId="0" xfId="0" applyAlignment="1" applyBorder="1" applyFill="1" applyFont="1">
      <alignment shrinkToFit="0" vertical="bottom" wrapText="0"/>
    </xf>
    <xf borderId="2" fillId="6" fontId="6" numFmtId="0" xfId="0" applyAlignment="1" applyBorder="1" applyFill="1" applyFont="1">
      <alignment shrinkToFit="0" vertical="bottom" wrapText="0"/>
    </xf>
    <xf borderId="2" fillId="7" fontId="6" numFmtId="0" xfId="0" applyAlignment="1" applyBorder="1" applyFill="1" applyFont="1">
      <alignment shrinkToFit="0" vertical="bottom" wrapText="0"/>
    </xf>
    <xf borderId="0" fillId="0" fontId="8" numFmtId="0" xfId="0" applyAlignment="1" applyFont="1">
      <alignment shrinkToFit="0" vertical="bottom" wrapText="0"/>
    </xf>
    <xf borderId="2" fillId="3" fontId="9" numFmtId="3" xfId="0" applyAlignment="1" applyBorder="1" applyFont="1" applyNumberFormat="1">
      <alignment shrinkToFit="0" vertical="bottom" wrapText="0"/>
    </xf>
    <xf borderId="2" fillId="2" fontId="9" numFmtId="3" xfId="0" applyAlignment="1" applyBorder="1" applyFont="1" applyNumberFormat="1">
      <alignment shrinkToFit="0" vertical="bottom" wrapText="0"/>
    </xf>
    <xf borderId="2" fillId="4" fontId="9" numFmtId="3" xfId="0" applyAlignment="1" applyBorder="1" applyFont="1" applyNumberFormat="1">
      <alignment shrinkToFit="0" vertical="bottom" wrapText="0"/>
    </xf>
    <xf borderId="2" fillId="5" fontId="9" numFmtId="3" xfId="0" applyAlignment="1" applyBorder="1" applyFont="1" applyNumberFormat="1">
      <alignment shrinkToFit="0" vertical="bottom" wrapText="0"/>
    </xf>
    <xf borderId="2" fillId="6" fontId="9" numFmtId="3" xfId="0" applyAlignment="1" applyBorder="1" applyFont="1" applyNumberFormat="1">
      <alignment shrinkToFit="0" vertical="bottom" wrapText="0"/>
    </xf>
    <xf borderId="2" fillId="7" fontId="9" numFmtId="164" xfId="0" applyAlignment="1" applyBorder="1" applyFont="1" applyNumberFormat="1">
      <alignment shrinkToFit="0" vertical="bottom" wrapText="0"/>
    </xf>
    <xf borderId="0" fillId="0" fontId="8" numFmtId="3" xfId="0" applyAlignment="1" applyFont="1" applyNumberFormat="1">
      <alignment shrinkToFit="0" vertical="bottom" wrapText="0"/>
    </xf>
    <xf borderId="2" fillId="2" fontId="2" numFmtId="0" xfId="0" applyAlignment="1" applyBorder="1" applyFont="1">
      <alignment shrinkToFit="0" vertical="bottom" wrapText="0"/>
    </xf>
    <xf borderId="4" fillId="0" fontId="7" numFmtId="0" xfId="0" applyBorder="1" applyFont="1"/>
    <xf borderId="2" fillId="4" fontId="10" numFmtId="0" xfId="0" applyAlignment="1" applyBorder="1" applyFont="1">
      <alignment shrinkToFit="0" vertical="bottom" wrapText="0"/>
    </xf>
    <xf borderId="2" fillId="5" fontId="10" numFmtId="0" xfId="0" applyAlignment="1" applyBorder="1" applyFont="1">
      <alignment shrinkToFit="0" vertical="bottom" wrapText="0"/>
    </xf>
    <xf borderId="2" fillId="4" fontId="2" numFmtId="0" xfId="0" applyAlignment="1" applyBorder="1" applyFont="1">
      <alignment shrinkToFit="0" vertical="bottom" wrapText="0"/>
    </xf>
    <xf borderId="2" fillId="5" fontId="2" numFmtId="0" xfId="0" applyAlignment="1" applyBorder="1" applyFont="1">
      <alignment shrinkToFit="0" vertical="bottom" wrapText="0"/>
    </xf>
    <xf borderId="2" fillId="8" fontId="11" numFmtId="0" xfId="0" applyAlignment="1" applyBorder="1" applyFill="1" applyFont="1">
      <alignment shrinkToFit="0" vertical="center" wrapText="1"/>
    </xf>
    <xf borderId="1" fillId="2" fontId="12" numFmtId="0" xfId="0" applyAlignment="1" applyBorder="1" applyFont="1">
      <alignment horizontal="center" shrinkToFit="0" vertical="center" wrapText="1"/>
    </xf>
    <xf borderId="5" fillId="0" fontId="13" numFmtId="165" xfId="0" applyAlignment="1" applyBorder="1" applyFont="1" applyNumberFormat="1">
      <alignment readingOrder="0" shrinkToFit="0" vertical="center" wrapText="0"/>
    </xf>
    <xf borderId="5" fillId="0" fontId="13" numFmtId="0" xfId="0" applyAlignment="1" applyBorder="1" applyFont="1">
      <alignment readingOrder="0" shrinkToFit="0" vertical="center" wrapText="0"/>
    </xf>
    <xf borderId="5" fillId="0" fontId="14" numFmtId="0" xfId="0" applyAlignment="1" applyBorder="1" applyFont="1">
      <alignment shrinkToFit="0" vertical="center" wrapText="0"/>
    </xf>
    <xf borderId="5" fillId="0" fontId="13" numFmtId="0" xfId="0" applyAlignment="1" applyBorder="1" applyFont="1">
      <alignment shrinkToFit="0" vertical="center" wrapText="0"/>
    </xf>
    <xf borderId="5" fillId="0" fontId="13" numFmtId="3" xfId="0" applyAlignment="1" applyBorder="1" applyFont="1" applyNumberFormat="1">
      <alignment readingOrder="0" shrinkToFit="0" vertical="center" wrapText="0"/>
    </xf>
    <xf borderId="5" fillId="0" fontId="13" numFmtId="0" xfId="0" applyAlignment="1" applyBorder="1" applyFont="1">
      <alignment readingOrder="0" shrinkToFit="0" vertical="center" wrapText="0"/>
    </xf>
    <xf borderId="5" fillId="0" fontId="14" numFmtId="0" xfId="0" applyAlignment="1" applyBorder="1" applyFont="1">
      <alignment shrinkToFit="0" vertical="center" wrapText="0"/>
    </xf>
    <xf borderId="0" fillId="0" fontId="15" numFmtId="0" xfId="0" applyAlignment="1" applyFont="1">
      <alignment vertical="center"/>
    </xf>
    <xf borderId="0" fillId="0" fontId="13" numFmtId="3" xfId="0" applyAlignment="1" applyFont="1" applyNumberFormat="1">
      <alignment readingOrder="0" shrinkToFit="0" vertical="center" wrapText="0"/>
    </xf>
    <xf borderId="0" fillId="0" fontId="15" numFmtId="0" xfId="0" applyAlignment="1" applyFont="1">
      <alignment shrinkToFit="0" vertical="center" wrapText="0"/>
    </xf>
    <xf borderId="5" fillId="0" fontId="13" numFmtId="165" xfId="0" applyAlignment="1" applyBorder="1" applyFont="1" applyNumberFormat="1">
      <alignment readingOrder="0" shrinkToFit="0" vertical="center" wrapText="0"/>
    </xf>
    <xf borderId="5" fillId="0" fontId="13" numFmtId="0" xfId="0" applyAlignment="1" applyBorder="1" applyFont="1">
      <alignment shrinkToFit="0" vertical="center" wrapText="0"/>
    </xf>
    <xf borderId="5" fillId="0" fontId="16" numFmtId="165" xfId="0" applyAlignment="1" applyBorder="1" applyFont="1" applyNumberFormat="1">
      <alignment shrinkToFit="0" vertical="bottom" wrapText="0"/>
    </xf>
    <xf borderId="5" fillId="0" fontId="16" numFmtId="0" xfId="0" applyAlignment="1" applyBorder="1" applyFont="1">
      <alignment shrinkToFit="0" vertical="bottom" wrapText="0"/>
    </xf>
    <xf borderId="5" fillId="0" fontId="17" numFmtId="0" xfId="0" applyAlignment="1" applyBorder="1" applyFont="1">
      <alignment shrinkToFit="0" vertical="bottom" wrapText="0"/>
    </xf>
    <xf borderId="5" fillId="0" fontId="16" numFmtId="3" xfId="0" applyAlignment="1" applyBorder="1" applyFont="1" applyNumberFormat="1">
      <alignment shrinkToFit="0" vertical="bottom" wrapText="0"/>
    </xf>
    <xf borderId="1" fillId="9" fontId="18" numFmtId="0" xfId="0" applyAlignment="1" applyBorder="1" applyFill="1" applyFont="1">
      <alignment shrinkToFit="0" vertical="bottom" wrapText="0"/>
    </xf>
    <xf borderId="1" fillId="9" fontId="19" numFmtId="3" xfId="0" applyAlignment="1" applyBorder="1" applyFont="1" applyNumberFormat="1">
      <alignment shrinkToFit="0" vertical="bottom" wrapText="0"/>
    </xf>
    <xf borderId="1" fillId="9" fontId="19" numFmtId="164" xfId="0" applyAlignment="1" applyBorder="1" applyFont="1" applyNumberFormat="1">
      <alignment shrinkToFit="0" vertical="bottom" wrapText="0"/>
    </xf>
    <xf borderId="1" fillId="2" fontId="3" numFmtId="0" xfId="0" applyAlignment="1" applyBorder="1" applyFont="1">
      <alignment shrinkToFit="0" vertical="bottom" wrapText="0"/>
    </xf>
    <xf borderId="1" fillId="3" fontId="20" numFmtId="0" xfId="0" applyAlignment="1" applyBorder="1" applyFont="1">
      <alignment horizontal="center" shrinkToFit="0" vertical="bottom" wrapText="1"/>
    </xf>
    <xf borderId="5" fillId="0" fontId="3" numFmtId="0" xfId="0" applyAlignment="1" applyBorder="1" applyFont="1">
      <alignment shrinkToFit="0" vertical="bottom" wrapText="0"/>
    </xf>
    <xf borderId="5" fillId="0" fontId="17" numFmtId="3" xfId="0" applyAlignment="1" applyBorder="1" applyFont="1" applyNumberFormat="1">
      <alignment shrinkToFit="0" vertical="bottom" wrapText="0"/>
    </xf>
    <xf borderId="5" fillId="0" fontId="17" numFmtId="166" xfId="0" applyAlignment="1" applyBorder="1" applyFont="1" applyNumberFormat="1">
      <alignment shrinkToFit="0" vertical="bottom" wrapText="0"/>
    </xf>
    <xf borderId="0" fillId="0" fontId="21" numFmtId="0" xfId="0" applyAlignment="1" applyFont="1">
      <alignment shrinkToFit="0" vertical="bottom" wrapText="0"/>
    </xf>
    <xf borderId="1" fillId="10" fontId="22" numFmtId="0" xfId="0" applyAlignment="1" applyBorder="1" applyFill="1" applyFont="1">
      <alignment shrinkToFit="0" vertical="bottom" wrapText="0"/>
    </xf>
    <xf borderId="2" fillId="4" fontId="23" numFmtId="0" xfId="0" applyAlignment="1" applyBorder="1" applyFont="1">
      <alignment shrinkToFit="0" vertical="bottom" wrapText="0"/>
    </xf>
    <xf borderId="0" fillId="0" fontId="24" numFmtId="0" xfId="0" applyAlignment="1" applyFont="1">
      <alignment shrinkToFit="0" vertical="bottom" wrapText="0"/>
    </xf>
    <xf borderId="0" fillId="0" fontId="25" numFmtId="3" xfId="0" applyAlignment="1" applyFont="1" applyNumberFormat="1">
      <alignment shrinkToFit="0" vertical="bottom" wrapText="0"/>
    </xf>
    <xf borderId="1" fillId="11" fontId="20" numFmtId="0" xfId="0" applyAlignment="1" applyBorder="1" applyFill="1" applyFont="1">
      <alignment horizontal="center" shrinkToFit="0" vertical="bottom" wrapText="1"/>
    </xf>
    <xf borderId="5" fillId="0" fontId="26" numFmtId="165" xfId="0" applyAlignment="1" applyBorder="1" applyFont="1" applyNumberFormat="1">
      <alignment shrinkToFit="0" vertical="bottom" wrapText="0"/>
    </xf>
    <xf borderId="5" fillId="0" fontId="26" numFmtId="0" xfId="0" applyAlignment="1" applyBorder="1" applyFont="1">
      <alignment shrinkToFit="0" vertical="bottom" wrapText="0"/>
    </xf>
    <xf borderId="5" fillId="0" fontId="26" numFmtId="3" xfId="0" applyAlignment="1" applyBorder="1" applyFont="1" applyNumberFormat="1">
      <alignment shrinkToFit="0" vertical="bottom" wrapText="0"/>
    </xf>
    <xf borderId="5" fillId="0" fontId="26" numFmtId="166" xfId="0" applyAlignment="1" applyBorder="1" applyFont="1" applyNumberFormat="1">
      <alignment shrinkToFit="0" vertical="bottom" wrapText="0"/>
    </xf>
    <xf borderId="2" fillId="5" fontId="23" numFmtId="0" xfId="0" applyAlignment="1" applyBorder="1" applyFont="1">
      <alignment shrinkToFit="0" vertical="bottom" wrapText="0"/>
    </xf>
    <xf borderId="0" fillId="0" fontId="27" numFmtId="0" xfId="0" applyAlignment="1" applyFont="1">
      <alignment shrinkToFit="0" vertical="bottom" wrapText="0"/>
    </xf>
    <xf borderId="0" fillId="0" fontId="17" numFmtId="0" xfId="0" applyAlignment="1" applyFont="1">
      <alignment shrinkToFit="0" vertical="bottom" wrapText="0"/>
    </xf>
    <xf borderId="5" fillId="0" fontId="17" numFmtId="164" xfId="0" applyAlignment="1" applyBorder="1" applyFont="1" applyNumberFormat="1">
      <alignment shrinkToFit="0" vertical="bottom" wrapText="0"/>
    </xf>
    <xf borderId="6" fillId="8" fontId="3" numFmtId="0" xfId="0" applyAlignment="1" applyBorder="1" applyFont="1">
      <alignment horizontal="left" shrinkToFit="0" vertical="top" wrapText="1"/>
    </xf>
    <xf borderId="7" fillId="0" fontId="7" numFmtId="0" xfId="0" applyBorder="1" applyFont="1"/>
    <xf borderId="8" fillId="0" fontId="7" numFmtId="0" xfId="0" applyBorder="1" applyFont="1"/>
    <xf borderId="9" fillId="0" fontId="7" numFmtId="0" xfId="0" applyBorder="1" applyFont="1"/>
    <xf borderId="10" fillId="0" fontId="7" numFmtId="0" xfId="0" applyBorder="1" applyFont="1"/>
    <xf borderId="11" fillId="0" fontId="7" numFmtId="0" xfId="0" applyBorder="1" applyFont="1"/>
    <xf borderId="12" fillId="0" fontId="7" numFmtId="0" xfId="0" applyBorder="1" applyFont="1"/>
    <xf borderId="13" fillId="0" fontId="7" numFmtId="0" xfId="0" applyBorder="1" applyFont="1"/>
    <xf borderId="1" fillId="2" fontId="12" numFmtId="0" xfId="0" applyAlignment="1" applyBorder="1" applyFont="1">
      <alignment shrinkToFit="0" vertical="bottom" wrapText="0"/>
    </xf>
    <xf borderId="0" fillId="0" fontId="15" numFmtId="0" xfId="0" applyFont="1"/>
    <xf borderId="1" fillId="11" fontId="28" numFmtId="0" xfId="0" applyAlignment="1" applyBorder="1" applyFont="1">
      <alignment shrinkToFit="0" vertical="bottom" wrapText="0"/>
    </xf>
    <xf borderId="0" fillId="0" fontId="3" numFmtId="3" xfId="0" applyAlignment="1" applyFont="1" applyNumberFormat="1">
      <alignment shrinkToFit="0" vertical="bottom" wrapText="0"/>
    </xf>
    <xf borderId="0" fillId="0" fontId="15"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Total Views by Content Pillar</a:t>
            </a:r>
          </a:p>
        </c:rich>
      </c:tx>
      <c:overlay val="0"/>
    </c:title>
    <c:plotArea>
      <c:layout/>
      <c:barChart>
        <c:barDir val="col"/>
        <c:ser>
          <c:idx val="0"/>
          <c:order val="0"/>
          <c:tx>
            <c:v>Views</c:v>
          </c:tx>
          <c:spPr>
            <a:solidFill>
              <a:srgbClr val="4F81BD"/>
            </a:solidFill>
            <a:ln cmpd="sng">
              <a:noFill/>
            </a:ln>
          </c:spPr>
          <c:cat>
            <c:strRef>
              <c:f>Dashboard!$N$5:$N$9</c:f>
            </c:strRef>
          </c:cat>
          <c:val>
            <c:numRef>
              <c:f>Dashboard!$O$5:$O$9</c:f>
              <c:numCache/>
            </c:numRef>
          </c:val>
        </c:ser>
        <c:axId val="477029177"/>
        <c:axId val="1149004772"/>
      </c:barChart>
      <c:catAx>
        <c:axId val="4770291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149004772"/>
      </c:catAx>
      <c:valAx>
        <c:axId val="114900477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Views</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477029177"/>
      </c:valAx>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Total Views by Audience Avatar</a:t>
            </a:r>
          </a:p>
        </c:rich>
      </c:tx>
      <c:overlay val="0"/>
    </c:title>
    <c:plotArea>
      <c:layout/>
      <c:barChart>
        <c:barDir val="bar"/>
        <c:ser>
          <c:idx val="0"/>
          <c:order val="0"/>
          <c:tx>
            <c:v>Views</c:v>
          </c:tx>
          <c:spPr>
            <a:solidFill>
              <a:srgbClr val="4F81BD"/>
            </a:solidFill>
            <a:ln cmpd="sng">
              <a:noFill/>
            </a:ln>
          </c:spPr>
          <c:cat>
            <c:strRef>
              <c:f>Dashboard!$N$12:$N$18</c:f>
            </c:strRef>
          </c:cat>
          <c:val>
            <c:numRef>
              <c:f>Dashboard!$O$12:$O$18</c:f>
              <c:numCache/>
            </c:numRef>
          </c:val>
        </c:ser>
        <c:axId val="1929070732"/>
        <c:axId val="22971847"/>
      </c:barChart>
      <c:catAx>
        <c:axId val="192907073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22971847"/>
      </c:catAx>
      <c:valAx>
        <c:axId val="22971847"/>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Views</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929070732"/>
        <c:crosses val="max"/>
      </c:valAx>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Monthly Views Trend (Last 12 Months)</a:t>
            </a:r>
          </a:p>
        </c:rich>
      </c:tx>
      <c:overlay val="0"/>
    </c:title>
    <c:plotArea>
      <c:layout/>
      <c:lineChart>
        <c:varyColors val="0"/>
        <c:ser>
          <c:idx val="0"/>
          <c:order val="0"/>
          <c:tx>
            <c:v>Views</c:v>
          </c:tx>
          <c:spPr>
            <a:ln cmpd="sng" w="19050">
              <a:solidFill>
                <a:srgbClr val="4A7EBB">
                  <a:alpha val="100000"/>
                </a:srgbClr>
              </a:solidFill>
            </a:ln>
          </c:spPr>
          <c:marker>
            <c:symbol val="none"/>
          </c:marker>
          <c:cat>
            <c:strRef>
              <c:f>Dashboard!$N$21:$N$32</c:f>
            </c:strRef>
          </c:cat>
          <c:val>
            <c:numRef>
              <c:f>Dashboard!$O$21:$O$32</c:f>
              <c:numCache/>
            </c:numRef>
          </c:val>
          <c:smooth val="1"/>
        </c:ser>
        <c:axId val="1074667458"/>
        <c:axId val="2043829875"/>
      </c:lineChart>
      <c:catAx>
        <c:axId val="10746674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2043829875"/>
      </c:catAx>
      <c:valAx>
        <c:axId val="204382987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Views</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074667458"/>
      </c:valAx>
    </c:plotArea>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0</xdr:rowOff>
    </xdr:from>
    <xdr:ext cx="5448300" cy="30194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0</xdr:colOff>
      <xdr:row>12</xdr:row>
      <xdr:rowOff>0</xdr:rowOff>
    </xdr:from>
    <xdr:ext cx="5448300" cy="30194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29</xdr:row>
      <xdr:rowOff>0</xdr:rowOff>
    </xdr:from>
    <xdr:ext cx="10906125" cy="30194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showGridLines="0" workbookViewId="0"/>
  </sheetViews>
  <sheetFormatPr customHeight="1" defaultColWidth="14.43" defaultRowHeight="15.0"/>
  <cols>
    <col customWidth="1" min="1" max="1" width="4.0"/>
    <col customWidth="1" min="2" max="2" width="100.0"/>
    <col customWidth="1" min="3" max="26" width="8.71"/>
  </cols>
  <sheetData>
    <row r="1" ht="27.75" customHeight="1">
      <c r="B1" s="1" t="s">
        <v>0</v>
      </c>
    </row>
    <row r="3" ht="19.5" customHeight="1">
      <c r="B3" s="2" t="s">
        <v>1</v>
      </c>
    </row>
    <row r="4" ht="75.0" customHeight="1">
      <c r="B4" s="3" t="s">
        <v>2</v>
      </c>
    </row>
    <row r="6" ht="19.5" customHeight="1">
      <c r="B6" s="2" t="s">
        <v>3</v>
      </c>
    </row>
    <row r="7" ht="210.0" customHeight="1">
      <c r="B7" s="3" t="s">
        <v>4</v>
      </c>
    </row>
    <row r="9" ht="19.5" customHeight="1">
      <c r="B9" s="2" t="s">
        <v>5</v>
      </c>
    </row>
    <row r="10" ht="105.0" customHeight="1">
      <c r="B10" s="3" t="s">
        <v>6</v>
      </c>
    </row>
    <row r="12" ht="19.5" customHeight="1">
      <c r="B12" s="2" t="s">
        <v>7</v>
      </c>
    </row>
    <row r="13" ht="45.0" customHeight="1">
      <c r="B13" s="3" t="s">
        <v>8</v>
      </c>
    </row>
    <row r="15" ht="19.5" customHeight="1">
      <c r="B15" s="2" t="s">
        <v>9</v>
      </c>
    </row>
    <row r="16" ht="30.0" customHeight="1">
      <c r="B16" s="3"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5F"/>
    <pageSetUpPr/>
  </sheetPr>
  <sheetViews>
    <sheetView showGridLines="0" workbookViewId="0"/>
  </sheetViews>
  <sheetFormatPr customHeight="1" defaultColWidth="14.43" defaultRowHeight="15.0"/>
  <cols>
    <col customWidth="1" min="1" max="12" width="16.0"/>
    <col customWidth="1" min="13" max="26" width="8.71"/>
  </cols>
  <sheetData>
    <row r="1" ht="30.0" customHeight="1">
      <c r="A1" s="4" t="s">
        <v>11</v>
      </c>
    </row>
    <row r="2">
      <c r="A2" s="5" t="s">
        <v>12</v>
      </c>
    </row>
    <row r="4" ht="18.0" customHeight="1">
      <c r="A4" s="6" t="s">
        <v>13</v>
      </c>
      <c r="B4" s="7"/>
      <c r="C4" s="8" t="s">
        <v>14</v>
      </c>
      <c r="D4" s="7"/>
      <c r="E4" s="9" t="s">
        <v>15</v>
      </c>
      <c r="F4" s="7"/>
      <c r="G4" s="10" t="s">
        <v>16</v>
      </c>
      <c r="H4" s="7"/>
      <c r="I4" s="11" t="s">
        <v>17</v>
      </c>
      <c r="J4" s="7"/>
      <c r="K4" s="12" t="s">
        <v>18</v>
      </c>
      <c r="L4" s="7"/>
      <c r="N4" s="13" t="s">
        <v>19</v>
      </c>
      <c r="O4" s="13" t="s">
        <v>20</v>
      </c>
    </row>
    <row r="5" ht="30.0" customHeight="1">
      <c r="A5" s="14">
        <f>'Overall Analytics'!A5</f>
        <v>36</v>
      </c>
      <c r="B5" s="7"/>
      <c r="C5" s="15">
        <f>'Overall Analytics'!B5</f>
        <v>16</v>
      </c>
      <c r="D5" s="7"/>
      <c r="E5" s="16">
        <f>'Overall Analytics'!C5</f>
        <v>20</v>
      </c>
      <c r="F5" s="7"/>
      <c r="G5" s="17">
        <f>'Overall Analytics'!D5</f>
        <v>3710594</v>
      </c>
      <c r="H5" s="7"/>
      <c r="I5" s="18">
        <f>'Overall Analytics'!D8</f>
        <v>2985004</v>
      </c>
      <c r="J5" s="7"/>
      <c r="K5" s="19">
        <f>'Overall Analytics'!E8</f>
        <v>0.04430379323</v>
      </c>
      <c r="L5" s="7"/>
      <c r="N5" s="13" t="s">
        <v>21</v>
      </c>
      <c r="O5" s="20">
        <f>'Overall Analytics'!C15</f>
        <v>179771</v>
      </c>
    </row>
    <row r="6">
      <c r="N6" s="13" t="s">
        <v>22</v>
      </c>
      <c r="O6" s="20">
        <f>'Overall Analytics'!C16</f>
        <v>0</v>
      </c>
    </row>
    <row r="7" ht="19.5" customHeight="1">
      <c r="A7" s="21" t="s">
        <v>23</v>
      </c>
      <c r="B7" s="22"/>
      <c r="C7" s="22"/>
      <c r="D7" s="22"/>
      <c r="E7" s="22"/>
      <c r="F7" s="22"/>
      <c r="G7" s="22"/>
      <c r="H7" s="22"/>
      <c r="I7" s="22"/>
      <c r="J7" s="22"/>
      <c r="K7" s="22"/>
      <c r="L7" s="7"/>
      <c r="N7" s="13" t="s">
        <v>24</v>
      </c>
      <c r="O7" s="20">
        <f>'Overall Analytics'!C17</f>
        <v>0</v>
      </c>
    </row>
    <row r="8" ht="15.75" customHeight="1">
      <c r="A8" s="23" t="s">
        <v>25</v>
      </c>
      <c r="B8" s="22"/>
      <c r="C8" s="7"/>
      <c r="D8" s="24" t="s">
        <v>26</v>
      </c>
      <c r="E8" s="22"/>
      <c r="F8" s="7"/>
      <c r="G8" s="23" t="s">
        <v>27</v>
      </c>
      <c r="H8" s="22"/>
      <c r="I8" s="7"/>
      <c r="J8" s="24" t="s">
        <v>28</v>
      </c>
      <c r="K8" s="22"/>
      <c r="L8" s="7"/>
      <c r="N8" s="13" t="s">
        <v>29</v>
      </c>
      <c r="O8" s="20">
        <f>'Overall Analytics'!C18</f>
        <v>87042</v>
      </c>
    </row>
    <row r="9" ht="33.75" customHeight="1">
      <c r="A9" s="25" t="str">
        <f>'Best Reels'!A5</f>
        <v>Not treating Diabetes, only managaing symptoms</v>
      </c>
      <c r="B9" s="22"/>
      <c r="C9" s="7"/>
      <c r="D9" s="26" t="str">
        <f>'Best Carousels'!A5</f>
        <v>Indian sitting for a whole day</v>
      </c>
      <c r="E9" s="22"/>
      <c r="F9" s="7"/>
      <c r="G9" s="25" t="str">
        <f>'Best Reels'!F5</f>
        <v>Tips for Effective sleep</v>
      </c>
      <c r="H9" s="22"/>
      <c r="I9" s="7"/>
      <c r="J9" s="26" t="str">
        <f>'Best Carousels'!F5</f>
        <v>Indian sitting for a whole day</v>
      </c>
      <c r="K9" s="22"/>
      <c r="L9" s="7"/>
      <c r="N9" s="13" t="s">
        <v>30</v>
      </c>
      <c r="O9" s="20">
        <f>'Overall Analytics'!C19</f>
        <v>0</v>
      </c>
    </row>
    <row r="11" ht="30.0" customHeight="1">
      <c r="A11" s="27" t="str">
        <f>'Monthly Comparison'!A26</f>
        <v>Views declined 0.0% vs last month. Top pillar this month: Diabetes. Top avatar this month: Diabetes Patient.</v>
      </c>
      <c r="B11" s="22"/>
      <c r="C11" s="22"/>
      <c r="D11" s="22"/>
      <c r="E11" s="22"/>
      <c r="F11" s="22"/>
      <c r="G11" s="22"/>
      <c r="H11" s="22"/>
      <c r="I11" s="22"/>
      <c r="J11" s="22"/>
      <c r="K11" s="22"/>
      <c r="L11" s="7"/>
      <c r="N11" s="13" t="s">
        <v>31</v>
      </c>
      <c r="O11" s="13" t="s">
        <v>20</v>
      </c>
    </row>
    <row r="12">
      <c r="N12" s="13" t="s">
        <v>32</v>
      </c>
      <c r="O12" s="20">
        <f>'Overall Analytics'!C26</f>
        <v>0</v>
      </c>
    </row>
    <row r="13">
      <c r="N13" s="13" t="s">
        <v>33</v>
      </c>
      <c r="O13" s="20">
        <f>'Overall Analytics'!C27</f>
        <v>0</v>
      </c>
    </row>
    <row r="14">
      <c r="N14" s="13" t="s">
        <v>34</v>
      </c>
      <c r="O14" s="20">
        <f>'Overall Analytics'!C28</f>
        <v>0</v>
      </c>
    </row>
    <row r="15">
      <c r="N15" s="13" t="s">
        <v>35</v>
      </c>
      <c r="O15" s="20">
        <f>'Overall Analytics'!C29</f>
        <v>0</v>
      </c>
    </row>
    <row r="16">
      <c r="N16" s="13" t="s">
        <v>36</v>
      </c>
      <c r="O16" s="20">
        <f>'Overall Analytics'!C30</f>
        <v>0</v>
      </c>
    </row>
    <row r="17">
      <c r="N17" s="13" t="s">
        <v>37</v>
      </c>
      <c r="O17" s="20">
        <f>'Overall Analytics'!C31</f>
        <v>0</v>
      </c>
    </row>
    <row r="18">
      <c r="N18" s="13" t="s">
        <v>38</v>
      </c>
      <c r="O18" s="20">
        <f>'Overall Analytics'!C32</f>
        <v>0</v>
      </c>
    </row>
    <row r="20">
      <c r="N20" s="13" t="s">
        <v>39</v>
      </c>
      <c r="O20" s="13" t="s">
        <v>20</v>
      </c>
    </row>
    <row r="21" ht="15.75" customHeight="1">
      <c r="N21" s="13" t="str">
        <f>TEXT(EDATE(TODAY(),-11),"MMM-YY")</f>
        <v>Aug-25</v>
      </c>
      <c r="O21" s="13">
        <f>SUMIF(Calc!$C$2:$C$501,TEXT(EDATE(TODAY(),-11),"YYYY-MM"),Calc!$I$2:$I$501)</f>
        <v>0</v>
      </c>
    </row>
    <row r="22" ht="15.75" customHeight="1">
      <c r="N22" s="13" t="str">
        <f>TEXT(EDATE(TODAY(),-10),"MMM-YY")</f>
        <v>Sep-25</v>
      </c>
      <c r="O22" s="13">
        <f>SUMIF(Calc!$C$2:$C$501,TEXT(EDATE(TODAY(),-10),"YYYY-MM"),Calc!$I$2:$I$501)</f>
        <v>0</v>
      </c>
    </row>
    <row r="23" ht="15.75" customHeight="1">
      <c r="N23" s="13" t="str">
        <f>TEXT(EDATE(TODAY(),-9),"MMM-YY")</f>
        <v>Oct-25</v>
      </c>
      <c r="O23" s="13">
        <f>SUMIF(Calc!$C$2:$C$501,TEXT(EDATE(TODAY(),-9),"YYYY-MM"),Calc!$I$2:$I$501)</f>
        <v>0</v>
      </c>
    </row>
    <row r="24" ht="15.75" customHeight="1">
      <c r="N24" s="13" t="str">
        <f>TEXT(EDATE(TODAY(),-8),"MMM-YY")</f>
        <v>Nov-25</v>
      </c>
      <c r="O24" s="13">
        <f>SUMIF(Calc!$C$2:$C$501,TEXT(EDATE(TODAY(),-8),"YYYY-MM"),Calc!$I$2:$I$501)</f>
        <v>0</v>
      </c>
    </row>
    <row r="25" ht="15.75" customHeight="1">
      <c r="N25" s="13" t="str">
        <f>TEXT(EDATE(TODAY(),-7),"MMM-YY")</f>
        <v>Dec-25</v>
      </c>
      <c r="O25" s="13">
        <f>SUMIF(Calc!$C$2:$C$501,TEXT(EDATE(TODAY(),-7),"YYYY-MM"),Calc!$I$2:$I$501)</f>
        <v>0</v>
      </c>
    </row>
    <row r="26" ht="15.75" customHeight="1">
      <c r="N26" s="13" t="str">
        <f>TEXT(EDATE(TODAY(),-6),"MMM-YY")</f>
        <v>Jan-26</v>
      </c>
      <c r="O26" s="13">
        <f>SUMIF(Calc!$C$2:$C$501,TEXT(EDATE(TODAY(),-6),"YYYY-MM"),Calc!$I$2:$I$501)</f>
        <v>0</v>
      </c>
    </row>
    <row r="27" ht="15.75" customHeight="1">
      <c r="N27" s="13" t="str">
        <f>TEXT(EDATE(TODAY(),-5),"MMM-YY")</f>
        <v>Feb-26</v>
      </c>
      <c r="O27" s="13">
        <f>SUMIF(Calc!$C$2:$C$501,TEXT(EDATE(TODAY(),-5),"YYYY-MM"),Calc!$I$2:$I$501)</f>
        <v>0</v>
      </c>
    </row>
    <row r="28" ht="15.75" customHeight="1">
      <c r="N28" s="13" t="str">
        <f>TEXT(EDATE(TODAY(),-4),"MMM-YY")</f>
        <v>Mar-26</v>
      </c>
      <c r="O28" s="13">
        <f>SUMIF(Calc!$C$2:$C$501,TEXT(EDATE(TODAY(),-4),"YYYY-MM"),Calc!$I$2:$I$501)</f>
        <v>0</v>
      </c>
    </row>
    <row r="29" ht="15.75" customHeight="1">
      <c r="N29" s="13" t="str">
        <f>TEXT(EDATE(TODAY(),-3),"MMM-YY")</f>
        <v>Apr-26</v>
      </c>
      <c r="O29" s="13">
        <f>SUMIF(Calc!$C$2:$C$501,TEXT(EDATE(TODAY(),-3),"YYYY-MM"),Calc!$I$2:$I$501)</f>
        <v>0</v>
      </c>
    </row>
    <row r="30" ht="15.75" customHeight="1">
      <c r="N30" s="13" t="str">
        <f>TEXT(EDATE(TODAY(),-2),"MMM-YY")</f>
        <v>May-26</v>
      </c>
      <c r="O30" s="13">
        <f>SUMIF(Calc!$C$2:$C$501,TEXT(EDATE(TODAY(),-2),"YYYY-MM"),Calc!$I$2:$I$501)</f>
        <v>0</v>
      </c>
    </row>
    <row r="31" ht="15.75" customHeight="1">
      <c r="N31" s="13" t="str">
        <f>TEXT(EDATE(TODAY(),-1),"MMM-YY")</f>
        <v>Jun-26</v>
      </c>
      <c r="O31" s="13">
        <f>SUMIF(Calc!$C$2:$C$501,TEXT(EDATE(TODAY(),-1),"YYYY-MM"),Calc!$I$2:$I$501)</f>
        <v>2269476</v>
      </c>
    </row>
    <row r="32" ht="15.75" customHeight="1">
      <c r="N32" s="13" t="str">
        <f>TEXT(EDATE(TODAY(),-0),"MMM-YY")</f>
        <v>Jul-26</v>
      </c>
      <c r="O32" s="13" t="str">
        <f>SUMIF(Calc!$C$2:$C$501,TEXT(EDATE(TODAY(),-0),"YYYY-MM"),Calc!$I$2:$I$501)</f>
        <v>#REF!</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1:L1"/>
    <mergeCell ref="A2:L2"/>
    <mergeCell ref="C4:D4"/>
    <mergeCell ref="E4:F4"/>
    <mergeCell ref="G4:H4"/>
    <mergeCell ref="I4:J4"/>
    <mergeCell ref="K4:L4"/>
    <mergeCell ref="A5:B5"/>
    <mergeCell ref="A8:C8"/>
    <mergeCell ref="A9:C9"/>
    <mergeCell ref="D8:F8"/>
    <mergeCell ref="G8:I8"/>
    <mergeCell ref="J8:L8"/>
    <mergeCell ref="D9:F9"/>
    <mergeCell ref="G9:I9"/>
    <mergeCell ref="J9:L9"/>
    <mergeCell ref="A11:L11"/>
    <mergeCell ref="A4:B4"/>
    <mergeCell ref="C5:D5"/>
    <mergeCell ref="E5:F5"/>
    <mergeCell ref="G5:H5"/>
    <mergeCell ref="I5:J5"/>
    <mergeCell ref="K5:L5"/>
    <mergeCell ref="A7:L7"/>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34.0"/>
    <col customWidth="1" min="4" max="4" width="15.86"/>
    <col customWidth="1" min="5" max="5" width="26.0"/>
    <col customWidth="1" min="6" max="6" width="42.0"/>
    <col customWidth="1" min="7" max="7" width="16.0"/>
    <col customWidth="1" min="8" max="8" width="18.0"/>
    <col customWidth="1" min="9" max="13" width="10.0"/>
    <col customWidth="1" min="14" max="14" width="15.0"/>
    <col customWidth="1" min="15" max="26" width="8.71"/>
  </cols>
  <sheetData>
    <row r="1" ht="31.5" customHeight="1">
      <c r="A1" s="28" t="s">
        <v>40</v>
      </c>
      <c r="B1" s="28" t="s">
        <v>41</v>
      </c>
      <c r="C1" s="28" t="s">
        <v>42</v>
      </c>
      <c r="D1" s="28" t="s">
        <v>43</v>
      </c>
      <c r="E1" s="28" t="s">
        <v>44</v>
      </c>
      <c r="F1" s="28" t="s">
        <v>45</v>
      </c>
      <c r="G1" s="28" t="s">
        <v>46</v>
      </c>
      <c r="H1" s="28" t="s">
        <v>47</v>
      </c>
      <c r="I1" s="28" t="s">
        <v>20</v>
      </c>
      <c r="J1" s="28" t="s">
        <v>48</v>
      </c>
      <c r="K1" s="28" t="s">
        <v>49</v>
      </c>
      <c r="L1" s="28" t="s">
        <v>50</v>
      </c>
      <c r="M1" s="28" t="s">
        <v>51</v>
      </c>
      <c r="N1" s="28" t="s">
        <v>52</v>
      </c>
    </row>
    <row r="2" ht="27.0" customHeight="1">
      <c r="A2" s="29">
        <v>46174.0</v>
      </c>
      <c r="B2" s="30" t="s">
        <v>53</v>
      </c>
      <c r="C2" s="30" t="s">
        <v>54</v>
      </c>
      <c r="D2" s="30" t="s">
        <v>21</v>
      </c>
      <c r="E2" s="30"/>
      <c r="F2" s="30" t="s">
        <v>55</v>
      </c>
      <c r="G2" s="31" t="str">
        <f t="array" ref="G2">IF(F2="","",IFERROR(INDEX(Lists!$R:$R,MATCH(F2,Lists!$Q:$Q,0)),"Check Format"))</f>
        <v>Reel</v>
      </c>
      <c r="H2" s="32"/>
      <c r="I2" s="33">
        <v>37506.0</v>
      </c>
      <c r="J2" s="33">
        <v>384.0</v>
      </c>
      <c r="K2" s="33">
        <v>113.0</v>
      </c>
      <c r="L2" s="33">
        <v>243.0</v>
      </c>
      <c r="M2" s="33">
        <v>137.0</v>
      </c>
      <c r="N2" s="33">
        <v>29623.0</v>
      </c>
    </row>
    <row r="3" ht="27.0" customHeight="1">
      <c r="A3" s="29">
        <v>46175.0</v>
      </c>
      <c r="B3" s="30" t="s">
        <v>56</v>
      </c>
      <c r="C3" s="30" t="s">
        <v>57</v>
      </c>
      <c r="D3" s="32"/>
      <c r="E3" s="30"/>
      <c r="F3" s="34" t="s">
        <v>58</v>
      </c>
      <c r="G3" s="35" t="str">
        <f t="array" ref="G3">IF(F3="","",IFERROR(INDEX(Lists!$R:$R,MATCH(F3,Lists!$Q:$Q,0)),"Check Format"))</f>
        <v>Carousel</v>
      </c>
      <c r="H3" s="32"/>
      <c r="I3" s="33">
        <v>42918.0</v>
      </c>
      <c r="J3" s="33">
        <v>82.0</v>
      </c>
      <c r="K3" s="33">
        <v>10.0</v>
      </c>
      <c r="L3" s="33">
        <v>12.0</v>
      </c>
      <c r="M3" s="33">
        <v>18.0</v>
      </c>
      <c r="N3" s="33">
        <v>18758.0</v>
      </c>
    </row>
    <row r="4" ht="27.0" customHeight="1">
      <c r="A4" s="29">
        <v>46176.0</v>
      </c>
      <c r="B4" s="30" t="s">
        <v>59</v>
      </c>
      <c r="C4" s="30" t="s">
        <v>60</v>
      </c>
      <c r="D4" s="30" t="s">
        <v>29</v>
      </c>
      <c r="E4" s="30"/>
      <c r="F4" s="30" t="s">
        <v>55</v>
      </c>
      <c r="G4" s="31" t="str">
        <f t="array" ref="G4">IF(F4="","",IFERROR(INDEX(Lists!$R:$R,MATCH(F4,Lists!$Q:$Q,0)),"Check Format"))</f>
        <v>Reel</v>
      </c>
      <c r="H4" s="32"/>
      <c r="I4" s="33">
        <v>30952.0</v>
      </c>
      <c r="J4" s="33">
        <v>542.0</v>
      </c>
      <c r="K4" s="33">
        <v>15.0</v>
      </c>
      <c r="L4" s="33">
        <v>225.0</v>
      </c>
      <c r="M4" s="33">
        <v>243.0</v>
      </c>
      <c r="N4" s="33">
        <v>22416.0</v>
      </c>
      <c r="O4" s="36"/>
      <c r="P4" s="36"/>
      <c r="Q4" s="36"/>
      <c r="R4" s="36"/>
      <c r="S4" s="36"/>
      <c r="T4" s="36"/>
      <c r="U4" s="36"/>
      <c r="V4" s="36"/>
      <c r="W4" s="36"/>
      <c r="X4" s="36"/>
      <c r="Y4" s="36"/>
      <c r="Z4" s="36"/>
    </row>
    <row r="5" ht="27.0" customHeight="1">
      <c r="A5" s="29">
        <v>46177.0</v>
      </c>
      <c r="B5" s="34" t="s">
        <v>61</v>
      </c>
      <c r="C5" s="30" t="s">
        <v>62</v>
      </c>
      <c r="D5" s="30" t="s">
        <v>21</v>
      </c>
      <c r="E5" s="30"/>
      <c r="F5" s="34" t="s">
        <v>58</v>
      </c>
      <c r="G5" s="35" t="str">
        <f t="array" ref="G5">IF(F5="","",IFERROR(INDEX(Lists!$R:$R,MATCH(F5,Lists!$Q:$Q,0)),"Check Format"))</f>
        <v>Carousel</v>
      </c>
      <c r="H5" s="32"/>
      <c r="I5" s="33">
        <v>142265.0</v>
      </c>
      <c r="J5" s="33">
        <v>781.0</v>
      </c>
      <c r="K5" s="33">
        <v>3.0</v>
      </c>
      <c r="L5" s="33">
        <v>842.0</v>
      </c>
      <c r="M5" s="33">
        <v>890.0</v>
      </c>
      <c r="N5" s="33">
        <v>72659.0</v>
      </c>
      <c r="O5" s="36"/>
      <c r="P5" s="36"/>
      <c r="Q5" s="36"/>
      <c r="R5" s="36"/>
      <c r="S5" s="36"/>
      <c r="T5" s="36"/>
      <c r="U5" s="36"/>
      <c r="V5" s="36"/>
      <c r="W5" s="36"/>
      <c r="X5" s="36"/>
      <c r="Y5" s="36"/>
      <c r="Z5" s="36"/>
    </row>
    <row r="6" ht="27.0" customHeight="1">
      <c r="A6" s="29">
        <v>46178.0</v>
      </c>
      <c r="B6" s="34" t="s">
        <v>63</v>
      </c>
      <c r="C6" s="30" t="s">
        <v>64</v>
      </c>
      <c r="D6" s="30" t="s">
        <v>29</v>
      </c>
      <c r="E6" s="30"/>
      <c r="F6" s="30" t="s">
        <v>55</v>
      </c>
      <c r="G6" s="31" t="str">
        <f t="array" ref="G6">IF(F6="","",IFERROR(INDEX(Lists!$R:$R,MATCH(F6,Lists!$Q:$Q,0)),"Check Format"))</f>
        <v>Reel</v>
      </c>
      <c r="H6" s="32"/>
      <c r="I6" s="33">
        <v>56090.0</v>
      </c>
      <c r="J6" s="33">
        <v>649.0</v>
      </c>
      <c r="K6" s="33">
        <v>24.0</v>
      </c>
      <c r="L6" s="33">
        <v>632.0</v>
      </c>
      <c r="M6" s="33">
        <v>142.0</v>
      </c>
      <c r="N6" s="33">
        <v>44171.0</v>
      </c>
      <c r="O6" s="36"/>
      <c r="P6" s="36"/>
      <c r="Q6" s="36"/>
      <c r="R6" s="36"/>
      <c r="S6" s="36"/>
      <c r="T6" s="36"/>
      <c r="U6" s="36"/>
      <c r="V6" s="36"/>
      <c r="W6" s="36"/>
      <c r="X6" s="36"/>
      <c r="Y6" s="36"/>
      <c r="Z6" s="36"/>
    </row>
    <row r="7" ht="27.0" customHeight="1">
      <c r="A7" s="29">
        <v>46179.0</v>
      </c>
      <c r="B7" s="34" t="s">
        <v>65</v>
      </c>
      <c r="C7" s="30" t="s">
        <v>66</v>
      </c>
      <c r="D7" s="32"/>
      <c r="E7" s="30"/>
      <c r="F7" s="30" t="s">
        <v>55</v>
      </c>
      <c r="G7" s="31" t="str">
        <f t="array" ref="G7">IF(F7="","",IFERROR(INDEX(Lists!$R:$R,MATCH(F7,Lists!$Q:$Q,0)),"Check Format"))</f>
        <v>Reel</v>
      </c>
      <c r="H7" s="32"/>
      <c r="I7" s="33">
        <v>36691.0</v>
      </c>
      <c r="J7" s="33">
        <v>529.0</v>
      </c>
      <c r="K7" s="33">
        <v>12.0</v>
      </c>
      <c r="L7" s="33">
        <v>131.0</v>
      </c>
      <c r="M7" s="33">
        <v>142.0</v>
      </c>
      <c r="N7" s="33">
        <v>27905.0</v>
      </c>
      <c r="O7" s="36"/>
      <c r="P7" s="36"/>
      <c r="Q7" s="36"/>
      <c r="R7" s="36"/>
      <c r="S7" s="36"/>
      <c r="T7" s="36"/>
      <c r="U7" s="36"/>
      <c r="V7" s="36"/>
      <c r="W7" s="36"/>
      <c r="X7" s="36"/>
      <c r="Y7" s="36"/>
      <c r="Z7" s="36"/>
    </row>
    <row r="8" ht="27.0" customHeight="1">
      <c r="A8" s="29">
        <v>46180.0</v>
      </c>
      <c r="B8" s="34" t="s">
        <v>63</v>
      </c>
      <c r="C8" s="30" t="s">
        <v>67</v>
      </c>
      <c r="D8" s="32"/>
      <c r="E8" s="30"/>
      <c r="F8" s="34" t="s">
        <v>58</v>
      </c>
      <c r="G8" s="35" t="str">
        <f t="array" ref="G8">IF(F8="","",IFERROR(INDEX(Lists!$R:$R,MATCH(F8,Lists!$Q:$Q,0)),"Check Format"))</f>
        <v>Carousel</v>
      </c>
      <c r="H8" s="32"/>
      <c r="I8" s="33">
        <v>74186.0</v>
      </c>
      <c r="J8" s="33">
        <v>289.0</v>
      </c>
      <c r="K8" s="33">
        <v>10.0</v>
      </c>
      <c r="L8" s="33">
        <v>521.0</v>
      </c>
      <c r="M8" s="33">
        <v>144.0</v>
      </c>
      <c r="N8" s="33">
        <v>34846.0</v>
      </c>
      <c r="O8" s="37"/>
      <c r="P8" s="36"/>
      <c r="Q8" s="36"/>
      <c r="R8" s="36"/>
      <c r="S8" s="36"/>
      <c r="T8" s="36"/>
      <c r="U8" s="36"/>
      <c r="V8" s="36"/>
      <c r="W8" s="36"/>
      <c r="X8" s="36"/>
      <c r="Y8" s="36"/>
      <c r="Z8" s="36"/>
    </row>
    <row r="9" ht="27.0" customHeight="1">
      <c r="A9" s="29">
        <v>46182.0</v>
      </c>
      <c r="B9" s="34" t="s">
        <v>68</v>
      </c>
      <c r="C9" s="30" t="s">
        <v>69</v>
      </c>
      <c r="D9" s="32"/>
      <c r="E9" s="30"/>
      <c r="F9" s="30" t="s">
        <v>55</v>
      </c>
      <c r="G9" s="31" t="str">
        <f t="array" ref="G9">IF(F9="","",IFERROR(INDEX(Lists!$R:$R,MATCH(F9,Lists!$Q:$Q,0)),"Check Format"))</f>
        <v>Reel</v>
      </c>
      <c r="H9" s="32"/>
      <c r="I9" s="33">
        <v>19516.0</v>
      </c>
      <c r="J9" s="33">
        <v>174.0</v>
      </c>
      <c r="K9" s="33">
        <v>16.0</v>
      </c>
      <c r="L9" s="33">
        <v>109.0</v>
      </c>
      <c r="M9" s="33">
        <v>59.0</v>
      </c>
      <c r="N9" s="33">
        <v>15538.0</v>
      </c>
      <c r="O9" s="33"/>
      <c r="P9" s="36"/>
      <c r="Q9" s="36"/>
      <c r="R9" s="36"/>
      <c r="S9" s="36"/>
      <c r="T9" s="36"/>
      <c r="U9" s="36"/>
      <c r="V9" s="36"/>
      <c r="W9" s="36"/>
      <c r="X9" s="36"/>
      <c r="Y9" s="36"/>
      <c r="Z9" s="36"/>
    </row>
    <row r="10" ht="27.0" customHeight="1">
      <c r="A10" s="29">
        <v>46183.0</v>
      </c>
      <c r="B10" s="34" t="s">
        <v>70</v>
      </c>
      <c r="C10" s="30" t="s">
        <v>71</v>
      </c>
      <c r="D10" s="32"/>
      <c r="E10" s="30"/>
      <c r="F10" s="34" t="s">
        <v>58</v>
      </c>
      <c r="G10" s="35" t="str">
        <f t="array" ref="G10">IF(F10="","",IFERROR(INDEX(Lists!$R:$R,MATCH(F10,Lists!$Q:$Q,0)),"Check Format"))</f>
        <v>Carousel</v>
      </c>
      <c r="H10" s="32"/>
      <c r="I10" s="33">
        <v>115377.0</v>
      </c>
      <c r="J10" s="33">
        <v>864.0</v>
      </c>
      <c r="K10" s="33">
        <v>4.0</v>
      </c>
      <c r="L10" s="33">
        <v>757.0</v>
      </c>
      <c r="M10" s="33">
        <v>426.0</v>
      </c>
      <c r="N10" s="33">
        <v>60745.0</v>
      </c>
      <c r="O10" s="33"/>
      <c r="P10" s="36"/>
      <c r="Q10" s="36"/>
      <c r="R10" s="36"/>
      <c r="S10" s="36"/>
      <c r="T10" s="36"/>
      <c r="U10" s="36"/>
      <c r="V10" s="36"/>
      <c r="W10" s="36"/>
      <c r="X10" s="36"/>
      <c r="Y10" s="36"/>
      <c r="Z10" s="36"/>
    </row>
    <row r="11" ht="27.0" customHeight="1">
      <c r="A11" s="29">
        <v>46184.0</v>
      </c>
      <c r="B11" s="34" t="s">
        <v>72</v>
      </c>
      <c r="C11" s="30" t="s">
        <v>73</v>
      </c>
      <c r="D11" s="32"/>
      <c r="E11" s="30"/>
      <c r="F11" s="34" t="s">
        <v>58</v>
      </c>
      <c r="G11" s="35" t="str">
        <f t="array" ref="G11">IF(F11="","",IFERROR(INDEX(Lists!$R:$R,MATCH(F11,Lists!$Q:$Q,0)),"Check Format"))</f>
        <v>Carousel</v>
      </c>
      <c r="H11" s="32"/>
      <c r="I11" s="33">
        <v>156047.0</v>
      </c>
      <c r="J11" s="33">
        <v>1207.0</v>
      </c>
      <c r="K11" s="33">
        <v>24.0</v>
      </c>
      <c r="L11" s="33">
        <v>1051.0</v>
      </c>
      <c r="M11" s="33">
        <v>609.0</v>
      </c>
      <c r="N11" s="33">
        <v>87310.0</v>
      </c>
      <c r="O11" s="33"/>
      <c r="P11" s="36"/>
      <c r="Q11" s="36"/>
      <c r="R11" s="36"/>
      <c r="S11" s="36"/>
      <c r="T11" s="36"/>
      <c r="U11" s="36"/>
      <c r="V11" s="36"/>
      <c r="W11" s="36"/>
      <c r="X11" s="36"/>
      <c r="Y11" s="36"/>
      <c r="Z11" s="36"/>
    </row>
    <row r="12" ht="27.0" customHeight="1">
      <c r="A12" s="29">
        <v>46185.0</v>
      </c>
      <c r="B12" s="34" t="s">
        <v>68</v>
      </c>
      <c r="C12" s="30" t="s">
        <v>74</v>
      </c>
      <c r="D12" s="32"/>
      <c r="E12" s="30"/>
      <c r="F12" s="34" t="s">
        <v>58</v>
      </c>
      <c r="G12" s="35" t="str">
        <f t="array" ref="G12">IF(F12="","",IFERROR(INDEX(Lists!$R:$R,MATCH(F12,Lists!$Q:$Q,0)),"Check Format"))</f>
        <v>Carousel</v>
      </c>
      <c r="H12" s="32"/>
      <c r="I12" s="33">
        <v>46509.0</v>
      </c>
      <c r="J12" s="33">
        <v>118.0</v>
      </c>
      <c r="K12" s="33">
        <v>4.0</v>
      </c>
      <c r="L12" s="33">
        <v>69.0</v>
      </c>
      <c r="M12" s="33">
        <v>56.0</v>
      </c>
      <c r="N12" s="33">
        <v>21065.0</v>
      </c>
      <c r="O12" s="33"/>
      <c r="P12" s="36"/>
      <c r="Q12" s="36"/>
      <c r="R12" s="36"/>
      <c r="S12" s="36"/>
      <c r="T12" s="36"/>
      <c r="U12" s="36"/>
      <c r="V12" s="36"/>
      <c r="W12" s="36"/>
      <c r="X12" s="36"/>
      <c r="Y12" s="36"/>
      <c r="Z12" s="36"/>
    </row>
    <row r="13" ht="27.0" customHeight="1">
      <c r="A13" s="29">
        <v>46186.0</v>
      </c>
      <c r="B13" s="34" t="s">
        <v>75</v>
      </c>
      <c r="C13" s="30" t="s">
        <v>76</v>
      </c>
      <c r="D13" s="32"/>
      <c r="E13" s="30"/>
      <c r="F13" s="30" t="s">
        <v>55</v>
      </c>
      <c r="G13" s="31" t="str">
        <f t="array" ref="G13">IF(F13="","",IFERROR(INDEX(Lists!$R:$R,MATCH(F13,Lists!$Q:$Q,0)),"Check Format"))</f>
        <v>Reel</v>
      </c>
      <c r="H13" s="32"/>
      <c r="I13" s="33">
        <v>25691.0</v>
      </c>
      <c r="J13" s="33">
        <v>243.0</v>
      </c>
      <c r="K13" s="33">
        <v>8.0</v>
      </c>
      <c r="L13" s="33">
        <v>52.0</v>
      </c>
      <c r="M13" s="33">
        <v>69.0</v>
      </c>
      <c r="N13" s="33">
        <v>19955.0</v>
      </c>
      <c r="O13" s="33"/>
      <c r="P13" s="36"/>
      <c r="Q13" s="36"/>
      <c r="R13" s="36"/>
      <c r="S13" s="36"/>
      <c r="T13" s="36"/>
      <c r="U13" s="36"/>
      <c r="V13" s="36"/>
      <c r="W13" s="36"/>
      <c r="X13" s="36"/>
      <c r="Y13" s="36"/>
      <c r="Z13" s="36"/>
    </row>
    <row r="14" ht="27.0" customHeight="1">
      <c r="A14" s="29">
        <v>46187.0</v>
      </c>
      <c r="B14" s="34" t="s">
        <v>75</v>
      </c>
      <c r="C14" s="30" t="s">
        <v>77</v>
      </c>
      <c r="D14" s="32"/>
      <c r="E14" s="30"/>
      <c r="F14" s="34" t="s">
        <v>58</v>
      </c>
      <c r="G14" s="35" t="str">
        <f t="array" ref="G14">IF(F14="","",IFERROR(INDEX(Lists!$R:$R,MATCH(F14,Lists!$Q:$Q,0)),"Check Format"))</f>
        <v>Carousel</v>
      </c>
      <c r="H14" s="32"/>
      <c r="I14" s="33">
        <v>76815.0</v>
      </c>
      <c r="J14" s="33">
        <v>348.0</v>
      </c>
      <c r="K14" s="33">
        <v>0.0</v>
      </c>
      <c r="L14" s="33">
        <v>97.0</v>
      </c>
      <c r="M14" s="33">
        <v>168.0</v>
      </c>
      <c r="N14" s="33">
        <v>32251.0</v>
      </c>
      <c r="O14" s="33"/>
      <c r="P14" s="36"/>
      <c r="Q14" s="36"/>
      <c r="R14" s="36"/>
      <c r="S14" s="36"/>
      <c r="T14" s="36"/>
      <c r="U14" s="36"/>
      <c r="V14" s="36"/>
      <c r="W14" s="36"/>
      <c r="X14" s="36"/>
      <c r="Y14" s="36"/>
      <c r="Z14" s="36"/>
    </row>
    <row r="15" ht="27.0" customHeight="1">
      <c r="A15" s="29">
        <v>46189.0</v>
      </c>
      <c r="B15" s="34" t="s">
        <v>78</v>
      </c>
      <c r="C15" s="30" t="s">
        <v>79</v>
      </c>
      <c r="D15" s="32"/>
      <c r="E15" s="30"/>
      <c r="F15" s="30" t="s">
        <v>55</v>
      </c>
      <c r="G15" s="31" t="str">
        <f t="array" ref="G15">IF(F15="","",IFERROR(INDEX(Lists!$R:$R,MATCH(F15,Lists!$Q:$Q,0)),"Check Format"))</f>
        <v>Reel</v>
      </c>
      <c r="H15" s="32"/>
      <c r="I15" s="33">
        <v>54358.0</v>
      </c>
      <c r="J15" s="33">
        <v>699.0</v>
      </c>
      <c r="K15" s="33">
        <v>21.0</v>
      </c>
      <c r="L15" s="33">
        <v>948.0</v>
      </c>
      <c r="M15" s="33">
        <v>434.0</v>
      </c>
      <c r="N15" s="33">
        <v>40298.0</v>
      </c>
      <c r="O15" s="33"/>
      <c r="P15" s="38"/>
      <c r="Q15" s="38"/>
      <c r="R15" s="38"/>
      <c r="S15" s="38"/>
      <c r="T15" s="38"/>
      <c r="U15" s="38"/>
      <c r="V15" s="38"/>
      <c r="W15" s="38"/>
      <c r="X15" s="38"/>
      <c r="Y15" s="38"/>
      <c r="Z15" s="38"/>
    </row>
    <row r="16" ht="27.0" customHeight="1">
      <c r="A16" s="29">
        <v>46190.0</v>
      </c>
      <c r="B16" s="34" t="s">
        <v>78</v>
      </c>
      <c r="C16" s="30" t="s">
        <v>80</v>
      </c>
      <c r="D16" s="32"/>
      <c r="E16" s="30"/>
      <c r="F16" s="34" t="s">
        <v>58</v>
      </c>
      <c r="G16" s="35" t="str">
        <f t="array" ref="G16">IF(F16="","",IFERROR(INDEX(Lists!$R:$R,MATCH(F16,Lists!$Q:$Q,0)),"Check Format"))</f>
        <v>Carousel</v>
      </c>
      <c r="H16" s="32"/>
      <c r="I16" s="33">
        <v>222837.0</v>
      </c>
      <c r="J16" s="33">
        <v>2798.0</v>
      </c>
      <c r="K16" s="33">
        <v>34.0</v>
      </c>
      <c r="L16" s="33">
        <v>4646.0</v>
      </c>
      <c r="M16" s="33">
        <v>1892.0</v>
      </c>
      <c r="N16" s="33">
        <v>195887.0</v>
      </c>
      <c r="O16" s="33"/>
      <c r="P16" s="36"/>
      <c r="Q16" s="36"/>
      <c r="R16" s="36"/>
      <c r="S16" s="36"/>
      <c r="T16" s="36"/>
      <c r="U16" s="36"/>
      <c r="V16" s="36"/>
      <c r="W16" s="36"/>
      <c r="X16" s="36"/>
      <c r="Y16" s="36"/>
      <c r="Z16" s="36"/>
    </row>
    <row r="17" ht="27.0" customHeight="1">
      <c r="A17" s="29">
        <v>46191.0</v>
      </c>
      <c r="B17" s="34" t="s">
        <v>81</v>
      </c>
      <c r="C17" s="30" t="s">
        <v>82</v>
      </c>
      <c r="D17" s="32"/>
      <c r="E17" s="30"/>
      <c r="F17" s="30" t="s">
        <v>55</v>
      </c>
      <c r="G17" s="31" t="str">
        <f t="array" ref="G17">IF(F17="","",IFERROR(INDEX(Lists!$R:$R,MATCH(F17,Lists!$Q:$Q,0)),"Check Format"))</f>
        <v>Reel</v>
      </c>
      <c r="H17" s="32"/>
      <c r="I17" s="33">
        <v>35037.0</v>
      </c>
      <c r="J17" s="33">
        <v>296.0</v>
      </c>
      <c r="K17" s="33">
        <v>18.0</v>
      </c>
      <c r="L17" s="33">
        <v>175.0</v>
      </c>
      <c r="M17" s="33">
        <v>122.0</v>
      </c>
      <c r="N17" s="33">
        <v>26493.0</v>
      </c>
      <c r="O17" s="33"/>
      <c r="P17" s="36"/>
      <c r="Q17" s="36"/>
      <c r="R17" s="36"/>
      <c r="S17" s="36"/>
      <c r="T17" s="36"/>
      <c r="U17" s="36"/>
      <c r="V17" s="36"/>
      <c r="W17" s="36"/>
      <c r="X17" s="36"/>
      <c r="Y17" s="36"/>
      <c r="Z17" s="36"/>
    </row>
    <row r="18" ht="27.0" customHeight="1">
      <c r="A18" s="29">
        <v>46192.0</v>
      </c>
      <c r="B18" s="34" t="s">
        <v>83</v>
      </c>
      <c r="C18" s="30" t="s">
        <v>84</v>
      </c>
      <c r="D18" s="32"/>
      <c r="E18" s="30"/>
      <c r="F18" s="34" t="s">
        <v>58</v>
      </c>
      <c r="G18" s="35" t="str">
        <f t="array" ref="G18">IF(F18="","",IFERROR(INDEX(Lists!$R:$R,MATCH(F18,Lists!$Q:$Q,0)),"Check Format"))</f>
        <v>Carousel</v>
      </c>
      <c r="H18" s="32"/>
      <c r="I18" s="33">
        <v>627556.0</v>
      </c>
      <c r="J18" s="33">
        <v>11155.0</v>
      </c>
      <c r="K18" s="33">
        <v>113.0</v>
      </c>
      <c r="L18" s="33">
        <v>25253.0</v>
      </c>
      <c r="M18" s="33">
        <v>13194.0</v>
      </c>
      <c r="N18" s="33">
        <v>870241.0</v>
      </c>
      <c r="O18" s="36"/>
      <c r="P18" s="36"/>
      <c r="Q18" s="36"/>
      <c r="R18" s="36"/>
      <c r="S18" s="36"/>
      <c r="T18" s="36"/>
      <c r="U18" s="36"/>
      <c r="V18" s="36"/>
      <c r="W18" s="36"/>
      <c r="X18" s="36"/>
      <c r="Y18" s="36"/>
      <c r="Z18" s="36"/>
    </row>
    <row r="19" ht="27.0" customHeight="1">
      <c r="A19" s="29">
        <v>46193.0</v>
      </c>
      <c r="B19" s="34" t="s">
        <v>85</v>
      </c>
      <c r="C19" s="30" t="s">
        <v>86</v>
      </c>
      <c r="D19" s="32"/>
      <c r="E19" s="30"/>
      <c r="F19" s="30" t="s">
        <v>55</v>
      </c>
      <c r="G19" s="31" t="str">
        <f t="array" ref="G19">IF(F19="","",IFERROR(INDEX(Lists!$R:$R,MATCH(F19,Lists!$Q:$Q,0)),"Check Format"))</f>
        <v>Reel</v>
      </c>
      <c r="H19" s="32"/>
      <c r="I19" s="33">
        <v>25440.0</v>
      </c>
      <c r="J19" s="33">
        <v>305.0</v>
      </c>
      <c r="K19" s="33">
        <v>72.0</v>
      </c>
      <c r="L19" s="33">
        <v>46.0</v>
      </c>
      <c r="M19" s="33">
        <v>16.0</v>
      </c>
      <c r="N19" s="33">
        <v>19688.0</v>
      </c>
      <c r="O19" s="36"/>
      <c r="P19" s="36"/>
      <c r="Q19" s="36"/>
      <c r="R19" s="36"/>
      <c r="S19" s="36"/>
      <c r="T19" s="36"/>
      <c r="U19" s="36"/>
      <c r="V19" s="36"/>
      <c r="W19" s="36"/>
      <c r="X19" s="36"/>
      <c r="Y19" s="36"/>
      <c r="Z19" s="36"/>
    </row>
    <row r="20" ht="27.0" customHeight="1">
      <c r="A20" s="29">
        <v>46194.0</v>
      </c>
      <c r="B20" s="34" t="s">
        <v>85</v>
      </c>
      <c r="C20" s="30" t="s">
        <v>87</v>
      </c>
      <c r="D20" s="32"/>
      <c r="E20" s="30"/>
      <c r="F20" s="34" t="s">
        <v>58</v>
      </c>
      <c r="G20" s="35" t="str">
        <f t="array" ref="G20">IF(F20="","",IFERROR(INDEX(Lists!$R:$R,MATCH(F20,Lists!$Q:$Q,0)),"Check Format"))</f>
        <v>Carousel</v>
      </c>
      <c r="H20" s="32"/>
      <c r="I20" s="33">
        <v>33797.0</v>
      </c>
      <c r="J20" s="33">
        <v>149.0</v>
      </c>
      <c r="K20" s="33">
        <v>21.0</v>
      </c>
      <c r="L20" s="33">
        <v>7.0</v>
      </c>
      <c r="M20" s="33">
        <v>7.0</v>
      </c>
      <c r="N20" s="33">
        <v>14926.0</v>
      </c>
      <c r="O20" s="36"/>
      <c r="P20" s="36"/>
      <c r="Q20" s="36"/>
      <c r="R20" s="36"/>
      <c r="S20" s="36"/>
      <c r="T20" s="36"/>
      <c r="U20" s="36"/>
      <c r="V20" s="36"/>
      <c r="W20" s="36"/>
      <c r="X20" s="36"/>
      <c r="Y20" s="36"/>
      <c r="Z20" s="36"/>
    </row>
    <row r="21" ht="27.0" customHeight="1">
      <c r="A21" s="29">
        <v>46195.0</v>
      </c>
      <c r="B21" s="30" t="s">
        <v>88</v>
      </c>
      <c r="C21" s="30" t="s">
        <v>89</v>
      </c>
      <c r="D21" s="32"/>
      <c r="E21" s="30"/>
      <c r="F21" s="30" t="s">
        <v>55</v>
      </c>
      <c r="G21" s="31" t="str">
        <f t="array" ref="G21">IF(F21="","",IFERROR(INDEX(Lists!$R:$R,MATCH(F21,Lists!$Q:$Q,0)),"Check Format"))</f>
        <v>Reel</v>
      </c>
      <c r="H21" s="32"/>
      <c r="I21" s="33">
        <v>20809.0</v>
      </c>
      <c r="J21" s="33">
        <v>201.0</v>
      </c>
      <c r="K21" s="33">
        <v>14.0</v>
      </c>
      <c r="L21" s="33">
        <v>34.0</v>
      </c>
      <c r="M21" s="33">
        <v>41.0</v>
      </c>
      <c r="N21" s="33">
        <v>15797.0</v>
      </c>
      <c r="O21" s="36"/>
      <c r="P21" s="36"/>
      <c r="Q21" s="36"/>
      <c r="R21" s="36"/>
      <c r="S21" s="36"/>
      <c r="T21" s="36"/>
      <c r="U21" s="36"/>
      <c r="V21" s="36"/>
      <c r="W21" s="36"/>
      <c r="X21" s="36"/>
      <c r="Y21" s="36"/>
      <c r="Z21" s="36"/>
    </row>
    <row r="22" ht="27.0" customHeight="1">
      <c r="A22" s="29">
        <v>46196.0</v>
      </c>
      <c r="B22" s="30" t="s">
        <v>90</v>
      </c>
      <c r="C22" s="30" t="s">
        <v>91</v>
      </c>
      <c r="D22" s="32"/>
      <c r="E22" s="30"/>
      <c r="F22" s="34" t="s">
        <v>58</v>
      </c>
      <c r="G22" s="35" t="str">
        <f t="array" ref="G22">IF(F22="","",IFERROR(INDEX(Lists!$R:$R,MATCH(F22,Lists!$Q:$Q,0)),"Check Format"))</f>
        <v>Carousel</v>
      </c>
      <c r="H22" s="32"/>
      <c r="I22" s="33">
        <v>84470.0</v>
      </c>
      <c r="J22" s="33">
        <v>331.0</v>
      </c>
      <c r="K22" s="33">
        <v>9.0</v>
      </c>
      <c r="L22" s="33">
        <v>208.0</v>
      </c>
      <c r="M22" s="33">
        <v>312.0</v>
      </c>
      <c r="N22" s="33">
        <v>42340.0</v>
      </c>
    </row>
    <row r="23" ht="27.0" customHeight="1">
      <c r="A23" s="29">
        <v>46197.0</v>
      </c>
      <c r="B23" s="30" t="s">
        <v>92</v>
      </c>
      <c r="C23" s="30" t="s">
        <v>93</v>
      </c>
      <c r="D23" s="32"/>
      <c r="E23" s="30"/>
      <c r="F23" s="30" t="s">
        <v>55</v>
      </c>
      <c r="G23" s="31" t="str">
        <f t="array" ref="G23">IF(F23="","",IFERROR(INDEX(Lists!$R:$R,MATCH(F23,Lists!$Q:$Q,0)),"Check Format"))</f>
        <v>Reel</v>
      </c>
      <c r="H23" s="32"/>
      <c r="I23" s="33">
        <v>24181.0</v>
      </c>
      <c r="J23" s="33">
        <v>160.0</v>
      </c>
      <c r="K23" s="33">
        <v>8.0</v>
      </c>
      <c r="L23" s="33">
        <v>44.0</v>
      </c>
      <c r="M23" s="33">
        <v>48.0</v>
      </c>
      <c r="N23" s="33">
        <v>20029.0</v>
      </c>
    </row>
    <row r="24" ht="27.0" customHeight="1">
      <c r="A24" s="29">
        <v>46198.0</v>
      </c>
      <c r="B24" s="30" t="s">
        <v>94</v>
      </c>
      <c r="C24" s="30" t="s">
        <v>95</v>
      </c>
      <c r="D24" s="32"/>
      <c r="E24" s="30"/>
      <c r="F24" s="34" t="s">
        <v>58</v>
      </c>
      <c r="G24" s="35" t="str">
        <f t="array" ref="G24">IF(F24="","",IFERROR(INDEX(Lists!$R:$R,MATCH(F24,Lists!$Q:$Q,0)),"Check Format"))</f>
        <v>Carousel</v>
      </c>
      <c r="H24" s="32"/>
      <c r="I24" s="33">
        <v>180105.0</v>
      </c>
      <c r="J24" s="33">
        <v>884.0</v>
      </c>
      <c r="K24" s="33">
        <v>11.0</v>
      </c>
      <c r="L24" s="33">
        <v>1772.0</v>
      </c>
      <c r="M24" s="33">
        <v>796.0</v>
      </c>
      <c r="N24" s="33">
        <v>105179.0</v>
      </c>
    </row>
    <row r="25" ht="27.0" customHeight="1">
      <c r="A25" s="29">
        <v>46199.0</v>
      </c>
      <c r="B25" s="30" t="s">
        <v>96</v>
      </c>
      <c r="C25" s="30" t="s">
        <v>97</v>
      </c>
      <c r="D25" s="32"/>
      <c r="E25" s="30"/>
      <c r="F25" s="30" t="s">
        <v>55</v>
      </c>
      <c r="G25" s="31" t="str">
        <f t="array" ref="G25">IF(F25="","",IFERROR(INDEX(Lists!$R:$R,MATCH(F25,Lists!$Q:$Q,0)),"Check Format"))</f>
        <v>Reel</v>
      </c>
      <c r="H25" s="32"/>
      <c r="I25" s="33">
        <v>16022.0</v>
      </c>
      <c r="J25" s="33">
        <v>166.0</v>
      </c>
      <c r="K25" s="33">
        <v>10.0</v>
      </c>
      <c r="L25" s="33">
        <v>58.0</v>
      </c>
      <c r="M25" s="33">
        <v>69.0</v>
      </c>
      <c r="N25" s="33">
        <v>12484.0</v>
      </c>
    </row>
    <row r="26" ht="27.0" customHeight="1">
      <c r="A26" s="29">
        <v>46200.0</v>
      </c>
      <c r="B26" s="30" t="s">
        <v>98</v>
      </c>
      <c r="C26" s="30" t="s">
        <v>99</v>
      </c>
      <c r="D26" s="32"/>
      <c r="E26" s="30"/>
      <c r="F26" s="34" t="s">
        <v>58</v>
      </c>
      <c r="G26" s="35" t="str">
        <f t="array" ref="G26">IF(F26="","",IFERROR(INDEX(Lists!$R:$R,MATCH(F26,Lists!$Q:$Q,0)),"Check Format"))</f>
        <v>Carousel</v>
      </c>
      <c r="H26" s="32"/>
      <c r="I26" s="33">
        <v>180910.0</v>
      </c>
      <c r="J26" s="33">
        <v>1748.0</v>
      </c>
      <c r="K26" s="33">
        <v>27.0</v>
      </c>
      <c r="L26" s="33">
        <v>1741.0</v>
      </c>
      <c r="M26" s="33">
        <v>2191.0</v>
      </c>
      <c r="N26" s="33">
        <v>142302.0</v>
      </c>
    </row>
    <row r="27" ht="27.0" customHeight="1">
      <c r="A27" s="29">
        <v>46201.0</v>
      </c>
      <c r="B27" s="30" t="s">
        <v>100</v>
      </c>
      <c r="C27" s="30" t="s">
        <v>101</v>
      </c>
      <c r="D27" s="32"/>
      <c r="E27" s="30"/>
      <c r="F27" s="30" t="s">
        <v>55</v>
      </c>
      <c r="G27" s="31" t="str">
        <f t="array" ref="G27">IF(F27="","",IFERROR(INDEX(Lists!$R:$R,MATCH(F27,Lists!$Q:$Q,0)),"Check Format"))</f>
        <v>Reel</v>
      </c>
      <c r="H27" s="32"/>
      <c r="I27" s="33">
        <v>17486.0</v>
      </c>
      <c r="J27" s="33">
        <v>104.0</v>
      </c>
      <c r="K27" s="33">
        <v>7.0</v>
      </c>
      <c r="L27" s="33">
        <v>37.0</v>
      </c>
      <c r="M27" s="33">
        <v>31.0</v>
      </c>
      <c r="N27" s="33">
        <v>13773.0</v>
      </c>
    </row>
    <row r="28" ht="27.0" customHeight="1">
      <c r="A28" s="29">
        <v>46202.0</v>
      </c>
      <c r="B28" s="30" t="s">
        <v>102</v>
      </c>
      <c r="C28" s="30" t="s">
        <v>103</v>
      </c>
      <c r="D28" s="32"/>
      <c r="E28" s="30"/>
      <c r="F28" s="34" t="s">
        <v>58</v>
      </c>
      <c r="G28" s="35" t="str">
        <f t="array" ref="G28">IF(F28="","",IFERROR(INDEX(Lists!$R:$R,MATCH(F28,Lists!$Q:$Q,0)),"Check Format"))</f>
        <v>Carousel</v>
      </c>
      <c r="H28" s="32"/>
      <c r="I28" s="33">
        <v>777455.0</v>
      </c>
      <c r="J28" s="33">
        <v>13785.0</v>
      </c>
      <c r="K28" s="33">
        <v>114.0</v>
      </c>
      <c r="L28" s="33">
        <v>15218.0</v>
      </c>
      <c r="M28" s="33">
        <v>7250.0</v>
      </c>
      <c r="N28" s="33">
        <v>679167.0</v>
      </c>
    </row>
    <row r="29" ht="27.0" customHeight="1">
      <c r="A29" s="29">
        <v>46203.0</v>
      </c>
      <c r="B29" s="30" t="s">
        <v>104</v>
      </c>
      <c r="C29" s="30" t="s">
        <v>105</v>
      </c>
      <c r="D29" s="32"/>
      <c r="E29" s="30"/>
      <c r="F29" s="30" t="s">
        <v>55</v>
      </c>
      <c r="G29" s="31" t="str">
        <f t="array" ref="G29">IF(F29="","",IFERROR(INDEX(Lists!$R:$R,MATCH(F29,Lists!$Q:$Q,0)),"Check Format"))</f>
        <v>Reel</v>
      </c>
      <c r="H29" s="32"/>
      <c r="I29" s="33">
        <v>23371.0</v>
      </c>
      <c r="J29" s="33">
        <v>156.0</v>
      </c>
      <c r="K29" s="33">
        <v>7.0</v>
      </c>
      <c r="L29" s="33">
        <v>14.0</v>
      </c>
      <c r="M29" s="33">
        <v>18.0</v>
      </c>
      <c r="N29" s="33">
        <v>19089.0</v>
      </c>
    </row>
    <row r="30" ht="27.0" customHeight="1">
      <c r="A30" s="29">
        <v>46204.0</v>
      </c>
      <c r="B30" s="30" t="s">
        <v>106</v>
      </c>
      <c r="C30" s="30" t="s">
        <v>107</v>
      </c>
      <c r="D30" s="32"/>
      <c r="E30" s="30"/>
      <c r="F30" s="34" t="s">
        <v>58</v>
      </c>
      <c r="G30" s="35" t="str">
        <f t="array" ref="G30">IF(F30="","",IFERROR(INDEX(Lists!$R:$R,MATCH(F30,Lists!$Q:$Q,0)),"Check Format"))</f>
        <v>Carousel</v>
      </c>
      <c r="H30" s="32"/>
      <c r="I30" s="33">
        <v>154879.0</v>
      </c>
      <c r="J30" s="33">
        <v>658.0</v>
      </c>
      <c r="K30" s="33">
        <v>4.0</v>
      </c>
      <c r="L30" s="33">
        <v>799.0</v>
      </c>
      <c r="M30" s="33">
        <v>798.0</v>
      </c>
      <c r="N30" s="33">
        <v>88779.0</v>
      </c>
    </row>
    <row r="31" ht="27.0" customHeight="1">
      <c r="A31" s="29">
        <v>46205.0</v>
      </c>
      <c r="B31" s="30" t="s">
        <v>108</v>
      </c>
      <c r="C31" s="30" t="s">
        <v>109</v>
      </c>
      <c r="D31" s="34"/>
      <c r="E31" s="34"/>
      <c r="F31" s="34" t="s">
        <v>58</v>
      </c>
      <c r="G31" s="35" t="str">
        <f t="array" ref="G31">IF(F31="","",IFERROR(INDEX(Lists!$R:$R,MATCH(F31,Lists!$Q:$Q,0)),"Check Format"))</f>
        <v>Carousel</v>
      </c>
      <c r="H31" s="32"/>
      <c r="I31" s="33">
        <v>90580.0</v>
      </c>
      <c r="J31" s="33">
        <v>394.0</v>
      </c>
      <c r="K31" s="33">
        <v>8.0</v>
      </c>
      <c r="L31" s="33">
        <v>275.0</v>
      </c>
      <c r="M31" s="33">
        <v>354.0</v>
      </c>
      <c r="N31" s="33">
        <v>45267.0</v>
      </c>
    </row>
    <row r="32" ht="27.0" customHeight="1">
      <c r="A32" s="29">
        <v>46206.0</v>
      </c>
      <c r="B32" s="30" t="s">
        <v>110</v>
      </c>
      <c r="C32" s="30" t="s">
        <v>111</v>
      </c>
      <c r="D32" s="32"/>
      <c r="E32" s="30"/>
      <c r="F32" s="30" t="s">
        <v>55</v>
      </c>
      <c r="G32" s="31" t="str">
        <f t="array" ref="G32">IF(F32="","",IFERROR(INDEX(Lists!$R:$R,MATCH(F32,Lists!$Q:$Q,0)),"Check Format"))</f>
        <v>Reel</v>
      </c>
      <c r="H32" s="32"/>
      <c r="I32" s="33">
        <v>35823.0</v>
      </c>
      <c r="J32" s="33">
        <v>418.0</v>
      </c>
      <c r="K32" s="33">
        <v>10.0</v>
      </c>
      <c r="L32" s="33">
        <v>379.0</v>
      </c>
      <c r="M32" s="33">
        <v>181.0</v>
      </c>
      <c r="N32" s="33">
        <v>28934.0</v>
      </c>
    </row>
    <row r="33" ht="27.0" customHeight="1">
      <c r="A33" s="29">
        <v>46207.0</v>
      </c>
      <c r="B33" s="30" t="s">
        <v>112</v>
      </c>
      <c r="C33" s="30" t="s">
        <v>113</v>
      </c>
      <c r="D33" s="34"/>
      <c r="E33" s="34"/>
      <c r="F33" s="30" t="s">
        <v>58</v>
      </c>
      <c r="G33" s="31" t="str">
        <f t="array" ref="G33">IF(F33="","",IFERROR(INDEX(Lists!$R:$R,MATCH(F33,Lists!$Q:$Q,0)),"Check Format"))</f>
        <v>Carousel</v>
      </c>
      <c r="H33" s="32"/>
      <c r="I33" s="33">
        <v>59346.0</v>
      </c>
      <c r="J33" s="33">
        <v>354.0</v>
      </c>
      <c r="K33" s="33">
        <v>9.0</v>
      </c>
      <c r="L33" s="33">
        <v>295.0</v>
      </c>
      <c r="M33" s="33">
        <v>224.0</v>
      </c>
      <c r="N33" s="33">
        <v>24994.0</v>
      </c>
    </row>
    <row r="34" ht="27.0" customHeight="1">
      <c r="A34" s="29">
        <v>46209.0</v>
      </c>
      <c r="B34" s="30" t="s">
        <v>114</v>
      </c>
      <c r="C34" s="30" t="s">
        <v>115</v>
      </c>
      <c r="D34" s="32"/>
      <c r="E34" s="32"/>
      <c r="F34" s="30" t="s">
        <v>116</v>
      </c>
      <c r="G34" s="31" t="str">
        <f t="array" ref="G34">IF(F34="","",IFERROR(INDEX(Lists!$R:$R,MATCH(F34,Lists!$Q:$Q,0)),"Check Format"))</f>
        <v>Reel</v>
      </c>
      <c r="H34" s="32"/>
      <c r="I34" s="33">
        <v>15096.0</v>
      </c>
      <c r="J34" s="33">
        <v>99.0</v>
      </c>
      <c r="K34" s="33">
        <v>0.0</v>
      </c>
      <c r="L34" s="33">
        <v>20.0</v>
      </c>
      <c r="M34" s="33">
        <v>21.0</v>
      </c>
      <c r="N34" s="33">
        <v>12053.0</v>
      </c>
    </row>
    <row r="35" ht="27.0" customHeight="1">
      <c r="A35" s="39">
        <v>46210.0</v>
      </c>
      <c r="B35" s="34" t="s">
        <v>117</v>
      </c>
      <c r="C35" s="34" t="s">
        <v>118</v>
      </c>
      <c r="D35" s="40"/>
      <c r="E35" s="40"/>
      <c r="F35" s="34" t="s">
        <v>58</v>
      </c>
      <c r="G35" s="35" t="str">
        <f t="array" ref="G35">IF(F35="","",IFERROR(INDEX(Lists!$R:$R,MATCH(F35,Lists!$Q:$Q,0)),"Check Format"))</f>
        <v>Carousel</v>
      </c>
      <c r="H35" s="40"/>
      <c r="I35" s="33">
        <v>88168.0</v>
      </c>
      <c r="J35" s="33">
        <v>612.0</v>
      </c>
      <c r="K35" s="33">
        <v>4.0</v>
      </c>
      <c r="L35" s="33">
        <v>638.0</v>
      </c>
      <c r="M35" s="33">
        <v>476.0</v>
      </c>
      <c r="N35" s="33">
        <v>44678.0</v>
      </c>
    </row>
    <row r="36" ht="27.0" customHeight="1">
      <c r="A36" s="39">
        <v>46211.0</v>
      </c>
      <c r="B36" s="34" t="s">
        <v>119</v>
      </c>
      <c r="C36" s="34" t="s">
        <v>120</v>
      </c>
      <c r="D36" s="34"/>
      <c r="E36" s="34"/>
      <c r="F36" s="34" t="s">
        <v>58</v>
      </c>
      <c r="G36" s="35" t="str">
        <f t="array" ref="G36">IF(F36="","",IFERROR(INDEX(Lists!$R:$R,MATCH(F36,Lists!$Q:$Q,0)),"Check Format"))</f>
        <v>Carousel</v>
      </c>
      <c r="H36" s="40"/>
      <c r="I36" s="33">
        <v>82305.0</v>
      </c>
      <c r="J36" s="33">
        <v>314.0</v>
      </c>
      <c r="K36" s="33">
        <v>5.0</v>
      </c>
      <c r="L36" s="33">
        <v>259.0</v>
      </c>
      <c r="M36" s="33">
        <v>297.0</v>
      </c>
      <c r="N36" s="33">
        <v>35364.0</v>
      </c>
    </row>
    <row r="37" ht="27.0" customHeight="1">
      <c r="A37" s="39">
        <v>46212.0</v>
      </c>
      <c r="B37" s="34" t="s">
        <v>121</v>
      </c>
      <c r="C37" s="34" t="s">
        <v>122</v>
      </c>
      <c r="D37" s="34"/>
      <c r="E37" s="34"/>
      <c r="F37" s="34" t="s">
        <v>58</v>
      </c>
      <c r="G37" s="35" t="str">
        <f t="array" ref="G37">IF(F37="","",IFERROR(INDEX(Lists!$R:$R,MATCH(F37,Lists!$Q:$Q,0)),"Check Format"))</f>
        <v>Carousel</v>
      </c>
      <c r="H37" s="40"/>
      <c r="I37" s="33"/>
      <c r="J37" s="33"/>
      <c r="K37" s="33"/>
      <c r="L37" s="33"/>
      <c r="M37" s="33"/>
      <c r="N37" s="33"/>
    </row>
    <row r="38" ht="27.0" customHeight="1">
      <c r="A38" s="39"/>
      <c r="B38" s="34"/>
      <c r="C38" s="34"/>
      <c r="D38" s="34"/>
      <c r="E38" s="34"/>
      <c r="F38" s="34"/>
      <c r="G38" s="35" t="str">
        <f t="array" ref="G38">IF(F38="","",IFERROR(INDEX(Lists!$R:$R,MATCH(F38,Lists!$Q:$Q,0)),"Check Format"))</f>
        <v/>
      </c>
      <c r="H38" s="40"/>
      <c r="I38" s="33"/>
      <c r="J38" s="33"/>
      <c r="K38" s="33"/>
      <c r="L38" s="33"/>
      <c r="M38" s="33"/>
      <c r="N38" s="33"/>
    </row>
    <row r="39" ht="27.0" customHeight="1">
      <c r="A39" s="39"/>
      <c r="B39" s="34"/>
      <c r="C39" s="34"/>
      <c r="D39" s="34"/>
      <c r="E39" s="34"/>
      <c r="F39" s="34"/>
      <c r="G39" s="35" t="str">
        <f t="array" ref="G39">IF(F39="","",IFERROR(INDEX(Lists!$R:$R,MATCH(F39,Lists!$Q:$Q,0)),"Check Format"))</f>
        <v/>
      </c>
      <c r="H39" s="40"/>
      <c r="I39" s="33"/>
      <c r="J39" s="33"/>
      <c r="K39" s="33"/>
      <c r="L39" s="33"/>
      <c r="M39" s="33"/>
      <c r="N39" s="33"/>
    </row>
    <row r="40" ht="27.0" customHeight="1">
      <c r="A40" s="39"/>
      <c r="B40" s="34"/>
      <c r="C40" s="34"/>
      <c r="D40" s="34"/>
      <c r="E40" s="34"/>
      <c r="F40" s="34"/>
      <c r="G40" s="35" t="str">
        <f t="array" ref="G40">IF(F40="","",IFERROR(INDEX(Lists!$R:$R,MATCH(F40,Lists!$Q:$Q,0)),"Check Format"))</f>
        <v/>
      </c>
      <c r="H40" s="40"/>
      <c r="I40" s="33"/>
      <c r="J40" s="33"/>
      <c r="K40" s="33"/>
      <c r="L40" s="33"/>
      <c r="M40" s="33"/>
      <c r="N40" s="33"/>
    </row>
    <row r="41" ht="27.0" customHeight="1">
      <c r="A41" s="39"/>
      <c r="B41" s="34"/>
      <c r="C41" s="34"/>
      <c r="D41" s="34"/>
      <c r="E41" s="34"/>
      <c r="F41" s="34"/>
      <c r="G41" s="35" t="str">
        <f t="array" ref="G41">IF(F41="","",IFERROR(INDEX(Lists!$R:$R,MATCH(F41,Lists!$Q:$Q,0)),"Check Format"))</f>
        <v/>
      </c>
      <c r="H41" s="40"/>
      <c r="I41" s="33"/>
      <c r="J41" s="33"/>
      <c r="K41" s="33"/>
      <c r="L41" s="33"/>
      <c r="M41" s="33"/>
      <c r="N41" s="33"/>
    </row>
    <row r="42" ht="27.0" customHeight="1">
      <c r="A42" s="39"/>
      <c r="B42" s="34"/>
      <c r="C42" s="34"/>
      <c r="D42" s="34"/>
      <c r="E42" s="34"/>
      <c r="F42" s="34"/>
      <c r="G42" s="35" t="str">
        <f t="array" ref="G42">IF(F42="","",IFERROR(INDEX(Lists!$R:$R,MATCH(F42,Lists!$Q:$Q,0)),"Check Format"))</f>
        <v/>
      </c>
      <c r="H42" s="40"/>
      <c r="I42" s="33"/>
      <c r="J42" s="33"/>
      <c r="K42" s="33"/>
      <c r="L42" s="33"/>
      <c r="M42" s="33"/>
      <c r="N42" s="33"/>
    </row>
    <row r="43" ht="27.0" customHeight="1">
      <c r="A43" s="39"/>
      <c r="B43" s="34"/>
      <c r="C43" s="34"/>
      <c r="D43" s="34"/>
      <c r="E43" s="34"/>
      <c r="F43" s="34"/>
      <c r="G43" s="35" t="str">
        <f t="array" ref="G43">IF(F43="","",IFERROR(INDEX(Lists!$R:$R,MATCH(F43,Lists!$Q:$Q,0)),"Check Format"))</f>
        <v/>
      </c>
      <c r="H43" s="40"/>
      <c r="I43" s="33"/>
      <c r="J43" s="33"/>
      <c r="K43" s="33"/>
      <c r="L43" s="33"/>
      <c r="M43" s="33"/>
      <c r="N43" s="33"/>
    </row>
    <row r="44" ht="27.0" customHeight="1">
      <c r="A44" s="39"/>
      <c r="B44" s="34"/>
      <c r="C44" s="34"/>
      <c r="D44" s="34"/>
      <c r="E44" s="34"/>
      <c r="F44" s="34"/>
      <c r="G44" s="35" t="str">
        <f t="array" ref="G44">IF(F44="","",IFERROR(INDEX(Lists!$R:$R,MATCH(F44,Lists!$Q:$Q,0)),"Check Format"))</f>
        <v/>
      </c>
      <c r="H44" s="40"/>
      <c r="I44" s="33"/>
      <c r="J44" s="33"/>
      <c r="K44" s="33"/>
      <c r="L44" s="33"/>
      <c r="M44" s="33"/>
      <c r="N44" s="33"/>
    </row>
    <row r="45" ht="27.0" customHeight="1">
      <c r="A45" s="39"/>
      <c r="B45" s="34"/>
      <c r="C45" s="34"/>
      <c r="D45" s="34"/>
      <c r="E45" s="34"/>
      <c r="F45" s="34"/>
      <c r="G45" s="35" t="str">
        <f t="array" ref="G45">IF(F45="","",IFERROR(INDEX(Lists!$R:$R,MATCH(F45,Lists!$Q:$Q,0)),"Check Format"))</f>
        <v/>
      </c>
      <c r="H45" s="40"/>
      <c r="I45" s="33"/>
      <c r="J45" s="33"/>
      <c r="K45" s="33"/>
      <c r="L45" s="33"/>
      <c r="M45" s="33"/>
      <c r="N45" s="33"/>
    </row>
    <row r="46" ht="27.0" customHeight="1">
      <c r="A46" s="39"/>
      <c r="B46" s="34"/>
      <c r="C46" s="34"/>
      <c r="D46" s="34"/>
      <c r="E46" s="34"/>
      <c r="F46" s="34"/>
      <c r="G46" s="35" t="str">
        <f t="array" ref="G46">IF(F46="","",IFERROR(INDEX(Lists!$R:$R,MATCH(F46,Lists!$Q:$Q,0)),"Check Format"))</f>
        <v/>
      </c>
      <c r="H46" s="40"/>
      <c r="I46" s="33"/>
      <c r="J46" s="33"/>
      <c r="K46" s="33"/>
      <c r="L46" s="33"/>
      <c r="M46" s="33"/>
      <c r="N46" s="33"/>
    </row>
    <row r="47" ht="27.0" customHeight="1">
      <c r="A47" s="39"/>
      <c r="B47" s="34"/>
      <c r="C47" s="34"/>
      <c r="D47" s="34"/>
      <c r="E47" s="34"/>
      <c r="F47" s="34"/>
      <c r="G47" s="35" t="str">
        <f t="array" ref="G47">IF(F47="","",IFERROR(INDEX(Lists!$R:$R,MATCH(F47,Lists!$Q:$Q,0)),"Check Format"))</f>
        <v/>
      </c>
      <c r="H47" s="40"/>
      <c r="I47" s="33"/>
      <c r="J47" s="33"/>
      <c r="K47" s="33"/>
      <c r="L47" s="33"/>
      <c r="M47" s="33"/>
      <c r="N47" s="33"/>
    </row>
    <row r="48" ht="27.0" customHeight="1">
      <c r="A48" s="39"/>
      <c r="B48" s="34"/>
      <c r="C48" s="34"/>
      <c r="D48" s="34"/>
      <c r="E48" s="34"/>
      <c r="F48" s="34"/>
      <c r="G48" s="35" t="str">
        <f t="array" ref="G48">IF(F48="","",IFERROR(INDEX(Lists!$R:$R,MATCH(F48,Lists!$Q:$Q,0)),"Check Format"))</f>
        <v/>
      </c>
      <c r="H48" s="40"/>
      <c r="I48" s="33"/>
      <c r="J48" s="33"/>
      <c r="K48" s="33"/>
      <c r="L48" s="33"/>
      <c r="M48" s="33"/>
      <c r="N48" s="33"/>
    </row>
    <row r="49" ht="27.0" customHeight="1">
      <c r="A49" s="39"/>
      <c r="B49" s="34"/>
      <c r="C49" s="34"/>
      <c r="D49" s="34"/>
      <c r="E49" s="34"/>
      <c r="F49" s="34"/>
      <c r="G49" s="35" t="str">
        <f t="array" ref="G49">IF(F49="","",IFERROR(INDEX(Lists!$R:$R,MATCH(F49,Lists!$Q:$Q,0)),"Check Format"))</f>
        <v/>
      </c>
      <c r="H49" s="40"/>
      <c r="I49" s="33"/>
      <c r="J49" s="33"/>
      <c r="K49" s="33"/>
      <c r="L49" s="33"/>
      <c r="M49" s="33"/>
      <c r="N49" s="33"/>
    </row>
    <row r="50" ht="27.0" customHeight="1">
      <c r="A50" s="39"/>
      <c r="B50" s="34"/>
      <c r="C50" s="34"/>
      <c r="D50" s="34"/>
      <c r="E50" s="34"/>
      <c r="F50" s="34"/>
      <c r="G50" s="35" t="str">
        <f t="array" ref="G50">IF(F50="","",IFERROR(INDEX(Lists!$R:$R,MATCH(F50,Lists!$Q:$Q,0)),"Check Format"))</f>
        <v/>
      </c>
      <c r="H50" s="40"/>
      <c r="I50" s="33"/>
      <c r="J50" s="33"/>
      <c r="K50" s="33"/>
      <c r="L50" s="33"/>
      <c r="M50" s="33"/>
      <c r="N50" s="33"/>
    </row>
    <row r="51" ht="27.0" customHeight="1">
      <c r="A51" s="39"/>
      <c r="B51" s="34"/>
      <c r="C51" s="34"/>
      <c r="D51" s="34"/>
      <c r="E51" s="34"/>
      <c r="F51" s="34"/>
      <c r="G51" s="35" t="str">
        <f t="array" ref="G51">IF(F51="","",IFERROR(INDEX(Lists!$R:$R,MATCH(F51,Lists!$Q:$Q,0)),"Check Format"))</f>
        <v/>
      </c>
      <c r="H51" s="40"/>
      <c r="I51" s="33"/>
      <c r="J51" s="33"/>
      <c r="K51" s="33"/>
      <c r="L51" s="33"/>
      <c r="M51" s="33"/>
      <c r="N51" s="33"/>
    </row>
    <row r="52" ht="27.0" customHeight="1">
      <c r="A52" s="39"/>
      <c r="B52" s="34"/>
      <c r="C52" s="34"/>
      <c r="D52" s="34"/>
      <c r="E52" s="34"/>
      <c r="F52" s="34"/>
      <c r="G52" s="35" t="str">
        <f t="array" ref="G52">IF(F52="","",IFERROR(INDEX(Lists!$R:$R,MATCH(F52,Lists!$Q:$Q,0)),"Check Format"))</f>
        <v/>
      </c>
      <c r="H52" s="40"/>
      <c r="I52" s="33"/>
      <c r="J52" s="33"/>
      <c r="K52" s="33"/>
      <c r="L52" s="33"/>
      <c r="M52" s="33"/>
      <c r="N52" s="33"/>
    </row>
    <row r="53" ht="27.0" customHeight="1">
      <c r="A53" s="39"/>
      <c r="B53" s="34"/>
      <c r="C53" s="34"/>
      <c r="D53" s="34"/>
      <c r="E53" s="34"/>
      <c r="F53" s="34"/>
      <c r="G53" s="35" t="str">
        <f t="array" ref="G53">IF(F53="","",IFERROR(INDEX(Lists!$R:$R,MATCH(F53,Lists!$Q:$Q,0)),"Check Format"))</f>
        <v/>
      </c>
      <c r="H53" s="40"/>
      <c r="I53" s="33"/>
      <c r="J53" s="33"/>
      <c r="K53" s="33"/>
      <c r="L53" s="33"/>
      <c r="M53" s="33"/>
      <c r="N53" s="33"/>
    </row>
    <row r="54" ht="27.0" customHeight="1">
      <c r="A54" s="39"/>
      <c r="B54" s="34"/>
      <c r="C54" s="34"/>
      <c r="D54" s="34"/>
      <c r="E54" s="34"/>
      <c r="F54" s="34"/>
      <c r="G54" s="35" t="str">
        <f t="array" ref="G54">IF(F54="","",IFERROR(INDEX(Lists!$R:$R,MATCH(F54,Lists!$Q:$Q,0)),"Check Format"))</f>
        <v/>
      </c>
      <c r="H54" s="40"/>
      <c r="I54" s="33"/>
      <c r="J54" s="33"/>
      <c r="K54" s="33"/>
      <c r="L54" s="33"/>
      <c r="M54" s="33"/>
      <c r="N54" s="33"/>
    </row>
    <row r="55" ht="27.0" customHeight="1">
      <c r="A55" s="39"/>
      <c r="B55" s="34"/>
      <c r="C55" s="34"/>
      <c r="D55" s="34"/>
      <c r="E55" s="34"/>
      <c r="F55" s="34"/>
      <c r="G55" s="35" t="str">
        <f t="array" ref="G55">IF(F55="","",IFERROR(INDEX(Lists!$R:$R,MATCH(F55,Lists!$Q:$Q,0)),"Check Format"))</f>
        <v/>
      </c>
      <c r="H55" s="40"/>
      <c r="I55" s="33"/>
      <c r="J55" s="33"/>
      <c r="K55" s="33"/>
      <c r="L55" s="33"/>
      <c r="M55" s="33"/>
      <c r="N55" s="33"/>
    </row>
    <row r="56" ht="27.0" customHeight="1">
      <c r="A56" s="39"/>
      <c r="B56" s="34"/>
      <c r="C56" s="34"/>
      <c r="D56" s="34"/>
      <c r="E56" s="34"/>
      <c r="F56" s="34"/>
      <c r="G56" s="35" t="str">
        <f t="array" ref="G56">IF(F56="","",IFERROR(INDEX(Lists!$R:$R,MATCH(F56,Lists!$Q:$Q,0)),"Check Format"))</f>
        <v/>
      </c>
      <c r="H56" s="40"/>
      <c r="I56" s="33"/>
      <c r="J56" s="33"/>
      <c r="K56" s="33"/>
      <c r="L56" s="33"/>
      <c r="M56" s="33"/>
      <c r="N56" s="33"/>
    </row>
    <row r="57" ht="27.0" customHeight="1">
      <c r="A57" s="39"/>
      <c r="B57" s="34"/>
      <c r="C57" s="34"/>
      <c r="D57" s="34"/>
      <c r="E57" s="34"/>
      <c r="F57" s="34"/>
      <c r="G57" s="35" t="str">
        <f t="array" ref="G57">IF(F57="","",IFERROR(INDEX(Lists!$R:$R,MATCH(F57,Lists!$Q:$Q,0)),"Check Format"))</f>
        <v/>
      </c>
      <c r="H57" s="40"/>
      <c r="I57" s="33"/>
      <c r="J57" s="33"/>
      <c r="K57" s="33"/>
      <c r="L57" s="33"/>
      <c r="M57" s="33"/>
      <c r="N57" s="33"/>
    </row>
    <row r="58" ht="15.75" customHeight="1">
      <c r="A58" s="41"/>
      <c r="B58" s="42"/>
      <c r="C58" s="42"/>
      <c r="D58" s="42"/>
      <c r="E58" s="42"/>
      <c r="F58" s="42"/>
      <c r="G58" s="43" t="str">
        <f t="array" ref="G58">IF(F58="","",IFERROR(INDEX(Lists!$R:$R,MATCH(F58,Lists!$Q:$Q,0)),"Check Format"))</f>
        <v/>
      </c>
      <c r="H58" s="42"/>
      <c r="I58" s="44"/>
      <c r="J58" s="44"/>
      <c r="K58" s="44"/>
      <c r="L58" s="44"/>
      <c r="M58" s="44"/>
      <c r="N58" s="44"/>
    </row>
    <row r="59" ht="15.75" customHeight="1">
      <c r="A59" s="41"/>
      <c r="B59" s="42"/>
      <c r="C59" s="42"/>
      <c r="D59" s="42"/>
      <c r="E59" s="42"/>
      <c r="F59" s="42"/>
      <c r="G59" s="43" t="str">
        <f t="array" ref="G59">IF(F59="","",IFERROR(INDEX(Lists!$R:$R,MATCH(F59,Lists!$Q:$Q,0)),"Check Format"))</f>
        <v/>
      </c>
      <c r="H59" s="42"/>
      <c r="I59" s="44"/>
      <c r="J59" s="44"/>
      <c r="K59" s="44"/>
      <c r="L59" s="44"/>
      <c r="M59" s="44"/>
      <c r="N59" s="44"/>
    </row>
    <row r="60" ht="15.75" customHeight="1">
      <c r="A60" s="41"/>
      <c r="B60" s="42"/>
      <c r="C60" s="42"/>
      <c r="D60" s="42"/>
      <c r="E60" s="42"/>
      <c r="F60" s="42"/>
      <c r="G60" s="43" t="str">
        <f t="array" ref="G60">IF(F60="","",IFERROR(INDEX(Lists!$R:$R,MATCH(F60,Lists!$Q:$Q,0)),"Check Format"))</f>
        <v/>
      </c>
      <c r="H60" s="42"/>
      <c r="I60" s="44"/>
      <c r="J60" s="44"/>
      <c r="K60" s="44"/>
      <c r="L60" s="44"/>
      <c r="M60" s="44"/>
      <c r="N60" s="44"/>
    </row>
    <row r="61" ht="15.75" customHeight="1">
      <c r="A61" s="41"/>
      <c r="B61" s="42"/>
      <c r="C61" s="42"/>
      <c r="D61" s="42"/>
      <c r="E61" s="42"/>
      <c r="F61" s="42"/>
      <c r="G61" s="43" t="str">
        <f t="array" ref="G61">IF(F61="","",IFERROR(INDEX(Lists!$R:$R,MATCH(F61,Lists!$Q:$Q,0)),"Check Format"))</f>
        <v/>
      </c>
      <c r="H61" s="42"/>
      <c r="I61" s="44"/>
      <c r="J61" s="44"/>
      <c r="K61" s="44"/>
      <c r="L61" s="44"/>
      <c r="M61" s="44"/>
      <c r="N61" s="44"/>
    </row>
    <row r="62" ht="15.75" customHeight="1">
      <c r="A62" s="41"/>
      <c r="B62" s="42"/>
      <c r="C62" s="42"/>
      <c r="D62" s="42"/>
      <c r="E62" s="42"/>
      <c r="F62" s="42"/>
      <c r="G62" s="43" t="str">
        <f t="array" ref="G62">IF(F62="","",IFERROR(INDEX(Lists!$R:$R,MATCH(F62,Lists!$Q:$Q,0)),"Check Format"))</f>
        <v/>
      </c>
      <c r="H62" s="42"/>
      <c r="I62" s="44"/>
      <c r="J62" s="44"/>
      <c r="K62" s="44"/>
      <c r="L62" s="44"/>
      <c r="M62" s="44"/>
      <c r="N62" s="44"/>
    </row>
    <row r="63" ht="15.75" customHeight="1">
      <c r="A63" s="41"/>
      <c r="B63" s="42"/>
      <c r="C63" s="42"/>
      <c r="D63" s="42"/>
      <c r="E63" s="42"/>
      <c r="F63" s="42"/>
      <c r="G63" s="43" t="str">
        <f t="array" ref="G63">IF(F63="","",IFERROR(INDEX(Lists!$R:$R,MATCH(F63,Lists!$Q:$Q,0)),"Check Format"))</f>
        <v/>
      </c>
      <c r="H63" s="42"/>
      <c r="I63" s="44"/>
      <c r="J63" s="44"/>
      <c r="K63" s="44"/>
      <c r="L63" s="44"/>
      <c r="M63" s="44"/>
      <c r="N63" s="44"/>
    </row>
    <row r="64" ht="15.75" customHeight="1">
      <c r="A64" s="41"/>
      <c r="B64" s="42"/>
      <c r="C64" s="42"/>
      <c r="D64" s="42"/>
      <c r="E64" s="42"/>
      <c r="F64" s="42"/>
      <c r="G64" s="43" t="str">
        <f t="array" ref="G64">IF(F64="","",IFERROR(INDEX(Lists!$R:$R,MATCH(F64,Lists!$Q:$Q,0)),"Check Format"))</f>
        <v/>
      </c>
      <c r="H64" s="42"/>
      <c r="I64" s="44"/>
      <c r="J64" s="44"/>
      <c r="K64" s="44"/>
      <c r="L64" s="44"/>
      <c r="M64" s="44"/>
      <c r="N64" s="44"/>
    </row>
    <row r="65" ht="15.75" customHeight="1">
      <c r="A65" s="41"/>
      <c r="B65" s="42"/>
      <c r="C65" s="42"/>
      <c r="D65" s="42"/>
      <c r="E65" s="42"/>
      <c r="F65" s="42"/>
      <c r="G65" s="43" t="str">
        <f t="array" ref="G65">IF(F65="","",IFERROR(INDEX(Lists!$R:$R,MATCH(F65,Lists!$Q:$Q,0)),"Check Format"))</f>
        <v/>
      </c>
      <c r="H65" s="42"/>
      <c r="I65" s="44"/>
      <c r="J65" s="44"/>
      <c r="K65" s="44"/>
      <c r="L65" s="44"/>
      <c r="M65" s="44"/>
      <c r="N65" s="44"/>
    </row>
    <row r="66" ht="15.75" customHeight="1">
      <c r="A66" s="41"/>
      <c r="B66" s="42"/>
      <c r="C66" s="42"/>
      <c r="D66" s="42"/>
      <c r="E66" s="42"/>
      <c r="F66" s="42"/>
      <c r="G66" s="43" t="str">
        <f t="array" ref="G66">IF(F66="","",IFERROR(INDEX(Lists!$R:$R,MATCH(F66,Lists!$Q:$Q,0)),"Check Format"))</f>
        <v/>
      </c>
      <c r="H66" s="42"/>
      <c r="I66" s="44"/>
      <c r="J66" s="44"/>
      <c r="K66" s="44"/>
      <c r="L66" s="44"/>
      <c r="M66" s="44"/>
      <c r="N66" s="44"/>
    </row>
    <row r="67" ht="15.75" customHeight="1">
      <c r="A67" s="41"/>
      <c r="B67" s="42"/>
      <c r="C67" s="42"/>
      <c r="D67" s="42"/>
      <c r="E67" s="42"/>
      <c r="F67" s="42"/>
      <c r="G67" s="43" t="str">
        <f t="array" ref="G67">IF(F67="","",IFERROR(INDEX(Lists!$R:$R,MATCH(F67,Lists!$Q:$Q,0)),"Check Format"))</f>
        <v/>
      </c>
      <c r="H67" s="42"/>
      <c r="I67" s="44"/>
      <c r="J67" s="44"/>
      <c r="K67" s="44"/>
      <c r="L67" s="44"/>
      <c r="M67" s="44"/>
      <c r="N67" s="44"/>
    </row>
    <row r="68" ht="15.75" customHeight="1">
      <c r="A68" s="41"/>
      <c r="B68" s="42"/>
      <c r="C68" s="42"/>
      <c r="D68" s="42"/>
      <c r="E68" s="42"/>
      <c r="F68" s="42"/>
      <c r="G68" s="43" t="str">
        <f t="array" ref="G68">IF(F68="","",IFERROR(INDEX(Lists!$R:$R,MATCH(F68,Lists!$Q:$Q,0)),"Check Format"))</f>
        <v/>
      </c>
      <c r="H68" s="42"/>
      <c r="I68" s="44"/>
      <c r="J68" s="44"/>
      <c r="K68" s="44"/>
      <c r="L68" s="44"/>
      <c r="M68" s="44"/>
      <c r="N68" s="44"/>
    </row>
    <row r="69" ht="15.75" customHeight="1">
      <c r="A69" s="41"/>
      <c r="B69" s="42"/>
      <c r="C69" s="42"/>
      <c r="D69" s="42"/>
      <c r="E69" s="42"/>
      <c r="F69" s="42"/>
      <c r="G69" s="43" t="str">
        <f t="array" ref="G69">IF(F69="","",IFERROR(INDEX(Lists!$R:$R,MATCH(F69,Lists!$Q:$Q,0)),"Check Format"))</f>
        <v/>
      </c>
      <c r="H69" s="42"/>
      <c r="I69" s="44"/>
      <c r="J69" s="44"/>
      <c r="K69" s="44"/>
      <c r="L69" s="44"/>
      <c r="M69" s="44"/>
      <c r="N69" s="44"/>
    </row>
    <row r="70" ht="15.75" customHeight="1">
      <c r="A70" s="41"/>
      <c r="B70" s="42"/>
      <c r="C70" s="42"/>
      <c r="D70" s="42"/>
      <c r="E70" s="42"/>
      <c r="F70" s="42"/>
      <c r="G70" s="43" t="str">
        <f t="array" ref="G70">IF(F70="","",IFERROR(INDEX(Lists!$R:$R,MATCH(F70,Lists!$Q:$Q,0)),"Check Format"))</f>
        <v/>
      </c>
      <c r="H70" s="42"/>
      <c r="I70" s="44"/>
      <c r="J70" s="44"/>
      <c r="K70" s="44"/>
      <c r="L70" s="44"/>
      <c r="M70" s="44"/>
      <c r="N70" s="44"/>
    </row>
    <row r="71" ht="15.75" customHeight="1">
      <c r="A71" s="41"/>
      <c r="B71" s="42"/>
      <c r="C71" s="42"/>
      <c r="D71" s="42"/>
      <c r="E71" s="42"/>
      <c r="F71" s="42"/>
      <c r="G71" s="43" t="str">
        <f t="array" ref="G71">IF(F71="","",IFERROR(INDEX(Lists!$R:$R,MATCH(F71,Lists!$Q:$Q,0)),"Check Format"))</f>
        <v/>
      </c>
      <c r="H71" s="42"/>
      <c r="I71" s="44"/>
      <c r="J71" s="44"/>
      <c r="K71" s="44"/>
      <c r="L71" s="44"/>
      <c r="M71" s="44"/>
      <c r="N71" s="44"/>
    </row>
    <row r="72" ht="15.75" customHeight="1">
      <c r="A72" s="41"/>
      <c r="B72" s="42"/>
      <c r="C72" s="42"/>
      <c r="D72" s="42"/>
      <c r="E72" s="42"/>
      <c r="F72" s="42"/>
      <c r="G72" s="43" t="str">
        <f t="array" ref="G72">IF(F72="","",IFERROR(INDEX(Lists!$R:$R,MATCH(F72,Lists!$Q:$Q,0)),"Check Format"))</f>
        <v/>
      </c>
      <c r="H72" s="42"/>
      <c r="I72" s="44"/>
      <c r="J72" s="44"/>
      <c r="K72" s="44"/>
      <c r="L72" s="44"/>
      <c r="M72" s="44"/>
      <c r="N72" s="44"/>
    </row>
    <row r="73" ht="15.75" customHeight="1">
      <c r="A73" s="41"/>
      <c r="B73" s="42"/>
      <c r="C73" s="42"/>
      <c r="D73" s="42"/>
      <c r="E73" s="42"/>
      <c r="F73" s="42"/>
      <c r="G73" s="43" t="str">
        <f t="array" ref="G73">IF(F73="","",IFERROR(INDEX(Lists!$R:$R,MATCH(F73,Lists!$Q:$Q,0)),"Check Format"))</f>
        <v/>
      </c>
      <c r="H73" s="42"/>
      <c r="I73" s="44"/>
      <c r="J73" s="44"/>
      <c r="K73" s="44"/>
      <c r="L73" s="44"/>
      <c r="M73" s="44"/>
      <c r="N73" s="44"/>
    </row>
    <row r="74" ht="15.75" customHeight="1">
      <c r="A74" s="41"/>
      <c r="B74" s="42"/>
      <c r="C74" s="42"/>
      <c r="D74" s="42"/>
      <c r="E74" s="42"/>
      <c r="F74" s="42"/>
      <c r="G74" s="43" t="str">
        <f t="array" ref="G74">IF(F74="","",IFERROR(INDEX(Lists!$R:$R,MATCH(F74,Lists!$Q:$Q,0)),"Check Format"))</f>
        <v/>
      </c>
      <c r="H74" s="42"/>
      <c r="I74" s="44"/>
      <c r="J74" s="44"/>
      <c r="K74" s="44"/>
      <c r="L74" s="44"/>
      <c r="M74" s="44"/>
      <c r="N74" s="44"/>
    </row>
    <row r="75" ht="15.75" customHeight="1">
      <c r="A75" s="41"/>
      <c r="B75" s="42"/>
      <c r="C75" s="42"/>
      <c r="D75" s="42"/>
      <c r="E75" s="42"/>
      <c r="F75" s="42"/>
      <c r="G75" s="43" t="str">
        <f t="array" ref="G75">IF(F75="","",IFERROR(INDEX(Lists!$R:$R,MATCH(F75,Lists!$Q:$Q,0)),"Check Format"))</f>
        <v/>
      </c>
      <c r="H75" s="42"/>
      <c r="I75" s="44"/>
      <c r="J75" s="44"/>
      <c r="K75" s="44"/>
      <c r="L75" s="44"/>
      <c r="M75" s="44"/>
      <c r="N75" s="44"/>
    </row>
    <row r="76" ht="15.75" customHeight="1">
      <c r="A76" s="41"/>
      <c r="B76" s="42"/>
      <c r="C76" s="42"/>
      <c r="D76" s="42"/>
      <c r="E76" s="42"/>
      <c r="F76" s="42"/>
      <c r="G76" s="43" t="str">
        <f t="array" ref="G76">IF(F76="","",IFERROR(INDEX(Lists!$R:$R,MATCH(F76,Lists!$Q:$Q,0)),"Check Format"))</f>
        <v/>
      </c>
      <c r="H76" s="42"/>
      <c r="I76" s="44"/>
      <c r="J76" s="44"/>
      <c r="K76" s="44"/>
      <c r="L76" s="44"/>
      <c r="M76" s="44"/>
      <c r="N76" s="44"/>
    </row>
    <row r="77" ht="15.75" customHeight="1">
      <c r="A77" s="41"/>
      <c r="B77" s="42"/>
      <c r="C77" s="42"/>
      <c r="D77" s="42"/>
      <c r="E77" s="42"/>
      <c r="F77" s="42"/>
      <c r="G77" s="43" t="str">
        <f t="array" ref="G77">IF(F77="","",IFERROR(INDEX(Lists!$R:$R,MATCH(F77,Lists!$Q:$Q,0)),"Check Format"))</f>
        <v/>
      </c>
      <c r="H77" s="42"/>
      <c r="I77" s="44"/>
      <c r="J77" s="44"/>
      <c r="K77" s="44"/>
      <c r="L77" s="44"/>
      <c r="M77" s="44"/>
      <c r="N77" s="44"/>
    </row>
    <row r="78" ht="15.75" customHeight="1">
      <c r="A78" s="41"/>
      <c r="B78" s="42"/>
      <c r="C78" s="42"/>
      <c r="D78" s="42"/>
      <c r="E78" s="42"/>
      <c r="F78" s="42"/>
      <c r="G78" s="43" t="str">
        <f t="array" ref="G78">IF(F78="","",IFERROR(INDEX(Lists!$R:$R,MATCH(F78,Lists!$Q:$Q,0)),"Check Format"))</f>
        <v/>
      </c>
      <c r="H78" s="42"/>
      <c r="I78" s="44"/>
      <c r="J78" s="44"/>
      <c r="K78" s="44"/>
      <c r="L78" s="44"/>
      <c r="M78" s="44"/>
      <c r="N78" s="44"/>
    </row>
    <row r="79" ht="15.75" customHeight="1">
      <c r="A79" s="41"/>
      <c r="B79" s="42"/>
      <c r="C79" s="42"/>
      <c r="D79" s="42"/>
      <c r="E79" s="42"/>
      <c r="F79" s="42"/>
      <c r="G79" s="43" t="str">
        <f t="array" ref="G79">IF(F79="","",IFERROR(INDEX(Lists!$R:$R,MATCH(F79,Lists!$Q:$Q,0)),"Check Format"))</f>
        <v/>
      </c>
      <c r="H79" s="42"/>
      <c r="I79" s="44"/>
      <c r="J79" s="44"/>
      <c r="K79" s="44"/>
      <c r="L79" s="44"/>
      <c r="M79" s="44"/>
      <c r="N79" s="44"/>
    </row>
    <row r="80" ht="15.75" customHeight="1">
      <c r="A80" s="41"/>
      <c r="B80" s="42"/>
      <c r="C80" s="42"/>
      <c r="D80" s="42"/>
      <c r="E80" s="42"/>
      <c r="F80" s="42"/>
      <c r="G80" s="43" t="str">
        <f t="array" ref="G80">IF(F80="","",IFERROR(INDEX(Lists!$R:$R,MATCH(F80,Lists!$Q:$Q,0)),"Check Format"))</f>
        <v/>
      </c>
      <c r="H80" s="42"/>
      <c r="I80" s="44"/>
      <c r="J80" s="44"/>
      <c r="K80" s="44"/>
      <c r="L80" s="44"/>
      <c r="M80" s="44"/>
      <c r="N80" s="44"/>
    </row>
    <row r="81" ht="15.75" customHeight="1">
      <c r="A81" s="41"/>
      <c r="B81" s="42"/>
      <c r="C81" s="42"/>
      <c r="D81" s="42"/>
      <c r="E81" s="42"/>
      <c r="F81" s="42"/>
      <c r="G81" s="43" t="str">
        <f t="array" ref="G81">IF(F81="","",IFERROR(INDEX(Lists!$R:$R,MATCH(F81,Lists!$Q:$Q,0)),"Check Format"))</f>
        <v/>
      </c>
      <c r="H81" s="42"/>
      <c r="I81" s="44"/>
      <c r="J81" s="44"/>
      <c r="K81" s="44"/>
      <c r="L81" s="44"/>
      <c r="M81" s="44"/>
      <c r="N81" s="44"/>
    </row>
    <row r="82" ht="15.75" customHeight="1">
      <c r="A82" s="41"/>
      <c r="B82" s="42"/>
      <c r="C82" s="42"/>
      <c r="D82" s="42"/>
      <c r="E82" s="42"/>
      <c r="F82" s="42"/>
      <c r="G82" s="43" t="str">
        <f t="array" ref="G82">IF(F82="","",IFERROR(INDEX(Lists!$R:$R,MATCH(F82,Lists!$Q:$Q,0)),"Check Format"))</f>
        <v/>
      </c>
      <c r="H82" s="42"/>
      <c r="I82" s="44"/>
      <c r="J82" s="44"/>
      <c r="K82" s="44"/>
      <c r="L82" s="44"/>
      <c r="M82" s="44"/>
      <c r="N82" s="44"/>
    </row>
    <row r="83" ht="15.75" customHeight="1">
      <c r="A83" s="41"/>
      <c r="B83" s="42"/>
      <c r="C83" s="42"/>
      <c r="D83" s="42"/>
      <c r="E83" s="42"/>
      <c r="F83" s="42"/>
      <c r="G83" s="43" t="str">
        <f t="array" ref="G83">IF(F83="","",IFERROR(INDEX(Lists!$R:$R,MATCH(F83,Lists!$Q:$Q,0)),"Check Format"))</f>
        <v/>
      </c>
      <c r="H83" s="42"/>
      <c r="I83" s="44"/>
      <c r="J83" s="44"/>
      <c r="K83" s="44"/>
      <c r="L83" s="44"/>
      <c r="M83" s="44"/>
      <c r="N83" s="44"/>
    </row>
    <row r="84" ht="15.75" customHeight="1">
      <c r="A84" s="41"/>
      <c r="B84" s="42"/>
      <c r="C84" s="42"/>
      <c r="D84" s="42"/>
      <c r="E84" s="42"/>
      <c r="F84" s="42"/>
      <c r="G84" s="43" t="str">
        <f t="array" ref="G84">IF(F84="","",IFERROR(INDEX(Lists!$R:$R,MATCH(F84,Lists!$Q:$Q,0)),"Check Format"))</f>
        <v/>
      </c>
      <c r="H84" s="42"/>
      <c r="I84" s="44"/>
      <c r="J84" s="44"/>
      <c r="K84" s="44"/>
      <c r="L84" s="44"/>
      <c r="M84" s="44"/>
      <c r="N84" s="44"/>
    </row>
    <row r="85" ht="15.75" customHeight="1">
      <c r="A85" s="41"/>
      <c r="B85" s="42"/>
      <c r="C85" s="42"/>
      <c r="D85" s="42"/>
      <c r="E85" s="42"/>
      <c r="F85" s="42"/>
      <c r="G85" s="43" t="str">
        <f t="array" ref="G85">IF(F85="","",IFERROR(INDEX(Lists!$R:$R,MATCH(F85,Lists!$Q:$Q,0)),"Check Format"))</f>
        <v/>
      </c>
      <c r="H85" s="42"/>
      <c r="I85" s="44"/>
      <c r="J85" s="44"/>
      <c r="K85" s="44"/>
      <c r="L85" s="44"/>
      <c r="M85" s="44"/>
      <c r="N85" s="44"/>
    </row>
    <row r="86" ht="15.75" customHeight="1">
      <c r="A86" s="41"/>
      <c r="B86" s="42"/>
      <c r="C86" s="42"/>
      <c r="D86" s="42"/>
      <c r="E86" s="42"/>
      <c r="F86" s="42"/>
      <c r="G86" s="43" t="str">
        <f t="array" ref="G86">IF(F86="","",IFERROR(INDEX(Lists!$R:$R,MATCH(F86,Lists!$Q:$Q,0)),"Check Format"))</f>
        <v/>
      </c>
      <c r="H86" s="42"/>
      <c r="I86" s="44"/>
      <c r="J86" s="44"/>
      <c r="K86" s="44"/>
      <c r="L86" s="44"/>
      <c r="M86" s="44"/>
      <c r="N86" s="44"/>
    </row>
    <row r="87" ht="15.75" customHeight="1">
      <c r="A87" s="41"/>
      <c r="B87" s="42"/>
      <c r="C87" s="42"/>
      <c r="D87" s="42"/>
      <c r="E87" s="42"/>
      <c r="F87" s="42"/>
      <c r="G87" s="43" t="str">
        <f t="array" ref="G87">IF(F87="","",IFERROR(INDEX(Lists!$R:$R,MATCH(F87,Lists!$Q:$Q,0)),"Check Format"))</f>
        <v/>
      </c>
      <c r="H87" s="42"/>
      <c r="I87" s="44"/>
      <c r="J87" s="44"/>
      <c r="K87" s="44"/>
      <c r="L87" s="44"/>
      <c r="M87" s="44"/>
      <c r="N87" s="44"/>
    </row>
    <row r="88" ht="15.75" customHeight="1">
      <c r="A88" s="41"/>
      <c r="B88" s="42"/>
      <c r="C88" s="42"/>
      <c r="D88" s="42"/>
      <c r="E88" s="42"/>
      <c r="F88" s="42"/>
      <c r="G88" s="43" t="str">
        <f t="array" ref="G88">IF(F88="","",IFERROR(INDEX(Lists!$R:$R,MATCH(F88,Lists!$Q:$Q,0)),"Check Format"))</f>
        <v/>
      </c>
      <c r="H88" s="42"/>
      <c r="I88" s="44"/>
      <c r="J88" s="44"/>
      <c r="K88" s="44"/>
      <c r="L88" s="44"/>
      <c r="M88" s="44"/>
      <c r="N88" s="44"/>
    </row>
    <row r="89" ht="15.75" customHeight="1">
      <c r="A89" s="41"/>
      <c r="B89" s="42"/>
      <c r="C89" s="42"/>
      <c r="D89" s="42"/>
      <c r="E89" s="42"/>
      <c r="F89" s="42"/>
      <c r="G89" s="43" t="str">
        <f t="array" ref="G89">IF(F89="","",IFERROR(INDEX(Lists!$R:$R,MATCH(F89,Lists!$Q:$Q,0)),"Check Format"))</f>
        <v/>
      </c>
      <c r="H89" s="42"/>
      <c r="I89" s="44"/>
      <c r="J89" s="44"/>
      <c r="K89" s="44"/>
      <c r="L89" s="44"/>
      <c r="M89" s="44"/>
      <c r="N89" s="44"/>
    </row>
    <row r="90" ht="15.75" customHeight="1">
      <c r="A90" s="41"/>
      <c r="B90" s="42"/>
      <c r="C90" s="42"/>
      <c r="D90" s="42"/>
      <c r="E90" s="42"/>
      <c r="F90" s="42"/>
      <c r="G90" s="43" t="str">
        <f t="array" ref="G90">IF(F90="","",IFERROR(INDEX(Lists!$R:$R,MATCH(F90,Lists!$Q:$Q,0)),"Check Format"))</f>
        <v/>
      </c>
      <c r="H90" s="42"/>
      <c r="I90" s="44"/>
      <c r="J90" s="44"/>
      <c r="K90" s="44"/>
      <c r="L90" s="44"/>
      <c r="M90" s="44"/>
      <c r="N90" s="44"/>
    </row>
    <row r="91" ht="15.75" customHeight="1">
      <c r="A91" s="41"/>
      <c r="B91" s="42"/>
      <c r="C91" s="42"/>
      <c r="D91" s="42"/>
      <c r="E91" s="42"/>
      <c r="F91" s="42"/>
      <c r="G91" s="43" t="str">
        <f t="array" ref="G91">IF(F91="","",IFERROR(INDEX(Lists!$R:$R,MATCH(F91,Lists!$Q:$Q,0)),"Check Format"))</f>
        <v/>
      </c>
      <c r="H91" s="42"/>
      <c r="I91" s="44"/>
      <c r="J91" s="44"/>
      <c r="K91" s="44"/>
      <c r="L91" s="44"/>
      <c r="M91" s="44"/>
      <c r="N91" s="44"/>
    </row>
    <row r="92" ht="15.75" customHeight="1">
      <c r="A92" s="41"/>
      <c r="B92" s="42"/>
      <c r="C92" s="42"/>
      <c r="D92" s="42"/>
      <c r="E92" s="42"/>
      <c r="F92" s="42"/>
      <c r="G92" s="43" t="str">
        <f t="array" ref="G92">IF(F92="","",IFERROR(INDEX(Lists!$R:$R,MATCH(F92,Lists!$Q:$Q,0)),"Check Format"))</f>
        <v/>
      </c>
      <c r="H92" s="42"/>
      <c r="I92" s="44"/>
      <c r="J92" s="44"/>
      <c r="K92" s="44"/>
      <c r="L92" s="44"/>
      <c r="M92" s="44"/>
      <c r="N92" s="44"/>
    </row>
    <row r="93" ht="15.75" customHeight="1">
      <c r="A93" s="41"/>
      <c r="B93" s="42"/>
      <c r="C93" s="42"/>
      <c r="D93" s="42"/>
      <c r="E93" s="42"/>
      <c r="F93" s="42"/>
      <c r="G93" s="43" t="str">
        <f t="array" ref="G93">IF(F93="","",IFERROR(INDEX(Lists!$R:$R,MATCH(F93,Lists!$Q:$Q,0)),"Check Format"))</f>
        <v/>
      </c>
      <c r="H93" s="42"/>
      <c r="I93" s="44"/>
      <c r="J93" s="44"/>
      <c r="K93" s="44"/>
      <c r="L93" s="44"/>
      <c r="M93" s="44"/>
      <c r="N93" s="44"/>
    </row>
    <row r="94" ht="15.75" customHeight="1">
      <c r="A94" s="41"/>
      <c r="B94" s="42"/>
      <c r="C94" s="42"/>
      <c r="D94" s="42"/>
      <c r="E94" s="42"/>
      <c r="F94" s="42"/>
      <c r="G94" s="43" t="str">
        <f t="array" ref="G94">IF(F94="","",IFERROR(INDEX(Lists!$R:$R,MATCH(F94,Lists!$Q:$Q,0)),"Check Format"))</f>
        <v/>
      </c>
      <c r="H94" s="42"/>
      <c r="I94" s="44"/>
      <c r="J94" s="44"/>
      <c r="K94" s="44"/>
      <c r="L94" s="44"/>
      <c r="M94" s="44"/>
      <c r="N94" s="44"/>
    </row>
    <row r="95" ht="15.75" customHeight="1">
      <c r="A95" s="41"/>
      <c r="B95" s="42"/>
      <c r="C95" s="42"/>
      <c r="D95" s="42"/>
      <c r="E95" s="42"/>
      <c r="F95" s="42"/>
      <c r="G95" s="43" t="str">
        <f t="array" ref="G95">IF(F95="","",IFERROR(INDEX(Lists!$R:$R,MATCH(F95,Lists!$Q:$Q,0)),"Check Format"))</f>
        <v/>
      </c>
      <c r="H95" s="42"/>
      <c r="I95" s="44"/>
      <c r="J95" s="44"/>
      <c r="K95" s="44"/>
      <c r="L95" s="44"/>
      <c r="M95" s="44"/>
      <c r="N95" s="44"/>
    </row>
    <row r="96" ht="15.75" customHeight="1">
      <c r="A96" s="41"/>
      <c r="B96" s="42"/>
      <c r="C96" s="42"/>
      <c r="D96" s="42"/>
      <c r="E96" s="42"/>
      <c r="F96" s="42"/>
      <c r="G96" s="43" t="str">
        <f t="array" ref="G96">IF(F96="","",IFERROR(INDEX(Lists!$R:$R,MATCH(F96,Lists!$Q:$Q,0)),"Check Format"))</f>
        <v/>
      </c>
      <c r="H96" s="42"/>
      <c r="I96" s="44"/>
      <c r="J96" s="44"/>
      <c r="K96" s="44"/>
      <c r="L96" s="44"/>
      <c r="M96" s="44"/>
      <c r="N96" s="44"/>
    </row>
    <row r="97" ht="15.75" customHeight="1">
      <c r="A97" s="41"/>
      <c r="B97" s="42"/>
      <c r="C97" s="42"/>
      <c r="D97" s="42"/>
      <c r="E97" s="42"/>
      <c r="F97" s="42"/>
      <c r="G97" s="43" t="str">
        <f t="array" ref="G97">IF(F97="","",IFERROR(INDEX(Lists!$R:$R,MATCH(F97,Lists!$Q:$Q,0)),"Check Format"))</f>
        <v/>
      </c>
      <c r="H97" s="42"/>
      <c r="I97" s="44"/>
      <c r="J97" s="44"/>
      <c r="K97" s="44"/>
      <c r="L97" s="44"/>
      <c r="M97" s="44"/>
      <c r="N97" s="44"/>
    </row>
    <row r="98" ht="15.75" customHeight="1">
      <c r="A98" s="41"/>
      <c r="B98" s="42"/>
      <c r="C98" s="42"/>
      <c r="D98" s="42"/>
      <c r="E98" s="42"/>
      <c r="F98" s="42"/>
      <c r="G98" s="43" t="str">
        <f t="array" ref="G98">IF(F98="","",IFERROR(INDEX(Lists!$R:$R,MATCH(F98,Lists!$Q:$Q,0)),"Check Format"))</f>
        <v/>
      </c>
      <c r="H98" s="42"/>
      <c r="I98" s="44"/>
      <c r="J98" s="44"/>
      <c r="K98" s="44"/>
      <c r="L98" s="44"/>
      <c r="M98" s="44"/>
      <c r="N98" s="44"/>
    </row>
    <row r="99" ht="15.75" customHeight="1">
      <c r="A99" s="41"/>
      <c r="B99" s="42"/>
      <c r="C99" s="42"/>
      <c r="D99" s="42"/>
      <c r="E99" s="42"/>
      <c r="F99" s="42"/>
      <c r="G99" s="43" t="str">
        <f t="array" ref="G99">IF(F99="","",IFERROR(INDEX(Lists!$R:$R,MATCH(F99,Lists!$Q:$Q,0)),"Check Format"))</f>
        <v/>
      </c>
      <c r="H99" s="42"/>
      <c r="I99" s="44"/>
      <c r="J99" s="44"/>
      <c r="K99" s="44"/>
      <c r="L99" s="44"/>
      <c r="M99" s="44"/>
      <c r="N99" s="44"/>
    </row>
    <row r="100" ht="15.75" customHeight="1">
      <c r="A100" s="41"/>
      <c r="B100" s="42"/>
      <c r="C100" s="42"/>
      <c r="D100" s="42"/>
      <c r="E100" s="42"/>
      <c r="F100" s="42"/>
      <c r="G100" s="43" t="str">
        <f t="array" ref="G100">IF(F100="","",IFERROR(INDEX(Lists!$R:$R,MATCH(F100,Lists!$Q:$Q,0)),"Check Format"))</f>
        <v/>
      </c>
      <c r="H100" s="42"/>
      <c r="I100" s="44"/>
      <c r="J100" s="44"/>
      <c r="K100" s="44"/>
      <c r="L100" s="44"/>
      <c r="M100" s="44"/>
      <c r="N100" s="44"/>
    </row>
    <row r="101" ht="15.75" customHeight="1">
      <c r="A101" s="41"/>
      <c r="B101" s="42"/>
      <c r="C101" s="42"/>
      <c r="D101" s="42"/>
      <c r="E101" s="42"/>
      <c r="F101" s="42"/>
      <c r="G101" s="43" t="str">
        <f t="array" ref="G101">IF(F101="","",IFERROR(INDEX(Lists!$R:$R,MATCH(F101,Lists!$Q:$Q,0)),"Check Format"))</f>
        <v/>
      </c>
      <c r="H101" s="42"/>
      <c r="I101" s="44"/>
      <c r="J101" s="44"/>
      <c r="K101" s="44"/>
      <c r="L101" s="44"/>
      <c r="M101" s="44"/>
      <c r="N101" s="44"/>
    </row>
    <row r="102" ht="15.75" customHeight="1">
      <c r="A102" s="41"/>
      <c r="B102" s="42"/>
      <c r="C102" s="42"/>
      <c r="D102" s="42"/>
      <c r="E102" s="42"/>
      <c r="F102" s="42"/>
      <c r="G102" s="43" t="str">
        <f t="array" ref="G102">IF(F102="","",IFERROR(INDEX(Lists!$R:$R,MATCH(F102,Lists!$Q:$Q,0)),"Check Format"))</f>
        <v/>
      </c>
      <c r="H102" s="42"/>
      <c r="I102" s="44"/>
      <c r="J102" s="44"/>
      <c r="K102" s="44"/>
      <c r="L102" s="44"/>
      <c r="M102" s="44"/>
      <c r="N102" s="44"/>
    </row>
    <row r="103" ht="15.75" customHeight="1">
      <c r="A103" s="41"/>
      <c r="B103" s="42"/>
      <c r="C103" s="42"/>
      <c r="D103" s="42"/>
      <c r="E103" s="42"/>
      <c r="F103" s="42"/>
      <c r="G103" s="43" t="str">
        <f t="array" ref="G103">IF(F103="","",IFERROR(INDEX(Lists!$R:$R,MATCH(F103,Lists!$Q:$Q,0)),"Check Format"))</f>
        <v/>
      </c>
      <c r="H103" s="42"/>
      <c r="I103" s="44"/>
      <c r="J103" s="44"/>
      <c r="K103" s="44"/>
      <c r="L103" s="44"/>
      <c r="M103" s="44"/>
      <c r="N103" s="44"/>
    </row>
    <row r="104" ht="15.75" customHeight="1">
      <c r="A104" s="41"/>
      <c r="B104" s="42"/>
      <c r="C104" s="42"/>
      <c r="D104" s="42"/>
      <c r="E104" s="42"/>
      <c r="F104" s="42"/>
      <c r="G104" s="43" t="str">
        <f t="array" ref="G104">IF(F104="","",IFERROR(INDEX(Lists!$R:$R,MATCH(F104,Lists!$Q:$Q,0)),"Check Format"))</f>
        <v/>
      </c>
      <c r="H104" s="42"/>
      <c r="I104" s="44"/>
      <c r="J104" s="44"/>
      <c r="K104" s="44"/>
      <c r="L104" s="44"/>
      <c r="M104" s="44"/>
      <c r="N104" s="44"/>
    </row>
    <row r="105" ht="15.75" customHeight="1">
      <c r="A105" s="41"/>
      <c r="B105" s="42"/>
      <c r="C105" s="42"/>
      <c r="D105" s="42"/>
      <c r="E105" s="42"/>
      <c r="F105" s="42"/>
      <c r="G105" s="43" t="str">
        <f t="array" ref="G105">IF(F105="","",IFERROR(INDEX(Lists!$R:$R,MATCH(F105,Lists!$Q:$Q,0)),"Check Format"))</f>
        <v/>
      </c>
      <c r="H105" s="42"/>
      <c r="I105" s="44"/>
      <c r="J105" s="44"/>
      <c r="K105" s="44"/>
      <c r="L105" s="44"/>
      <c r="M105" s="44"/>
      <c r="N105" s="44"/>
    </row>
    <row r="106" ht="15.75" customHeight="1">
      <c r="A106" s="41"/>
      <c r="B106" s="42"/>
      <c r="C106" s="42"/>
      <c r="D106" s="42"/>
      <c r="E106" s="42"/>
      <c r="F106" s="42"/>
      <c r="G106" s="43" t="str">
        <f t="array" ref="G106">IF(F106="","",IFERROR(INDEX(Lists!$R:$R,MATCH(F106,Lists!$Q:$Q,0)),"Check Format"))</f>
        <v/>
      </c>
      <c r="H106" s="42"/>
      <c r="I106" s="44"/>
      <c r="J106" s="44"/>
      <c r="K106" s="44"/>
      <c r="L106" s="44"/>
      <c r="M106" s="44"/>
      <c r="N106" s="44"/>
    </row>
    <row r="107" ht="15.75" customHeight="1">
      <c r="A107" s="41"/>
      <c r="B107" s="42"/>
      <c r="C107" s="42"/>
      <c r="D107" s="42"/>
      <c r="E107" s="42"/>
      <c r="F107" s="42"/>
      <c r="G107" s="43" t="str">
        <f t="array" ref="G107">IF(F107="","",IFERROR(INDEX(Lists!$R:$R,MATCH(F107,Lists!$Q:$Q,0)),"Check Format"))</f>
        <v/>
      </c>
      <c r="H107" s="42"/>
      <c r="I107" s="44"/>
      <c r="J107" s="44"/>
      <c r="K107" s="44"/>
      <c r="L107" s="44"/>
      <c r="M107" s="44"/>
      <c r="N107" s="44"/>
    </row>
    <row r="108" ht="15.75" customHeight="1">
      <c r="A108" s="41"/>
      <c r="B108" s="42"/>
      <c r="C108" s="42"/>
      <c r="D108" s="42"/>
      <c r="E108" s="42"/>
      <c r="F108" s="42"/>
      <c r="G108" s="43" t="str">
        <f t="array" ref="G108">IF(F108="","",IFERROR(INDEX(Lists!$R:$R,MATCH(F108,Lists!$Q:$Q,0)),"Check Format"))</f>
        <v/>
      </c>
      <c r="H108" s="42"/>
      <c r="I108" s="44"/>
      <c r="J108" s="44"/>
      <c r="K108" s="44"/>
      <c r="L108" s="44"/>
      <c r="M108" s="44"/>
      <c r="N108" s="44"/>
    </row>
    <row r="109" ht="15.75" customHeight="1">
      <c r="A109" s="41"/>
      <c r="B109" s="42"/>
      <c r="C109" s="42"/>
      <c r="D109" s="42"/>
      <c r="E109" s="42"/>
      <c r="F109" s="42"/>
      <c r="G109" s="43" t="str">
        <f t="array" ref="G109">IF(F109="","",IFERROR(INDEX(Lists!$R:$R,MATCH(F109,Lists!$Q:$Q,0)),"Check Format"))</f>
        <v/>
      </c>
      <c r="H109" s="42"/>
      <c r="I109" s="44"/>
      <c r="J109" s="44"/>
      <c r="K109" s="44"/>
      <c r="L109" s="44"/>
      <c r="M109" s="44"/>
      <c r="N109" s="44"/>
    </row>
    <row r="110" ht="15.75" customHeight="1">
      <c r="A110" s="41"/>
      <c r="B110" s="42"/>
      <c r="C110" s="42"/>
      <c r="D110" s="42"/>
      <c r="E110" s="42"/>
      <c r="F110" s="42"/>
      <c r="G110" s="43" t="str">
        <f t="array" ref="G110">IF(F110="","",IFERROR(INDEX(Lists!$R:$R,MATCH(F110,Lists!$Q:$Q,0)),"Check Format"))</f>
        <v/>
      </c>
      <c r="H110" s="42"/>
      <c r="I110" s="44"/>
      <c r="J110" s="44"/>
      <c r="K110" s="44"/>
      <c r="L110" s="44"/>
      <c r="M110" s="44"/>
      <c r="N110" s="44"/>
    </row>
    <row r="111" ht="15.75" customHeight="1">
      <c r="A111" s="41"/>
      <c r="B111" s="42"/>
      <c r="C111" s="42"/>
      <c r="D111" s="42"/>
      <c r="E111" s="42"/>
      <c r="F111" s="42"/>
      <c r="G111" s="43" t="str">
        <f t="array" ref="G111">IF(F111="","",IFERROR(INDEX(Lists!$R:$R,MATCH(F111,Lists!$Q:$Q,0)),"Check Format"))</f>
        <v/>
      </c>
      <c r="H111" s="42"/>
      <c r="I111" s="44"/>
      <c r="J111" s="44"/>
      <c r="K111" s="44"/>
      <c r="L111" s="44"/>
      <c r="M111" s="44"/>
      <c r="N111" s="44"/>
    </row>
    <row r="112" ht="15.75" customHeight="1">
      <c r="A112" s="41"/>
      <c r="B112" s="42"/>
      <c r="C112" s="42"/>
      <c r="D112" s="42"/>
      <c r="E112" s="42"/>
      <c r="F112" s="42"/>
      <c r="G112" s="43" t="str">
        <f t="array" ref="G112">IF(F112="","",IFERROR(INDEX(Lists!$R:$R,MATCH(F112,Lists!$Q:$Q,0)),"Check Format"))</f>
        <v/>
      </c>
      <c r="H112" s="42"/>
      <c r="I112" s="44"/>
      <c r="J112" s="44"/>
      <c r="K112" s="44"/>
      <c r="L112" s="44"/>
      <c r="M112" s="44"/>
      <c r="N112" s="44"/>
    </row>
    <row r="113" ht="15.75" customHeight="1">
      <c r="A113" s="41"/>
      <c r="B113" s="42"/>
      <c r="C113" s="42"/>
      <c r="D113" s="42"/>
      <c r="E113" s="42"/>
      <c r="F113" s="42"/>
      <c r="G113" s="43" t="str">
        <f t="array" ref="G113">IF(F113="","",IFERROR(INDEX(Lists!$R:$R,MATCH(F113,Lists!$Q:$Q,0)),"Check Format"))</f>
        <v/>
      </c>
      <c r="H113" s="42"/>
      <c r="I113" s="44"/>
      <c r="J113" s="44"/>
      <c r="K113" s="44"/>
      <c r="L113" s="44"/>
      <c r="M113" s="44"/>
      <c r="N113" s="44"/>
    </row>
    <row r="114" ht="15.75" customHeight="1">
      <c r="A114" s="41"/>
      <c r="B114" s="42"/>
      <c r="C114" s="42"/>
      <c r="D114" s="42"/>
      <c r="E114" s="42"/>
      <c r="F114" s="42"/>
      <c r="G114" s="43" t="str">
        <f t="array" ref="G114">IF(F114="","",IFERROR(INDEX(Lists!$R:$R,MATCH(F114,Lists!$Q:$Q,0)),"Check Format"))</f>
        <v/>
      </c>
      <c r="H114" s="42"/>
      <c r="I114" s="44"/>
      <c r="J114" s="44"/>
      <c r="K114" s="44"/>
      <c r="L114" s="44"/>
      <c r="M114" s="44"/>
      <c r="N114" s="44"/>
    </row>
    <row r="115" ht="15.75" customHeight="1">
      <c r="A115" s="41"/>
      <c r="B115" s="42"/>
      <c r="C115" s="42"/>
      <c r="D115" s="42"/>
      <c r="E115" s="42"/>
      <c r="F115" s="42"/>
      <c r="G115" s="43" t="str">
        <f t="array" ref="G115">IF(F115="","",IFERROR(INDEX(Lists!$R:$R,MATCH(F115,Lists!$Q:$Q,0)),"Check Format"))</f>
        <v/>
      </c>
      <c r="H115" s="42"/>
      <c r="I115" s="44"/>
      <c r="J115" s="44"/>
      <c r="K115" s="44"/>
      <c r="L115" s="44"/>
      <c r="M115" s="44"/>
      <c r="N115" s="44"/>
    </row>
    <row r="116" ht="15.75" customHeight="1">
      <c r="A116" s="41"/>
      <c r="B116" s="42"/>
      <c r="C116" s="42"/>
      <c r="D116" s="42"/>
      <c r="E116" s="42"/>
      <c r="F116" s="42"/>
      <c r="G116" s="43" t="str">
        <f t="array" ref="G116">IF(F116="","",IFERROR(INDEX(Lists!$R:$R,MATCH(F116,Lists!$Q:$Q,0)),"Check Format"))</f>
        <v/>
      </c>
      <c r="H116" s="42"/>
      <c r="I116" s="44"/>
      <c r="J116" s="44"/>
      <c r="K116" s="44"/>
      <c r="L116" s="44"/>
      <c r="M116" s="44"/>
      <c r="N116" s="44"/>
    </row>
    <row r="117" ht="15.75" customHeight="1">
      <c r="A117" s="41"/>
      <c r="B117" s="42"/>
      <c r="C117" s="42"/>
      <c r="D117" s="42"/>
      <c r="E117" s="42"/>
      <c r="F117" s="42"/>
      <c r="G117" s="43" t="str">
        <f t="array" ref="G117">IF(F117="","",IFERROR(INDEX(Lists!$R:$R,MATCH(F117,Lists!$Q:$Q,0)),"Check Format"))</f>
        <v/>
      </c>
      <c r="H117" s="42"/>
      <c r="I117" s="44"/>
      <c r="J117" s="44"/>
      <c r="K117" s="44"/>
      <c r="L117" s="44"/>
      <c r="M117" s="44"/>
      <c r="N117" s="44"/>
    </row>
    <row r="118" ht="15.75" customHeight="1">
      <c r="A118" s="41"/>
      <c r="B118" s="42"/>
      <c r="C118" s="42"/>
      <c r="D118" s="42"/>
      <c r="E118" s="42"/>
      <c r="F118" s="42"/>
      <c r="G118" s="43" t="str">
        <f t="array" ref="G118">IF(F118="","",IFERROR(INDEX(Lists!$R:$R,MATCH(F118,Lists!$Q:$Q,0)),"Check Format"))</f>
        <v/>
      </c>
      <c r="H118" s="42"/>
      <c r="I118" s="44"/>
      <c r="J118" s="44"/>
      <c r="K118" s="44"/>
      <c r="L118" s="44"/>
      <c r="M118" s="44"/>
      <c r="N118" s="44"/>
    </row>
    <row r="119" ht="15.75" customHeight="1">
      <c r="A119" s="41"/>
      <c r="B119" s="42"/>
      <c r="C119" s="42"/>
      <c r="D119" s="42"/>
      <c r="E119" s="42"/>
      <c r="F119" s="42"/>
      <c r="G119" s="43" t="str">
        <f t="array" ref="G119">IF(F119="","",IFERROR(INDEX(Lists!$R:$R,MATCH(F119,Lists!$Q:$Q,0)),"Check Format"))</f>
        <v/>
      </c>
      <c r="H119" s="42"/>
      <c r="I119" s="44"/>
      <c r="J119" s="44"/>
      <c r="K119" s="44"/>
      <c r="L119" s="44"/>
      <c r="M119" s="44"/>
      <c r="N119" s="44"/>
    </row>
    <row r="120" ht="15.75" customHeight="1">
      <c r="A120" s="41"/>
      <c r="B120" s="42"/>
      <c r="C120" s="42"/>
      <c r="D120" s="42"/>
      <c r="E120" s="42"/>
      <c r="F120" s="42"/>
      <c r="G120" s="43" t="str">
        <f t="array" ref="G120">IF(F120="","",IFERROR(INDEX(Lists!$R:$R,MATCH(F120,Lists!$Q:$Q,0)),"Check Format"))</f>
        <v/>
      </c>
      <c r="H120" s="42"/>
      <c r="I120" s="44"/>
      <c r="J120" s="44"/>
      <c r="K120" s="44"/>
      <c r="L120" s="44"/>
      <c r="M120" s="44"/>
      <c r="N120" s="44"/>
    </row>
    <row r="121" ht="15.75" customHeight="1">
      <c r="A121" s="41"/>
      <c r="B121" s="42"/>
      <c r="C121" s="42"/>
      <c r="D121" s="42"/>
      <c r="E121" s="42"/>
      <c r="F121" s="42"/>
      <c r="G121" s="43" t="str">
        <f t="array" ref="G121">IF(F121="","",IFERROR(INDEX(Lists!$R:$R,MATCH(F121,Lists!$Q:$Q,0)),"Check Format"))</f>
        <v/>
      </c>
      <c r="H121" s="42"/>
      <c r="I121" s="44"/>
      <c r="J121" s="44"/>
      <c r="K121" s="44"/>
      <c r="L121" s="44"/>
      <c r="M121" s="44"/>
      <c r="N121" s="44"/>
    </row>
    <row r="122" ht="15.75" customHeight="1">
      <c r="A122" s="41"/>
      <c r="B122" s="42"/>
      <c r="C122" s="42"/>
      <c r="D122" s="42"/>
      <c r="E122" s="42"/>
      <c r="F122" s="42"/>
      <c r="G122" s="43" t="str">
        <f t="array" ref="G122">IF(F122="","",IFERROR(INDEX(Lists!$R:$R,MATCH(F122,Lists!$Q:$Q,0)),"Check Format"))</f>
        <v/>
      </c>
      <c r="H122" s="42"/>
      <c r="I122" s="44"/>
      <c r="J122" s="44"/>
      <c r="K122" s="44"/>
      <c r="L122" s="44"/>
      <c r="M122" s="44"/>
      <c r="N122" s="44"/>
    </row>
    <row r="123" ht="15.75" customHeight="1">
      <c r="A123" s="41"/>
      <c r="B123" s="42"/>
      <c r="C123" s="42"/>
      <c r="D123" s="42"/>
      <c r="E123" s="42"/>
      <c r="F123" s="42"/>
      <c r="G123" s="43" t="str">
        <f t="array" ref="G123">IF(F123="","",IFERROR(INDEX(Lists!$R:$R,MATCH(F123,Lists!$Q:$Q,0)),"Check Format"))</f>
        <v/>
      </c>
      <c r="H123" s="42"/>
      <c r="I123" s="44"/>
      <c r="J123" s="44"/>
      <c r="K123" s="44"/>
      <c r="L123" s="44"/>
      <c r="M123" s="44"/>
      <c r="N123" s="44"/>
    </row>
    <row r="124" ht="15.75" customHeight="1">
      <c r="A124" s="41"/>
      <c r="B124" s="42"/>
      <c r="C124" s="42"/>
      <c r="D124" s="42"/>
      <c r="E124" s="42"/>
      <c r="F124" s="42"/>
      <c r="G124" s="43" t="str">
        <f t="array" ref="G124">IF(F124="","",IFERROR(INDEX(Lists!$R:$R,MATCH(F124,Lists!$Q:$Q,0)),"Check Format"))</f>
        <v/>
      </c>
      <c r="H124" s="42"/>
      <c r="I124" s="44"/>
      <c r="J124" s="44"/>
      <c r="K124" s="44"/>
      <c r="L124" s="44"/>
      <c r="M124" s="44"/>
      <c r="N124" s="44"/>
    </row>
    <row r="125" ht="15.75" customHeight="1">
      <c r="A125" s="41"/>
      <c r="B125" s="42"/>
      <c r="C125" s="42"/>
      <c r="D125" s="42"/>
      <c r="E125" s="42"/>
      <c r="F125" s="42"/>
      <c r="G125" s="43" t="str">
        <f t="array" ref="G125">IF(F125="","",IFERROR(INDEX(Lists!$R:$R,MATCH(F125,Lists!$Q:$Q,0)),"Check Format"))</f>
        <v/>
      </c>
      <c r="H125" s="42"/>
      <c r="I125" s="44"/>
      <c r="J125" s="44"/>
      <c r="K125" s="44"/>
      <c r="L125" s="44"/>
      <c r="M125" s="44"/>
      <c r="N125" s="44"/>
    </row>
    <row r="126" ht="15.75" customHeight="1">
      <c r="A126" s="41"/>
      <c r="B126" s="42"/>
      <c r="C126" s="42"/>
      <c r="D126" s="42"/>
      <c r="E126" s="42"/>
      <c r="F126" s="42"/>
      <c r="G126" s="43" t="str">
        <f t="array" ref="G126">IF(F126="","",IFERROR(INDEX(Lists!$R:$R,MATCH(F126,Lists!$Q:$Q,0)),"Check Format"))</f>
        <v/>
      </c>
      <c r="H126" s="42"/>
      <c r="I126" s="44"/>
      <c r="J126" s="44"/>
      <c r="K126" s="44"/>
      <c r="L126" s="44"/>
      <c r="M126" s="44"/>
      <c r="N126" s="44"/>
    </row>
    <row r="127" ht="15.75" customHeight="1">
      <c r="A127" s="41"/>
      <c r="B127" s="42"/>
      <c r="C127" s="42"/>
      <c r="D127" s="42"/>
      <c r="E127" s="42"/>
      <c r="F127" s="42"/>
      <c r="G127" s="43" t="str">
        <f t="array" ref="G127">IF(F127="","",IFERROR(INDEX(Lists!$R:$R,MATCH(F127,Lists!$Q:$Q,0)),"Check Format"))</f>
        <v/>
      </c>
      <c r="H127" s="42"/>
      <c r="I127" s="44"/>
      <c r="J127" s="44"/>
      <c r="K127" s="44"/>
      <c r="L127" s="44"/>
      <c r="M127" s="44"/>
      <c r="N127" s="44"/>
    </row>
    <row r="128" ht="15.75" customHeight="1">
      <c r="A128" s="41"/>
      <c r="B128" s="42"/>
      <c r="C128" s="42"/>
      <c r="D128" s="42"/>
      <c r="E128" s="42"/>
      <c r="F128" s="42"/>
      <c r="G128" s="43" t="str">
        <f t="array" ref="G128">IF(F128="","",IFERROR(INDEX(Lists!$R:$R,MATCH(F128,Lists!$Q:$Q,0)),"Check Format"))</f>
        <v/>
      </c>
      <c r="H128" s="42"/>
      <c r="I128" s="44"/>
      <c r="J128" s="44"/>
      <c r="K128" s="44"/>
      <c r="L128" s="44"/>
      <c r="M128" s="44"/>
      <c r="N128" s="44"/>
    </row>
    <row r="129" ht="15.75" customHeight="1">
      <c r="A129" s="41"/>
      <c r="B129" s="42"/>
      <c r="C129" s="42"/>
      <c r="D129" s="42"/>
      <c r="E129" s="42"/>
      <c r="F129" s="42"/>
      <c r="G129" s="43" t="str">
        <f t="array" ref="G129">IF(F129="","",IFERROR(INDEX(Lists!$R:$R,MATCH(F129,Lists!$Q:$Q,0)),"Check Format"))</f>
        <v/>
      </c>
      <c r="H129" s="42"/>
      <c r="I129" s="44"/>
      <c r="J129" s="44"/>
      <c r="K129" s="44"/>
      <c r="L129" s="44"/>
      <c r="M129" s="44"/>
      <c r="N129" s="44"/>
    </row>
    <row r="130" ht="15.75" customHeight="1">
      <c r="A130" s="41"/>
      <c r="B130" s="42"/>
      <c r="C130" s="42"/>
      <c r="D130" s="42"/>
      <c r="E130" s="42"/>
      <c r="F130" s="42"/>
      <c r="G130" s="43" t="str">
        <f t="array" ref="G130">IF(F130="","",IFERROR(INDEX(Lists!$R:$R,MATCH(F130,Lists!$Q:$Q,0)),"Check Format"))</f>
        <v/>
      </c>
      <c r="H130" s="42"/>
      <c r="I130" s="44"/>
      <c r="J130" s="44"/>
      <c r="K130" s="44"/>
      <c r="L130" s="44"/>
      <c r="M130" s="44"/>
      <c r="N130" s="44"/>
    </row>
    <row r="131" ht="15.75" customHeight="1">
      <c r="A131" s="41"/>
      <c r="B131" s="42"/>
      <c r="C131" s="42"/>
      <c r="D131" s="42"/>
      <c r="E131" s="42"/>
      <c r="F131" s="42"/>
      <c r="G131" s="43" t="str">
        <f t="array" ref="G131">IF(F131="","",IFERROR(INDEX(Lists!$R:$R,MATCH(F131,Lists!$Q:$Q,0)),"Check Format"))</f>
        <v/>
      </c>
      <c r="H131" s="42"/>
      <c r="I131" s="44"/>
      <c r="J131" s="44"/>
      <c r="K131" s="44"/>
      <c r="L131" s="44"/>
      <c r="M131" s="44"/>
      <c r="N131" s="44"/>
    </row>
    <row r="132" ht="15.75" customHeight="1">
      <c r="A132" s="41"/>
      <c r="B132" s="42"/>
      <c r="C132" s="42"/>
      <c r="D132" s="42"/>
      <c r="E132" s="42"/>
      <c r="F132" s="42"/>
      <c r="G132" s="43" t="str">
        <f t="array" ref="G132">IF(F132="","",IFERROR(INDEX(Lists!$R:$R,MATCH(F132,Lists!$Q:$Q,0)),"Check Format"))</f>
        <v/>
      </c>
      <c r="H132" s="42"/>
      <c r="I132" s="44"/>
      <c r="J132" s="44"/>
      <c r="K132" s="44"/>
      <c r="L132" s="44"/>
      <c r="M132" s="44"/>
      <c r="N132" s="44"/>
    </row>
    <row r="133" ht="15.75" customHeight="1">
      <c r="A133" s="41"/>
      <c r="B133" s="42"/>
      <c r="C133" s="42"/>
      <c r="D133" s="42"/>
      <c r="E133" s="42"/>
      <c r="F133" s="42"/>
      <c r="G133" s="43" t="str">
        <f t="array" ref="G133">IF(F133="","",IFERROR(INDEX(Lists!$R:$R,MATCH(F133,Lists!$Q:$Q,0)),"Check Format"))</f>
        <v/>
      </c>
      <c r="H133" s="42"/>
      <c r="I133" s="44"/>
      <c r="J133" s="44"/>
      <c r="K133" s="44"/>
      <c r="L133" s="44"/>
      <c r="M133" s="44"/>
      <c r="N133" s="44"/>
    </row>
    <row r="134" ht="15.75" customHeight="1">
      <c r="A134" s="41"/>
      <c r="B134" s="42"/>
      <c r="C134" s="42"/>
      <c r="D134" s="42"/>
      <c r="E134" s="42"/>
      <c r="F134" s="42"/>
      <c r="G134" s="43" t="str">
        <f t="array" ref="G134">IF(F134="","",IFERROR(INDEX(Lists!$R:$R,MATCH(F134,Lists!$Q:$Q,0)),"Check Format"))</f>
        <v/>
      </c>
      <c r="H134" s="42"/>
      <c r="I134" s="44"/>
      <c r="J134" s="44"/>
      <c r="K134" s="44"/>
      <c r="L134" s="44"/>
      <c r="M134" s="44"/>
      <c r="N134" s="44"/>
    </row>
    <row r="135" ht="15.75" customHeight="1">
      <c r="A135" s="41"/>
      <c r="B135" s="42"/>
      <c r="C135" s="42"/>
      <c r="D135" s="42"/>
      <c r="E135" s="42"/>
      <c r="F135" s="42"/>
      <c r="G135" s="43" t="str">
        <f t="array" ref="G135">IF(F135="","",IFERROR(INDEX(Lists!$R:$R,MATCH(F135,Lists!$Q:$Q,0)),"Check Format"))</f>
        <v/>
      </c>
      <c r="H135" s="42"/>
      <c r="I135" s="44"/>
      <c r="J135" s="44"/>
      <c r="K135" s="44"/>
      <c r="L135" s="44"/>
      <c r="M135" s="44"/>
      <c r="N135" s="44"/>
    </row>
    <row r="136" ht="15.75" customHeight="1">
      <c r="A136" s="41"/>
      <c r="B136" s="42"/>
      <c r="C136" s="42"/>
      <c r="D136" s="42"/>
      <c r="E136" s="42"/>
      <c r="F136" s="42"/>
      <c r="G136" s="43" t="str">
        <f t="array" ref="G136">IF(F136="","",IFERROR(INDEX(Lists!$R:$R,MATCH(F136,Lists!$Q:$Q,0)),"Check Format"))</f>
        <v/>
      </c>
      <c r="H136" s="42"/>
      <c r="I136" s="44"/>
      <c r="J136" s="44"/>
      <c r="K136" s="44"/>
      <c r="L136" s="44"/>
      <c r="M136" s="44"/>
      <c r="N136" s="44"/>
    </row>
    <row r="137" ht="15.75" customHeight="1">
      <c r="A137" s="41"/>
      <c r="B137" s="42"/>
      <c r="C137" s="42"/>
      <c r="D137" s="42"/>
      <c r="E137" s="42"/>
      <c r="F137" s="42"/>
      <c r="G137" s="43" t="str">
        <f t="array" ref="G137">IF(F137="","",IFERROR(INDEX(Lists!$R:$R,MATCH(F137,Lists!$Q:$Q,0)),"Check Format"))</f>
        <v/>
      </c>
      <c r="H137" s="42"/>
      <c r="I137" s="44"/>
      <c r="J137" s="44"/>
      <c r="K137" s="44"/>
      <c r="L137" s="44"/>
      <c r="M137" s="44"/>
      <c r="N137" s="44"/>
    </row>
    <row r="138" ht="15.75" customHeight="1">
      <c r="A138" s="41"/>
      <c r="B138" s="42"/>
      <c r="C138" s="42"/>
      <c r="D138" s="42"/>
      <c r="E138" s="42"/>
      <c r="F138" s="42"/>
      <c r="G138" s="43" t="str">
        <f t="array" ref="G138">IF(F138="","",IFERROR(INDEX(Lists!$R:$R,MATCH(F138,Lists!$Q:$Q,0)),"Check Format"))</f>
        <v/>
      </c>
      <c r="H138" s="42"/>
      <c r="I138" s="44"/>
      <c r="J138" s="44"/>
      <c r="K138" s="44"/>
      <c r="L138" s="44"/>
      <c r="M138" s="44"/>
      <c r="N138" s="44"/>
    </row>
    <row r="139" ht="15.75" customHeight="1">
      <c r="A139" s="41"/>
      <c r="B139" s="42"/>
      <c r="C139" s="42"/>
      <c r="D139" s="42"/>
      <c r="E139" s="42"/>
      <c r="F139" s="42"/>
      <c r="G139" s="43" t="str">
        <f t="array" ref="G139">IF(F139="","",IFERROR(INDEX(Lists!$R:$R,MATCH(F139,Lists!$Q:$Q,0)),"Check Format"))</f>
        <v/>
      </c>
      <c r="H139" s="42"/>
      <c r="I139" s="44"/>
      <c r="J139" s="44"/>
      <c r="K139" s="44"/>
      <c r="L139" s="44"/>
      <c r="M139" s="44"/>
      <c r="N139" s="44"/>
    </row>
    <row r="140" ht="15.75" customHeight="1">
      <c r="A140" s="41"/>
      <c r="B140" s="42"/>
      <c r="C140" s="42"/>
      <c r="D140" s="42"/>
      <c r="E140" s="42"/>
      <c r="F140" s="42"/>
      <c r="G140" s="43" t="str">
        <f t="array" ref="G140">IF(F140="","",IFERROR(INDEX(Lists!$R:$R,MATCH(F140,Lists!$Q:$Q,0)),"Check Format"))</f>
        <v/>
      </c>
      <c r="H140" s="42"/>
      <c r="I140" s="44"/>
      <c r="J140" s="44"/>
      <c r="K140" s="44"/>
      <c r="L140" s="44"/>
      <c r="M140" s="44"/>
      <c r="N140" s="44"/>
    </row>
    <row r="141" ht="15.75" customHeight="1">
      <c r="A141" s="41"/>
      <c r="B141" s="42"/>
      <c r="C141" s="42"/>
      <c r="D141" s="42"/>
      <c r="E141" s="42"/>
      <c r="F141" s="42"/>
      <c r="G141" s="43" t="str">
        <f t="array" ref="G141">IF(F141="","",IFERROR(INDEX(Lists!$R:$R,MATCH(F141,Lists!$Q:$Q,0)),"Check Format"))</f>
        <v/>
      </c>
      <c r="H141" s="42"/>
      <c r="I141" s="44"/>
      <c r="J141" s="44"/>
      <c r="K141" s="44"/>
      <c r="L141" s="44"/>
      <c r="M141" s="44"/>
      <c r="N141" s="44"/>
    </row>
    <row r="142" ht="15.75" customHeight="1">
      <c r="A142" s="41"/>
      <c r="B142" s="42"/>
      <c r="C142" s="42"/>
      <c r="D142" s="42"/>
      <c r="E142" s="42"/>
      <c r="F142" s="42"/>
      <c r="G142" s="43" t="str">
        <f t="array" ref="G142">IF(F142="","",IFERROR(INDEX(Lists!$R:$R,MATCH(F142,Lists!$Q:$Q,0)),"Check Format"))</f>
        <v/>
      </c>
      <c r="H142" s="42"/>
      <c r="I142" s="44"/>
      <c r="J142" s="44"/>
      <c r="K142" s="44"/>
      <c r="L142" s="44"/>
      <c r="M142" s="44"/>
      <c r="N142" s="44"/>
    </row>
    <row r="143" ht="15.75" customHeight="1">
      <c r="A143" s="41"/>
      <c r="B143" s="42"/>
      <c r="C143" s="42"/>
      <c r="D143" s="42"/>
      <c r="E143" s="42"/>
      <c r="F143" s="42"/>
      <c r="G143" s="43" t="str">
        <f t="array" ref="G143">IF(F143="","",IFERROR(INDEX(Lists!$R:$R,MATCH(F143,Lists!$Q:$Q,0)),"Check Format"))</f>
        <v/>
      </c>
      <c r="H143" s="42"/>
      <c r="I143" s="44"/>
      <c r="J143" s="44"/>
      <c r="K143" s="44"/>
      <c r="L143" s="44"/>
      <c r="M143" s="44"/>
      <c r="N143" s="44"/>
    </row>
    <row r="144" ht="15.75" customHeight="1">
      <c r="A144" s="41"/>
      <c r="B144" s="42"/>
      <c r="C144" s="42"/>
      <c r="D144" s="42"/>
      <c r="E144" s="42"/>
      <c r="F144" s="42"/>
      <c r="G144" s="43" t="str">
        <f t="array" ref="G144">IF(F144="","",IFERROR(INDEX(Lists!$R:$R,MATCH(F144,Lists!$Q:$Q,0)),"Check Format"))</f>
        <v/>
      </c>
      <c r="H144" s="42"/>
      <c r="I144" s="44"/>
      <c r="J144" s="44"/>
      <c r="K144" s="44"/>
      <c r="L144" s="44"/>
      <c r="M144" s="44"/>
      <c r="N144" s="44"/>
    </row>
    <row r="145" ht="15.75" customHeight="1">
      <c r="A145" s="41"/>
      <c r="B145" s="42"/>
      <c r="C145" s="42"/>
      <c r="D145" s="42"/>
      <c r="E145" s="42"/>
      <c r="F145" s="42"/>
      <c r="G145" s="43" t="str">
        <f t="array" ref="G145">IF(F145="","",IFERROR(INDEX(Lists!$R:$R,MATCH(F145,Lists!$Q:$Q,0)),"Check Format"))</f>
        <v/>
      </c>
      <c r="H145" s="42"/>
      <c r="I145" s="44"/>
      <c r="J145" s="44"/>
      <c r="K145" s="44"/>
      <c r="L145" s="44"/>
      <c r="M145" s="44"/>
      <c r="N145" s="44"/>
    </row>
    <row r="146" ht="15.75" customHeight="1">
      <c r="A146" s="41"/>
      <c r="B146" s="42"/>
      <c r="C146" s="42"/>
      <c r="D146" s="42"/>
      <c r="E146" s="42"/>
      <c r="F146" s="42"/>
      <c r="G146" s="43" t="str">
        <f t="array" ref="G146">IF(F146="","",IFERROR(INDEX(Lists!$R:$R,MATCH(F146,Lists!$Q:$Q,0)),"Check Format"))</f>
        <v/>
      </c>
      <c r="H146" s="42"/>
      <c r="I146" s="44"/>
      <c r="J146" s="44"/>
      <c r="K146" s="44"/>
      <c r="L146" s="44"/>
      <c r="M146" s="44"/>
      <c r="N146" s="44"/>
    </row>
    <row r="147" ht="15.75" customHeight="1">
      <c r="A147" s="41"/>
      <c r="B147" s="42"/>
      <c r="C147" s="42"/>
      <c r="D147" s="42"/>
      <c r="E147" s="42"/>
      <c r="F147" s="42"/>
      <c r="G147" s="43" t="str">
        <f t="array" ref="G147">IF(F147="","",IFERROR(INDEX(Lists!$R:$R,MATCH(F147,Lists!$Q:$Q,0)),"Check Format"))</f>
        <v/>
      </c>
      <c r="H147" s="42"/>
      <c r="I147" s="44"/>
      <c r="J147" s="44"/>
      <c r="K147" s="44"/>
      <c r="L147" s="44"/>
      <c r="M147" s="44"/>
      <c r="N147" s="44"/>
    </row>
    <row r="148" ht="15.75" customHeight="1">
      <c r="A148" s="41"/>
      <c r="B148" s="42"/>
      <c r="C148" s="42"/>
      <c r="D148" s="42"/>
      <c r="E148" s="42"/>
      <c r="F148" s="42"/>
      <c r="G148" s="43" t="str">
        <f t="array" ref="G148">IF(F148="","",IFERROR(INDEX(Lists!$R:$R,MATCH(F148,Lists!$Q:$Q,0)),"Check Format"))</f>
        <v/>
      </c>
      <c r="H148" s="42"/>
      <c r="I148" s="44"/>
      <c r="J148" s="44"/>
      <c r="K148" s="44"/>
      <c r="L148" s="44"/>
      <c r="M148" s="44"/>
      <c r="N148" s="44"/>
    </row>
    <row r="149" ht="15.75" customHeight="1">
      <c r="A149" s="41"/>
      <c r="B149" s="42"/>
      <c r="C149" s="42"/>
      <c r="D149" s="42"/>
      <c r="E149" s="42"/>
      <c r="F149" s="42"/>
      <c r="G149" s="43" t="str">
        <f t="array" ref="G149">IF(F149="","",IFERROR(INDEX(Lists!$R:$R,MATCH(F149,Lists!$Q:$Q,0)),"Check Format"))</f>
        <v/>
      </c>
      <c r="H149" s="42"/>
      <c r="I149" s="44"/>
      <c r="J149" s="44"/>
      <c r="K149" s="44"/>
      <c r="L149" s="44"/>
      <c r="M149" s="44"/>
      <c r="N149" s="44"/>
    </row>
    <row r="150" ht="15.75" customHeight="1">
      <c r="A150" s="41"/>
      <c r="B150" s="42"/>
      <c r="C150" s="42"/>
      <c r="D150" s="42"/>
      <c r="E150" s="42"/>
      <c r="F150" s="42"/>
      <c r="G150" s="43" t="str">
        <f t="array" ref="G150">IF(F150="","",IFERROR(INDEX(Lists!$R:$R,MATCH(F150,Lists!$Q:$Q,0)),"Check Format"))</f>
        <v/>
      </c>
      <c r="H150" s="42"/>
      <c r="I150" s="44"/>
      <c r="J150" s="44"/>
      <c r="K150" s="44"/>
      <c r="L150" s="44"/>
      <c r="M150" s="44"/>
      <c r="N150" s="44"/>
    </row>
    <row r="151" ht="15.75" customHeight="1">
      <c r="A151" s="41"/>
      <c r="B151" s="42"/>
      <c r="C151" s="42"/>
      <c r="D151" s="42"/>
      <c r="E151" s="42"/>
      <c r="F151" s="42"/>
      <c r="G151" s="43" t="str">
        <f t="array" ref="G151">IF(F151="","",IFERROR(INDEX(Lists!$R:$R,MATCH(F151,Lists!$Q:$Q,0)),"Check Format"))</f>
        <v/>
      </c>
      <c r="H151" s="42"/>
      <c r="I151" s="44"/>
      <c r="J151" s="44"/>
      <c r="K151" s="44"/>
      <c r="L151" s="44"/>
      <c r="M151" s="44"/>
      <c r="N151" s="44"/>
    </row>
    <row r="152" ht="15.75" customHeight="1">
      <c r="A152" s="41"/>
      <c r="B152" s="42"/>
      <c r="C152" s="42"/>
      <c r="D152" s="42"/>
      <c r="E152" s="42"/>
      <c r="F152" s="42"/>
      <c r="G152" s="43" t="str">
        <f t="array" ref="G152">IF(F152="","",IFERROR(INDEX(Lists!$R:$R,MATCH(F152,Lists!$Q:$Q,0)),"Check Format"))</f>
        <v/>
      </c>
      <c r="H152" s="42"/>
      <c r="I152" s="44"/>
      <c r="J152" s="44"/>
      <c r="K152" s="44"/>
      <c r="L152" s="44"/>
      <c r="M152" s="44"/>
      <c r="N152" s="44"/>
    </row>
    <row r="153" ht="15.75" customHeight="1">
      <c r="A153" s="41"/>
      <c r="B153" s="42"/>
      <c r="C153" s="42"/>
      <c r="D153" s="42"/>
      <c r="E153" s="42"/>
      <c r="F153" s="42"/>
      <c r="G153" s="43" t="str">
        <f t="array" ref="G153">IF(F153="","",IFERROR(INDEX(Lists!$R:$R,MATCH(F153,Lists!$Q:$Q,0)),"Check Format"))</f>
        <v/>
      </c>
      <c r="H153" s="42"/>
      <c r="I153" s="44"/>
      <c r="J153" s="44"/>
      <c r="K153" s="44"/>
      <c r="L153" s="44"/>
      <c r="M153" s="44"/>
      <c r="N153" s="44"/>
    </row>
    <row r="154" ht="15.75" customHeight="1">
      <c r="A154" s="41"/>
      <c r="B154" s="42"/>
      <c r="C154" s="42"/>
      <c r="D154" s="42"/>
      <c r="E154" s="42"/>
      <c r="F154" s="42"/>
      <c r="G154" s="43" t="str">
        <f t="array" ref="G154">IF(F154="","",IFERROR(INDEX(Lists!$R:$R,MATCH(F154,Lists!$Q:$Q,0)),"Check Format"))</f>
        <v/>
      </c>
      <c r="H154" s="42"/>
      <c r="I154" s="44"/>
      <c r="J154" s="44"/>
      <c r="K154" s="44"/>
      <c r="L154" s="44"/>
      <c r="M154" s="44"/>
      <c r="N154" s="44"/>
    </row>
    <row r="155" ht="15.75" customHeight="1">
      <c r="A155" s="41"/>
      <c r="B155" s="42"/>
      <c r="C155" s="42"/>
      <c r="D155" s="42"/>
      <c r="E155" s="42"/>
      <c r="F155" s="42"/>
      <c r="G155" s="43" t="str">
        <f t="array" ref="G155">IF(F155="","",IFERROR(INDEX(Lists!$R:$R,MATCH(F155,Lists!$Q:$Q,0)),"Check Format"))</f>
        <v/>
      </c>
      <c r="H155" s="42"/>
      <c r="I155" s="44"/>
      <c r="J155" s="44"/>
      <c r="K155" s="44"/>
      <c r="L155" s="44"/>
      <c r="M155" s="44"/>
      <c r="N155" s="44"/>
    </row>
    <row r="156" ht="15.75" customHeight="1">
      <c r="A156" s="41"/>
      <c r="B156" s="42"/>
      <c r="C156" s="42"/>
      <c r="D156" s="42"/>
      <c r="E156" s="42"/>
      <c r="F156" s="42"/>
      <c r="G156" s="43" t="str">
        <f t="array" ref="G156">IF(F156="","",IFERROR(INDEX(Lists!$R:$R,MATCH(F156,Lists!$Q:$Q,0)),"Check Format"))</f>
        <v/>
      </c>
      <c r="H156" s="42"/>
      <c r="I156" s="44"/>
      <c r="J156" s="44"/>
      <c r="K156" s="44"/>
      <c r="L156" s="44"/>
      <c r="M156" s="44"/>
      <c r="N156" s="44"/>
    </row>
    <row r="157" ht="15.75" customHeight="1">
      <c r="A157" s="41"/>
      <c r="B157" s="42"/>
      <c r="C157" s="42"/>
      <c r="D157" s="42"/>
      <c r="E157" s="42"/>
      <c r="F157" s="42"/>
      <c r="G157" s="43" t="str">
        <f t="array" ref="G157">IF(F157="","",IFERROR(INDEX(Lists!$R:$R,MATCH(F157,Lists!$Q:$Q,0)),"Check Format"))</f>
        <v/>
      </c>
      <c r="H157" s="42"/>
      <c r="I157" s="44"/>
      <c r="J157" s="44"/>
      <c r="K157" s="44"/>
      <c r="L157" s="44"/>
      <c r="M157" s="44"/>
      <c r="N157" s="44"/>
    </row>
    <row r="158" ht="15.75" customHeight="1">
      <c r="A158" s="41"/>
      <c r="B158" s="42"/>
      <c r="C158" s="42"/>
      <c r="D158" s="42"/>
      <c r="E158" s="42"/>
      <c r="F158" s="42"/>
      <c r="G158" s="43" t="str">
        <f t="array" ref="G158">IF(F158="","",IFERROR(INDEX(Lists!$R:$R,MATCH(F158,Lists!$Q:$Q,0)),"Check Format"))</f>
        <v/>
      </c>
      <c r="H158" s="42"/>
      <c r="I158" s="44"/>
      <c r="J158" s="44"/>
      <c r="K158" s="44"/>
      <c r="L158" s="44"/>
      <c r="M158" s="44"/>
      <c r="N158" s="44"/>
    </row>
    <row r="159" ht="15.75" customHeight="1">
      <c r="A159" s="41"/>
      <c r="B159" s="42"/>
      <c r="C159" s="42"/>
      <c r="D159" s="42"/>
      <c r="E159" s="42"/>
      <c r="F159" s="42"/>
      <c r="G159" s="43" t="str">
        <f t="array" ref="G159">IF(F159="","",IFERROR(INDEX(Lists!$R:$R,MATCH(F159,Lists!$Q:$Q,0)),"Check Format"))</f>
        <v/>
      </c>
      <c r="H159" s="42"/>
      <c r="I159" s="44"/>
      <c r="J159" s="44"/>
      <c r="K159" s="44"/>
      <c r="L159" s="44"/>
      <c r="M159" s="44"/>
      <c r="N159" s="44"/>
    </row>
    <row r="160" ht="15.75" customHeight="1">
      <c r="A160" s="41"/>
      <c r="B160" s="42"/>
      <c r="C160" s="42"/>
      <c r="D160" s="42"/>
      <c r="E160" s="42"/>
      <c r="F160" s="42"/>
      <c r="G160" s="43" t="str">
        <f t="array" ref="G160">IF(F160="","",IFERROR(INDEX(Lists!$R:$R,MATCH(F160,Lists!$Q:$Q,0)),"Check Format"))</f>
        <v/>
      </c>
      <c r="H160" s="42"/>
      <c r="I160" s="44"/>
      <c r="J160" s="44"/>
      <c r="K160" s="44"/>
      <c r="L160" s="44"/>
      <c r="M160" s="44"/>
      <c r="N160" s="44"/>
    </row>
    <row r="161" ht="15.75" customHeight="1">
      <c r="A161" s="41"/>
      <c r="B161" s="42"/>
      <c r="C161" s="42"/>
      <c r="D161" s="42"/>
      <c r="E161" s="42"/>
      <c r="F161" s="42"/>
      <c r="G161" s="43" t="str">
        <f t="array" ref="G161">IF(F161="","",IFERROR(INDEX(Lists!$R:$R,MATCH(F161,Lists!$Q:$Q,0)),"Check Format"))</f>
        <v/>
      </c>
      <c r="H161" s="42"/>
      <c r="I161" s="44"/>
      <c r="J161" s="44"/>
      <c r="K161" s="44"/>
      <c r="L161" s="44"/>
      <c r="M161" s="44"/>
      <c r="N161" s="44"/>
    </row>
    <row r="162" ht="15.75" customHeight="1">
      <c r="A162" s="41"/>
      <c r="B162" s="42"/>
      <c r="C162" s="42"/>
      <c r="D162" s="42"/>
      <c r="E162" s="42"/>
      <c r="F162" s="42"/>
      <c r="G162" s="43" t="str">
        <f t="array" ref="G162">IF(F162="","",IFERROR(INDEX(Lists!$R:$R,MATCH(F162,Lists!$Q:$Q,0)),"Check Format"))</f>
        <v/>
      </c>
      <c r="H162" s="42"/>
      <c r="I162" s="44"/>
      <c r="J162" s="44"/>
      <c r="K162" s="44"/>
      <c r="L162" s="44"/>
      <c r="M162" s="44"/>
      <c r="N162" s="44"/>
    </row>
    <row r="163" ht="15.75" customHeight="1">
      <c r="A163" s="41"/>
      <c r="B163" s="42"/>
      <c r="C163" s="42"/>
      <c r="D163" s="42"/>
      <c r="E163" s="42"/>
      <c r="F163" s="42"/>
      <c r="G163" s="43" t="str">
        <f t="array" ref="G163">IF(F163="","",IFERROR(INDEX(Lists!$R:$R,MATCH(F163,Lists!$Q:$Q,0)),"Check Format"))</f>
        <v/>
      </c>
      <c r="H163" s="42"/>
      <c r="I163" s="44"/>
      <c r="J163" s="44"/>
      <c r="K163" s="44"/>
      <c r="L163" s="44"/>
      <c r="M163" s="44"/>
      <c r="N163" s="44"/>
    </row>
    <row r="164" ht="15.75" customHeight="1">
      <c r="A164" s="41"/>
      <c r="B164" s="42"/>
      <c r="C164" s="42"/>
      <c r="D164" s="42"/>
      <c r="E164" s="42"/>
      <c r="F164" s="42"/>
      <c r="G164" s="43" t="str">
        <f t="array" ref="G164">IF(F164="","",IFERROR(INDEX(Lists!$R:$R,MATCH(F164,Lists!$Q:$Q,0)),"Check Format"))</f>
        <v/>
      </c>
      <c r="H164" s="42"/>
      <c r="I164" s="44"/>
      <c r="J164" s="44"/>
      <c r="K164" s="44"/>
      <c r="L164" s="44"/>
      <c r="M164" s="44"/>
      <c r="N164" s="44"/>
    </row>
    <row r="165" ht="15.75" customHeight="1">
      <c r="A165" s="41"/>
      <c r="B165" s="42"/>
      <c r="C165" s="42"/>
      <c r="D165" s="42"/>
      <c r="E165" s="42"/>
      <c r="F165" s="42"/>
      <c r="G165" s="43" t="str">
        <f t="array" ref="G165">IF(F165="","",IFERROR(INDEX(Lists!$R:$R,MATCH(F165,Lists!$Q:$Q,0)),"Check Format"))</f>
        <v/>
      </c>
      <c r="H165" s="42"/>
      <c r="I165" s="44"/>
      <c r="J165" s="44"/>
      <c r="K165" s="44"/>
      <c r="L165" s="44"/>
      <c r="M165" s="44"/>
      <c r="N165" s="44"/>
    </row>
    <row r="166" ht="15.75" customHeight="1">
      <c r="A166" s="41"/>
      <c r="B166" s="42"/>
      <c r="C166" s="42"/>
      <c r="D166" s="42"/>
      <c r="E166" s="42"/>
      <c r="F166" s="42"/>
      <c r="G166" s="43" t="str">
        <f t="array" ref="G166">IF(F166="","",IFERROR(INDEX(Lists!$R:$R,MATCH(F166,Lists!$Q:$Q,0)),"Check Format"))</f>
        <v/>
      </c>
      <c r="H166" s="42"/>
      <c r="I166" s="44"/>
      <c r="J166" s="44"/>
      <c r="K166" s="44"/>
      <c r="L166" s="44"/>
      <c r="M166" s="44"/>
      <c r="N166" s="44"/>
    </row>
    <row r="167" ht="15.75" customHeight="1">
      <c r="A167" s="41"/>
      <c r="B167" s="42"/>
      <c r="C167" s="42"/>
      <c r="D167" s="42"/>
      <c r="E167" s="42"/>
      <c r="F167" s="42"/>
      <c r="G167" s="43" t="str">
        <f t="array" ref="G167">IF(F167="","",IFERROR(INDEX(Lists!$R:$R,MATCH(F167,Lists!$Q:$Q,0)),"Check Format"))</f>
        <v/>
      </c>
      <c r="H167" s="42"/>
      <c r="I167" s="44"/>
      <c r="J167" s="44"/>
      <c r="K167" s="44"/>
      <c r="L167" s="44"/>
      <c r="M167" s="44"/>
      <c r="N167" s="44"/>
    </row>
    <row r="168" ht="15.75" customHeight="1">
      <c r="A168" s="41"/>
      <c r="B168" s="42"/>
      <c r="C168" s="42"/>
      <c r="D168" s="42"/>
      <c r="E168" s="42"/>
      <c r="F168" s="42"/>
      <c r="G168" s="43" t="str">
        <f t="array" ref="G168">IF(F168="","",IFERROR(INDEX(Lists!$R:$R,MATCH(F168,Lists!$Q:$Q,0)),"Check Format"))</f>
        <v/>
      </c>
      <c r="H168" s="42"/>
      <c r="I168" s="44"/>
      <c r="J168" s="44"/>
      <c r="K168" s="44"/>
      <c r="L168" s="44"/>
      <c r="M168" s="44"/>
      <c r="N168" s="44"/>
    </row>
    <row r="169" ht="15.75" customHeight="1">
      <c r="A169" s="41"/>
      <c r="B169" s="42"/>
      <c r="C169" s="42"/>
      <c r="D169" s="42"/>
      <c r="E169" s="42"/>
      <c r="F169" s="42"/>
      <c r="G169" s="43" t="str">
        <f t="array" ref="G169">IF(F169="","",IFERROR(INDEX(Lists!$R:$R,MATCH(F169,Lists!$Q:$Q,0)),"Check Format"))</f>
        <v/>
      </c>
      <c r="H169" s="42"/>
      <c r="I169" s="44"/>
      <c r="J169" s="44"/>
      <c r="K169" s="44"/>
      <c r="L169" s="44"/>
      <c r="M169" s="44"/>
      <c r="N169" s="44"/>
    </row>
    <row r="170" ht="15.75" customHeight="1">
      <c r="A170" s="41"/>
      <c r="B170" s="42"/>
      <c r="C170" s="42"/>
      <c r="D170" s="42"/>
      <c r="E170" s="42"/>
      <c r="F170" s="42"/>
      <c r="G170" s="43" t="str">
        <f t="array" ref="G170">IF(F170="","",IFERROR(INDEX(Lists!$R:$R,MATCH(F170,Lists!$Q:$Q,0)),"Check Format"))</f>
        <v/>
      </c>
      <c r="H170" s="42"/>
      <c r="I170" s="44"/>
      <c r="J170" s="44"/>
      <c r="K170" s="44"/>
      <c r="L170" s="44"/>
      <c r="M170" s="44"/>
      <c r="N170" s="44"/>
    </row>
    <row r="171" ht="15.75" customHeight="1">
      <c r="A171" s="41"/>
      <c r="B171" s="42"/>
      <c r="C171" s="42"/>
      <c r="D171" s="42"/>
      <c r="E171" s="42"/>
      <c r="F171" s="42"/>
      <c r="G171" s="43" t="str">
        <f t="array" ref="G171">IF(F171="","",IFERROR(INDEX(Lists!$R:$R,MATCH(F171,Lists!$Q:$Q,0)),"Check Format"))</f>
        <v/>
      </c>
      <c r="H171" s="42"/>
      <c r="I171" s="44"/>
      <c r="J171" s="44"/>
      <c r="K171" s="44"/>
      <c r="L171" s="44"/>
      <c r="M171" s="44"/>
      <c r="N171" s="44"/>
    </row>
    <row r="172" ht="15.75" customHeight="1">
      <c r="A172" s="41"/>
      <c r="B172" s="42"/>
      <c r="C172" s="42"/>
      <c r="D172" s="42"/>
      <c r="E172" s="42"/>
      <c r="F172" s="42"/>
      <c r="G172" s="43" t="str">
        <f t="array" ref="G172">IF(F172="","",IFERROR(INDEX(Lists!$R:$R,MATCH(F172,Lists!$Q:$Q,0)),"Check Format"))</f>
        <v/>
      </c>
      <c r="H172" s="42"/>
      <c r="I172" s="44"/>
      <c r="J172" s="44"/>
      <c r="K172" s="44"/>
      <c r="L172" s="44"/>
      <c r="M172" s="44"/>
      <c r="N172" s="44"/>
    </row>
    <row r="173" ht="15.75" customHeight="1">
      <c r="A173" s="41"/>
      <c r="B173" s="42"/>
      <c r="C173" s="42"/>
      <c r="D173" s="42"/>
      <c r="E173" s="42"/>
      <c r="F173" s="42"/>
      <c r="G173" s="43" t="str">
        <f t="array" ref="G173">IF(F173="","",IFERROR(INDEX(Lists!$R:$R,MATCH(F173,Lists!$Q:$Q,0)),"Check Format"))</f>
        <v/>
      </c>
      <c r="H173" s="42"/>
      <c r="I173" s="44"/>
      <c r="J173" s="44"/>
      <c r="K173" s="44"/>
      <c r="L173" s="44"/>
      <c r="M173" s="44"/>
      <c r="N173" s="44"/>
    </row>
    <row r="174" ht="15.75" customHeight="1">
      <c r="A174" s="41"/>
      <c r="B174" s="42"/>
      <c r="C174" s="42"/>
      <c r="D174" s="42"/>
      <c r="E174" s="42"/>
      <c r="F174" s="42"/>
      <c r="G174" s="43" t="str">
        <f t="array" ref="G174">IF(F174="","",IFERROR(INDEX(Lists!$R:$R,MATCH(F174,Lists!$Q:$Q,0)),"Check Format"))</f>
        <v/>
      </c>
      <c r="H174" s="42"/>
      <c r="I174" s="44"/>
      <c r="J174" s="44"/>
      <c r="K174" s="44"/>
      <c r="L174" s="44"/>
      <c r="M174" s="44"/>
      <c r="N174" s="44"/>
    </row>
    <row r="175" ht="15.75" customHeight="1">
      <c r="A175" s="41"/>
      <c r="B175" s="42"/>
      <c r="C175" s="42"/>
      <c r="D175" s="42"/>
      <c r="E175" s="42"/>
      <c r="F175" s="42"/>
      <c r="G175" s="43" t="str">
        <f t="array" ref="G175">IF(F175="","",IFERROR(INDEX(Lists!$R:$R,MATCH(F175,Lists!$Q:$Q,0)),"Check Format"))</f>
        <v/>
      </c>
      <c r="H175" s="42"/>
      <c r="I175" s="44"/>
      <c r="J175" s="44"/>
      <c r="K175" s="44"/>
      <c r="L175" s="44"/>
      <c r="M175" s="44"/>
      <c r="N175" s="44"/>
    </row>
    <row r="176" ht="15.75" customHeight="1">
      <c r="A176" s="41"/>
      <c r="B176" s="42"/>
      <c r="C176" s="42"/>
      <c r="D176" s="42"/>
      <c r="E176" s="42"/>
      <c r="F176" s="42"/>
      <c r="G176" s="43" t="str">
        <f t="array" ref="G176">IF(F176="","",IFERROR(INDEX(Lists!$R:$R,MATCH(F176,Lists!$Q:$Q,0)),"Check Format"))</f>
        <v/>
      </c>
      <c r="H176" s="42"/>
      <c r="I176" s="44"/>
      <c r="J176" s="44"/>
      <c r="K176" s="44"/>
      <c r="L176" s="44"/>
      <c r="M176" s="44"/>
      <c r="N176" s="44"/>
    </row>
    <row r="177" ht="15.75" customHeight="1">
      <c r="A177" s="41"/>
      <c r="B177" s="42"/>
      <c r="C177" s="42"/>
      <c r="D177" s="42"/>
      <c r="E177" s="42"/>
      <c r="F177" s="42"/>
      <c r="G177" s="43" t="str">
        <f t="array" ref="G177">IF(F177="","",IFERROR(INDEX(Lists!$R:$R,MATCH(F177,Lists!$Q:$Q,0)),"Check Format"))</f>
        <v/>
      </c>
      <c r="H177" s="42"/>
      <c r="I177" s="44"/>
      <c r="J177" s="44"/>
      <c r="K177" s="44"/>
      <c r="L177" s="44"/>
      <c r="M177" s="44"/>
      <c r="N177" s="44"/>
    </row>
    <row r="178" ht="15.75" customHeight="1">
      <c r="A178" s="41"/>
      <c r="B178" s="42"/>
      <c r="C178" s="42"/>
      <c r="D178" s="42"/>
      <c r="E178" s="42"/>
      <c r="F178" s="42"/>
      <c r="G178" s="43" t="str">
        <f t="array" ref="G178">IF(F178="","",IFERROR(INDEX(Lists!$R:$R,MATCH(F178,Lists!$Q:$Q,0)),"Check Format"))</f>
        <v/>
      </c>
      <c r="H178" s="42"/>
      <c r="I178" s="44"/>
      <c r="J178" s="44"/>
      <c r="K178" s="44"/>
      <c r="L178" s="44"/>
      <c r="M178" s="44"/>
      <c r="N178" s="44"/>
    </row>
    <row r="179" ht="15.75" customHeight="1">
      <c r="A179" s="41"/>
      <c r="B179" s="42"/>
      <c r="C179" s="42"/>
      <c r="D179" s="42"/>
      <c r="E179" s="42"/>
      <c r="F179" s="42"/>
      <c r="G179" s="43" t="str">
        <f t="array" ref="G179">IF(F179="","",IFERROR(INDEX(Lists!$R:$R,MATCH(F179,Lists!$Q:$Q,0)),"Check Format"))</f>
        <v/>
      </c>
      <c r="H179" s="42"/>
      <c r="I179" s="44"/>
      <c r="J179" s="44"/>
      <c r="K179" s="44"/>
      <c r="L179" s="44"/>
      <c r="M179" s="44"/>
      <c r="N179" s="44"/>
    </row>
    <row r="180" ht="15.75" customHeight="1">
      <c r="A180" s="41"/>
      <c r="B180" s="42"/>
      <c r="C180" s="42"/>
      <c r="D180" s="42"/>
      <c r="E180" s="42"/>
      <c r="F180" s="42"/>
      <c r="G180" s="43" t="str">
        <f t="array" ref="G180">IF(F180="","",IFERROR(INDEX(Lists!$R:$R,MATCH(F180,Lists!$Q:$Q,0)),"Check Format"))</f>
        <v/>
      </c>
      <c r="H180" s="42"/>
      <c r="I180" s="44"/>
      <c r="J180" s="44"/>
      <c r="K180" s="44"/>
      <c r="L180" s="44"/>
      <c r="M180" s="44"/>
      <c r="N180" s="44"/>
    </row>
    <row r="181" ht="15.75" customHeight="1">
      <c r="A181" s="41"/>
      <c r="B181" s="42"/>
      <c r="C181" s="42"/>
      <c r="D181" s="42"/>
      <c r="E181" s="42"/>
      <c r="F181" s="42"/>
      <c r="G181" s="43" t="str">
        <f t="array" ref="G181">IF(F181="","",IFERROR(INDEX(Lists!$R:$R,MATCH(F181,Lists!$Q:$Q,0)),"Check Format"))</f>
        <v/>
      </c>
      <c r="H181" s="42"/>
      <c r="I181" s="44"/>
      <c r="J181" s="44"/>
      <c r="K181" s="44"/>
      <c r="L181" s="44"/>
      <c r="M181" s="44"/>
      <c r="N181" s="44"/>
    </row>
    <row r="182" ht="15.75" customHeight="1">
      <c r="A182" s="41"/>
      <c r="B182" s="42"/>
      <c r="C182" s="42"/>
      <c r="D182" s="42"/>
      <c r="E182" s="42"/>
      <c r="F182" s="42"/>
      <c r="G182" s="43" t="str">
        <f t="array" ref="G182">IF(F182="","",IFERROR(INDEX(Lists!$R:$R,MATCH(F182,Lists!$Q:$Q,0)),"Check Format"))</f>
        <v/>
      </c>
      <c r="H182" s="42"/>
      <c r="I182" s="44"/>
      <c r="J182" s="44"/>
      <c r="K182" s="44"/>
      <c r="L182" s="44"/>
      <c r="M182" s="44"/>
      <c r="N182" s="44"/>
    </row>
    <row r="183" ht="15.75" customHeight="1">
      <c r="A183" s="41"/>
      <c r="B183" s="42"/>
      <c r="C183" s="42"/>
      <c r="D183" s="42"/>
      <c r="E183" s="42"/>
      <c r="F183" s="42"/>
      <c r="G183" s="43" t="str">
        <f t="array" ref="G183">IF(F183="","",IFERROR(INDEX(Lists!$R:$R,MATCH(F183,Lists!$Q:$Q,0)),"Check Format"))</f>
        <v/>
      </c>
      <c r="H183" s="42"/>
      <c r="I183" s="44"/>
      <c r="J183" s="44"/>
      <c r="K183" s="44"/>
      <c r="L183" s="44"/>
      <c r="M183" s="44"/>
      <c r="N183" s="44"/>
    </row>
    <row r="184" ht="15.75" customHeight="1">
      <c r="A184" s="41"/>
      <c r="B184" s="42"/>
      <c r="C184" s="42"/>
      <c r="D184" s="42"/>
      <c r="E184" s="42"/>
      <c r="F184" s="42"/>
      <c r="G184" s="43" t="str">
        <f t="array" ref="G184">IF(F184="","",IFERROR(INDEX(Lists!$R:$R,MATCH(F184,Lists!$Q:$Q,0)),"Check Format"))</f>
        <v/>
      </c>
      <c r="H184" s="42"/>
      <c r="I184" s="44"/>
      <c r="J184" s="44"/>
      <c r="K184" s="44"/>
      <c r="L184" s="44"/>
      <c r="M184" s="44"/>
      <c r="N184" s="44"/>
    </row>
    <row r="185" ht="15.75" customHeight="1">
      <c r="A185" s="41"/>
      <c r="B185" s="42"/>
      <c r="C185" s="42"/>
      <c r="D185" s="42"/>
      <c r="E185" s="42"/>
      <c r="F185" s="42"/>
      <c r="G185" s="43" t="str">
        <f t="array" ref="G185">IF(F185="","",IFERROR(INDEX(Lists!$R:$R,MATCH(F185,Lists!$Q:$Q,0)),"Check Format"))</f>
        <v/>
      </c>
      <c r="H185" s="42"/>
      <c r="I185" s="44"/>
      <c r="J185" s="44"/>
      <c r="K185" s="44"/>
      <c r="L185" s="44"/>
      <c r="M185" s="44"/>
      <c r="N185" s="44"/>
    </row>
    <row r="186" ht="15.75" customHeight="1">
      <c r="A186" s="41"/>
      <c r="B186" s="42"/>
      <c r="C186" s="42"/>
      <c r="D186" s="42"/>
      <c r="E186" s="42"/>
      <c r="F186" s="42"/>
      <c r="G186" s="43" t="str">
        <f t="array" ref="G186">IF(F186="","",IFERROR(INDEX(Lists!$R:$R,MATCH(F186,Lists!$Q:$Q,0)),"Check Format"))</f>
        <v/>
      </c>
      <c r="H186" s="42"/>
      <c r="I186" s="44"/>
      <c r="J186" s="44"/>
      <c r="K186" s="44"/>
      <c r="L186" s="44"/>
      <c r="M186" s="44"/>
      <c r="N186" s="44"/>
    </row>
    <row r="187" ht="15.75" customHeight="1">
      <c r="A187" s="41"/>
      <c r="B187" s="42"/>
      <c r="C187" s="42"/>
      <c r="D187" s="42"/>
      <c r="E187" s="42"/>
      <c r="F187" s="42"/>
      <c r="G187" s="43" t="str">
        <f t="array" ref="G187">IF(F187="","",IFERROR(INDEX(Lists!$R:$R,MATCH(F187,Lists!$Q:$Q,0)),"Check Format"))</f>
        <v/>
      </c>
      <c r="H187" s="42"/>
      <c r="I187" s="44"/>
      <c r="J187" s="44"/>
      <c r="K187" s="44"/>
      <c r="L187" s="44"/>
      <c r="M187" s="44"/>
      <c r="N187" s="44"/>
    </row>
    <row r="188" ht="15.75" customHeight="1">
      <c r="A188" s="41"/>
      <c r="B188" s="42"/>
      <c r="C188" s="42"/>
      <c r="D188" s="42"/>
      <c r="E188" s="42"/>
      <c r="F188" s="42"/>
      <c r="G188" s="43" t="str">
        <f t="array" ref="G188">IF(F188="","",IFERROR(INDEX(Lists!$R:$R,MATCH(F188,Lists!$Q:$Q,0)),"Check Format"))</f>
        <v/>
      </c>
      <c r="H188" s="42"/>
      <c r="I188" s="44"/>
      <c r="J188" s="44"/>
      <c r="K188" s="44"/>
      <c r="L188" s="44"/>
      <c r="M188" s="44"/>
      <c r="N188" s="44"/>
    </row>
    <row r="189" ht="15.75" customHeight="1">
      <c r="A189" s="41"/>
      <c r="B189" s="42"/>
      <c r="C189" s="42"/>
      <c r="D189" s="42"/>
      <c r="E189" s="42"/>
      <c r="F189" s="42"/>
      <c r="G189" s="43" t="str">
        <f t="array" ref="G189">IF(F189="","",IFERROR(INDEX(Lists!$R:$R,MATCH(F189,Lists!$Q:$Q,0)),"Check Format"))</f>
        <v/>
      </c>
      <c r="H189" s="42"/>
      <c r="I189" s="44"/>
      <c r="J189" s="44"/>
      <c r="K189" s="44"/>
      <c r="L189" s="44"/>
      <c r="M189" s="44"/>
      <c r="N189" s="44"/>
    </row>
    <row r="190" ht="15.75" customHeight="1">
      <c r="A190" s="41"/>
      <c r="B190" s="42"/>
      <c r="C190" s="42"/>
      <c r="D190" s="42"/>
      <c r="E190" s="42"/>
      <c r="F190" s="42"/>
      <c r="G190" s="43" t="str">
        <f t="array" ref="G190">IF(F190="","",IFERROR(INDEX(Lists!$R:$R,MATCH(F190,Lists!$Q:$Q,0)),"Check Format"))</f>
        <v/>
      </c>
      <c r="H190" s="42"/>
      <c r="I190" s="44"/>
      <c r="J190" s="44"/>
      <c r="K190" s="44"/>
      <c r="L190" s="44"/>
      <c r="M190" s="44"/>
      <c r="N190" s="44"/>
    </row>
    <row r="191" ht="15.75" customHeight="1">
      <c r="A191" s="41"/>
      <c r="B191" s="42"/>
      <c r="C191" s="42"/>
      <c r="D191" s="42"/>
      <c r="E191" s="42"/>
      <c r="F191" s="42"/>
      <c r="G191" s="43" t="str">
        <f t="array" ref="G191">IF(F191="","",IFERROR(INDEX(Lists!$R:$R,MATCH(F191,Lists!$Q:$Q,0)),"Check Format"))</f>
        <v/>
      </c>
      <c r="H191" s="42"/>
      <c r="I191" s="44"/>
      <c r="J191" s="44"/>
      <c r="K191" s="44"/>
      <c r="L191" s="44"/>
      <c r="M191" s="44"/>
      <c r="N191" s="44"/>
    </row>
    <row r="192" ht="15.75" customHeight="1">
      <c r="A192" s="41"/>
      <c r="B192" s="42"/>
      <c r="C192" s="42"/>
      <c r="D192" s="42"/>
      <c r="E192" s="42"/>
      <c r="F192" s="42"/>
      <c r="G192" s="43" t="str">
        <f t="array" ref="G192">IF(F192="","",IFERROR(INDEX(Lists!$R:$R,MATCH(F192,Lists!$Q:$Q,0)),"Check Format"))</f>
        <v/>
      </c>
      <c r="H192" s="42"/>
      <c r="I192" s="44"/>
      <c r="J192" s="44"/>
      <c r="K192" s="44"/>
      <c r="L192" s="44"/>
      <c r="M192" s="44"/>
      <c r="N192" s="44"/>
    </row>
    <row r="193" ht="15.75" customHeight="1">
      <c r="A193" s="41"/>
      <c r="B193" s="42"/>
      <c r="C193" s="42"/>
      <c r="D193" s="42"/>
      <c r="E193" s="42"/>
      <c r="F193" s="42"/>
      <c r="G193" s="43" t="str">
        <f t="array" ref="G193">IF(F193="","",IFERROR(INDEX(Lists!$R:$R,MATCH(F193,Lists!$Q:$Q,0)),"Check Format"))</f>
        <v/>
      </c>
      <c r="H193" s="42"/>
      <c r="I193" s="44"/>
      <c r="J193" s="44"/>
      <c r="K193" s="44"/>
      <c r="L193" s="44"/>
      <c r="M193" s="44"/>
      <c r="N193" s="44"/>
    </row>
    <row r="194" ht="15.75" customHeight="1">
      <c r="A194" s="41"/>
      <c r="B194" s="42"/>
      <c r="C194" s="42"/>
      <c r="D194" s="42"/>
      <c r="E194" s="42"/>
      <c r="F194" s="42"/>
      <c r="G194" s="43" t="str">
        <f t="array" ref="G194">IF(F194="","",IFERROR(INDEX(Lists!$R:$R,MATCH(F194,Lists!$Q:$Q,0)),"Check Format"))</f>
        <v/>
      </c>
      <c r="H194" s="42"/>
      <c r="I194" s="44"/>
      <c r="J194" s="44"/>
      <c r="K194" s="44"/>
      <c r="L194" s="44"/>
      <c r="M194" s="44"/>
      <c r="N194" s="44"/>
    </row>
    <row r="195" ht="15.75" customHeight="1">
      <c r="A195" s="41"/>
      <c r="B195" s="42"/>
      <c r="C195" s="42"/>
      <c r="D195" s="42"/>
      <c r="E195" s="42"/>
      <c r="F195" s="42"/>
      <c r="G195" s="43" t="str">
        <f t="array" ref="G195">IF(F195="","",IFERROR(INDEX(Lists!$R:$R,MATCH(F195,Lists!$Q:$Q,0)),"Check Format"))</f>
        <v/>
      </c>
      <c r="H195" s="42"/>
      <c r="I195" s="44"/>
      <c r="J195" s="44"/>
      <c r="K195" s="44"/>
      <c r="L195" s="44"/>
      <c r="M195" s="44"/>
      <c r="N195" s="44"/>
    </row>
    <row r="196" ht="15.75" customHeight="1">
      <c r="A196" s="41"/>
      <c r="B196" s="42"/>
      <c r="C196" s="42"/>
      <c r="D196" s="42"/>
      <c r="E196" s="42"/>
      <c r="F196" s="42"/>
      <c r="G196" s="43" t="str">
        <f t="array" ref="G196">IF(F196="","",IFERROR(INDEX(Lists!$R:$R,MATCH(F196,Lists!$Q:$Q,0)),"Check Format"))</f>
        <v/>
      </c>
      <c r="H196" s="42"/>
      <c r="I196" s="44"/>
      <c r="J196" s="44"/>
      <c r="K196" s="44"/>
      <c r="L196" s="44"/>
      <c r="M196" s="44"/>
      <c r="N196" s="44"/>
    </row>
    <row r="197" ht="15.75" customHeight="1">
      <c r="A197" s="41"/>
      <c r="B197" s="42"/>
      <c r="C197" s="42"/>
      <c r="D197" s="42"/>
      <c r="E197" s="42"/>
      <c r="F197" s="42"/>
      <c r="G197" s="43" t="str">
        <f t="array" ref="G197">IF(F197="","",IFERROR(INDEX(Lists!$R:$R,MATCH(F197,Lists!$Q:$Q,0)),"Check Format"))</f>
        <v/>
      </c>
      <c r="H197" s="42"/>
      <c r="I197" s="44"/>
      <c r="J197" s="44"/>
      <c r="K197" s="44"/>
      <c r="L197" s="44"/>
      <c r="M197" s="44"/>
      <c r="N197" s="44"/>
    </row>
    <row r="198" ht="15.75" customHeight="1">
      <c r="A198" s="41"/>
      <c r="B198" s="42"/>
      <c r="C198" s="42"/>
      <c r="D198" s="42"/>
      <c r="E198" s="42"/>
      <c r="F198" s="42"/>
      <c r="G198" s="43" t="str">
        <f t="array" ref="G198">IF(F198="","",IFERROR(INDEX(Lists!$R:$R,MATCH(F198,Lists!$Q:$Q,0)),"Check Format"))</f>
        <v/>
      </c>
      <c r="H198" s="42"/>
      <c r="I198" s="44"/>
      <c r="J198" s="44"/>
      <c r="K198" s="44"/>
      <c r="L198" s="44"/>
      <c r="M198" s="44"/>
      <c r="N198" s="44"/>
    </row>
    <row r="199" ht="15.75" customHeight="1">
      <c r="A199" s="41"/>
      <c r="B199" s="42"/>
      <c r="C199" s="42"/>
      <c r="D199" s="42"/>
      <c r="E199" s="42"/>
      <c r="F199" s="42"/>
      <c r="G199" s="43" t="str">
        <f t="array" ref="G199">IF(F199="","",IFERROR(INDEX(Lists!$R:$R,MATCH(F199,Lists!$Q:$Q,0)),"Check Format"))</f>
        <v/>
      </c>
      <c r="H199" s="42"/>
      <c r="I199" s="44"/>
      <c r="J199" s="44"/>
      <c r="K199" s="44"/>
      <c r="L199" s="44"/>
      <c r="M199" s="44"/>
      <c r="N199" s="44"/>
    </row>
    <row r="200" ht="15.75" customHeight="1">
      <c r="A200" s="41"/>
      <c r="B200" s="42"/>
      <c r="C200" s="42"/>
      <c r="D200" s="42"/>
      <c r="E200" s="42"/>
      <c r="F200" s="42"/>
      <c r="G200" s="43" t="str">
        <f t="array" ref="G200">IF(F200="","",IFERROR(INDEX(Lists!$R:$R,MATCH(F200,Lists!$Q:$Q,0)),"Check Format"))</f>
        <v/>
      </c>
      <c r="H200" s="42"/>
      <c r="I200" s="44"/>
      <c r="J200" s="44"/>
      <c r="K200" s="44"/>
      <c r="L200" s="44"/>
      <c r="M200" s="44"/>
      <c r="N200" s="44"/>
    </row>
    <row r="201" ht="15.75" customHeight="1">
      <c r="A201" s="41"/>
      <c r="B201" s="42"/>
      <c r="C201" s="42"/>
      <c r="D201" s="42"/>
      <c r="E201" s="42"/>
      <c r="F201" s="42"/>
      <c r="G201" s="43" t="str">
        <f t="array" ref="G201">IF(F201="","",IFERROR(INDEX(Lists!$R:$R,MATCH(F201,Lists!$Q:$Q,0)),"Check Format"))</f>
        <v/>
      </c>
      <c r="H201" s="42"/>
      <c r="I201" s="44"/>
      <c r="J201" s="44"/>
      <c r="K201" s="44"/>
      <c r="L201" s="44"/>
      <c r="M201" s="44"/>
      <c r="N201" s="44"/>
    </row>
    <row r="202" ht="15.75" customHeight="1">
      <c r="A202" s="41"/>
      <c r="B202" s="42"/>
      <c r="C202" s="42"/>
      <c r="D202" s="42"/>
      <c r="E202" s="42"/>
      <c r="F202" s="42"/>
      <c r="G202" s="43" t="str">
        <f t="array" ref="G202">IF(F202="","",IFERROR(INDEX(Lists!$R:$R,MATCH(F202,Lists!$Q:$Q,0)),"Check Format"))</f>
        <v/>
      </c>
      <c r="H202" s="42"/>
      <c r="I202" s="44"/>
      <c r="J202" s="44"/>
      <c r="K202" s="44"/>
      <c r="L202" s="44"/>
      <c r="M202" s="44"/>
      <c r="N202" s="44"/>
    </row>
    <row r="203" ht="15.75" customHeight="1">
      <c r="A203" s="41"/>
      <c r="B203" s="42"/>
      <c r="C203" s="42"/>
      <c r="D203" s="42"/>
      <c r="E203" s="42"/>
      <c r="F203" s="42"/>
      <c r="G203" s="43" t="str">
        <f t="array" ref="G203">IF(F203="","",IFERROR(INDEX(Lists!$R:$R,MATCH(F203,Lists!$Q:$Q,0)),"Check Format"))</f>
        <v/>
      </c>
      <c r="H203" s="42"/>
      <c r="I203" s="44"/>
      <c r="J203" s="44"/>
      <c r="K203" s="44"/>
      <c r="L203" s="44"/>
      <c r="M203" s="44"/>
      <c r="N203" s="44"/>
    </row>
    <row r="204" ht="15.75" customHeight="1">
      <c r="A204" s="41"/>
      <c r="B204" s="42"/>
      <c r="C204" s="42"/>
      <c r="D204" s="42"/>
      <c r="E204" s="42"/>
      <c r="F204" s="42"/>
      <c r="G204" s="43" t="str">
        <f t="array" ref="G204">IF(F204="","",IFERROR(INDEX(Lists!$R:$R,MATCH(F204,Lists!$Q:$Q,0)),"Check Format"))</f>
        <v/>
      </c>
      <c r="H204" s="42"/>
      <c r="I204" s="44"/>
      <c r="J204" s="44"/>
      <c r="K204" s="44"/>
      <c r="L204" s="44"/>
      <c r="M204" s="44"/>
      <c r="N204" s="44"/>
    </row>
    <row r="205" ht="15.75" customHeight="1">
      <c r="A205" s="41"/>
      <c r="B205" s="42"/>
      <c r="C205" s="42"/>
      <c r="D205" s="42"/>
      <c r="E205" s="42"/>
      <c r="F205" s="42"/>
      <c r="G205" s="43" t="str">
        <f t="array" ref="G205">IF(F205="","",IFERROR(INDEX(Lists!$R:$R,MATCH(F205,Lists!$Q:$Q,0)),"Check Format"))</f>
        <v/>
      </c>
      <c r="H205" s="42"/>
      <c r="I205" s="44"/>
      <c r="J205" s="44"/>
      <c r="K205" s="44"/>
      <c r="L205" s="44"/>
      <c r="M205" s="44"/>
      <c r="N205" s="44"/>
    </row>
    <row r="206" ht="15.75" customHeight="1">
      <c r="A206" s="41"/>
      <c r="B206" s="42"/>
      <c r="C206" s="42"/>
      <c r="D206" s="42"/>
      <c r="E206" s="42"/>
      <c r="F206" s="42"/>
      <c r="G206" s="43" t="str">
        <f t="array" ref="G206">IF(F206="","",IFERROR(INDEX(Lists!$R:$R,MATCH(F206,Lists!$Q:$Q,0)),"Check Format"))</f>
        <v/>
      </c>
      <c r="H206" s="42"/>
      <c r="I206" s="44"/>
      <c r="J206" s="44"/>
      <c r="K206" s="44"/>
      <c r="L206" s="44"/>
      <c r="M206" s="44"/>
      <c r="N206" s="44"/>
    </row>
    <row r="207" ht="15.75" customHeight="1">
      <c r="A207" s="41"/>
      <c r="B207" s="42"/>
      <c r="C207" s="42"/>
      <c r="D207" s="42"/>
      <c r="E207" s="42"/>
      <c r="F207" s="42"/>
      <c r="G207" s="43" t="str">
        <f t="array" ref="G207">IF(F207="","",IFERROR(INDEX(Lists!$R:$R,MATCH(F207,Lists!$Q:$Q,0)),"Check Format"))</f>
        <v/>
      </c>
      <c r="H207" s="42"/>
      <c r="I207" s="44"/>
      <c r="J207" s="44"/>
      <c r="K207" s="44"/>
      <c r="L207" s="44"/>
      <c r="M207" s="44"/>
      <c r="N207" s="44"/>
    </row>
    <row r="208" ht="15.75" customHeight="1">
      <c r="A208" s="41"/>
      <c r="B208" s="42"/>
      <c r="C208" s="42"/>
      <c r="D208" s="42"/>
      <c r="E208" s="42"/>
      <c r="F208" s="42"/>
      <c r="G208" s="43" t="str">
        <f t="array" ref="G208">IF(F208="","",IFERROR(INDEX(Lists!$R:$R,MATCH(F208,Lists!$Q:$Q,0)),"Check Format"))</f>
        <v/>
      </c>
      <c r="H208" s="42"/>
      <c r="I208" s="44"/>
      <c r="J208" s="44"/>
      <c r="K208" s="44"/>
      <c r="L208" s="44"/>
      <c r="M208" s="44"/>
      <c r="N208" s="44"/>
    </row>
    <row r="209" ht="15.75" customHeight="1">
      <c r="A209" s="41"/>
      <c r="B209" s="42"/>
      <c r="C209" s="42"/>
      <c r="D209" s="42"/>
      <c r="E209" s="42"/>
      <c r="F209" s="42"/>
      <c r="G209" s="43" t="str">
        <f t="array" ref="G209">IF(F209="","",IFERROR(INDEX(Lists!$R:$R,MATCH(F209,Lists!$Q:$Q,0)),"Check Format"))</f>
        <v/>
      </c>
      <c r="H209" s="42"/>
      <c r="I209" s="44"/>
      <c r="J209" s="44"/>
      <c r="K209" s="44"/>
      <c r="L209" s="44"/>
      <c r="M209" s="44"/>
      <c r="N209" s="44"/>
    </row>
    <row r="210" ht="15.75" customHeight="1">
      <c r="A210" s="41"/>
      <c r="B210" s="42"/>
      <c r="C210" s="42"/>
      <c r="D210" s="42"/>
      <c r="E210" s="42"/>
      <c r="F210" s="42"/>
      <c r="G210" s="43" t="str">
        <f t="array" ref="G210">IF(F210="","",IFERROR(INDEX(Lists!$R:$R,MATCH(F210,Lists!$Q:$Q,0)),"Check Format"))</f>
        <v/>
      </c>
      <c r="H210" s="42"/>
      <c r="I210" s="44"/>
      <c r="J210" s="44"/>
      <c r="K210" s="44"/>
      <c r="L210" s="44"/>
      <c r="M210" s="44"/>
      <c r="N210" s="44"/>
    </row>
    <row r="211" ht="15.75" customHeight="1">
      <c r="A211" s="41"/>
      <c r="B211" s="42"/>
      <c r="C211" s="42"/>
      <c r="D211" s="42"/>
      <c r="E211" s="42"/>
      <c r="F211" s="42"/>
      <c r="G211" s="43" t="str">
        <f t="array" ref="G211">IF(F211="","",IFERROR(INDEX(Lists!$R:$R,MATCH(F211,Lists!$Q:$Q,0)),"Check Format"))</f>
        <v/>
      </c>
      <c r="H211" s="42"/>
      <c r="I211" s="44"/>
      <c r="J211" s="44"/>
      <c r="K211" s="44"/>
      <c r="L211" s="44"/>
      <c r="M211" s="44"/>
      <c r="N211" s="44"/>
    </row>
    <row r="212" ht="15.75" customHeight="1">
      <c r="A212" s="41"/>
      <c r="B212" s="42"/>
      <c r="C212" s="42"/>
      <c r="D212" s="42"/>
      <c r="E212" s="42"/>
      <c r="F212" s="42"/>
      <c r="G212" s="43" t="str">
        <f t="array" ref="G212">IF(F212="","",IFERROR(INDEX(Lists!$R:$R,MATCH(F212,Lists!$Q:$Q,0)),"Check Format"))</f>
        <v/>
      </c>
      <c r="H212" s="42"/>
      <c r="I212" s="44"/>
      <c r="J212" s="44"/>
      <c r="K212" s="44"/>
      <c r="L212" s="44"/>
      <c r="M212" s="44"/>
      <c r="N212" s="44"/>
    </row>
    <row r="213" ht="15.75" customHeight="1">
      <c r="A213" s="41"/>
      <c r="B213" s="42"/>
      <c r="C213" s="42"/>
      <c r="D213" s="42"/>
      <c r="E213" s="42"/>
      <c r="F213" s="42"/>
      <c r="G213" s="43" t="str">
        <f t="array" ref="G213">IF(F213="","",IFERROR(INDEX(Lists!$R:$R,MATCH(F213,Lists!$Q:$Q,0)),"Check Format"))</f>
        <v/>
      </c>
      <c r="H213" s="42"/>
      <c r="I213" s="44"/>
      <c r="J213" s="44"/>
      <c r="K213" s="44"/>
      <c r="L213" s="44"/>
      <c r="M213" s="44"/>
      <c r="N213" s="44"/>
    </row>
    <row r="214" ht="15.75" customHeight="1">
      <c r="A214" s="41"/>
      <c r="B214" s="42"/>
      <c r="C214" s="42"/>
      <c r="D214" s="42"/>
      <c r="E214" s="42"/>
      <c r="F214" s="42"/>
      <c r="G214" s="43" t="str">
        <f t="array" ref="G214">IF(F214="","",IFERROR(INDEX(Lists!$R:$R,MATCH(F214,Lists!$Q:$Q,0)),"Check Format"))</f>
        <v/>
      </c>
      <c r="H214" s="42"/>
      <c r="I214" s="44"/>
      <c r="J214" s="44"/>
      <c r="K214" s="44"/>
      <c r="L214" s="44"/>
      <c r="M214" s="44"/>
      <c r="N214" s="44"/>
    </row>
    <row r="215" ht="15.75" customHeight="1">
      <c r="A215" s="41"/>
      <c r="B215" s="42"/>
      <c r="C215" s="42"/>
      <c r="D215" s="42"/>
      <c r="E215" s="42"/>
      <c r="F215" s="42"/>
      <c r="G215" s="43" t="str">
        <f t="array" ref="G215">IF(F215="","",IFERROR(INDEX(Lists!$R:$R,MATCH(F215,Lists!$Q:$Q,0)),"Check Format"))</f>
        <v/>
      </c>
      <c r="H215" s="42"/>
      <c r="I215" s="44"/>
      <c r="J215" s="44"/>
      <c r="K215" s="44"/>
      <c r="L215" s="44"/>
      <c r="M215" s="44"/>
      <c r="N215" s="44"/>
    </row>
    <row r="216" ht="15.75" customHeight="1">
      <c r="A216" s="41"/>
      <c r="B216" s="42"/>
      <c r="C216" s="42"/>
      <c r="D216" s="42"/>
      <c r="E216" s="42"/>
      <c r="F216" s="42"/>
      <c r="G216" s="43" t="str">
        <f t="array" ref="G216">IF(F216="","",IFERROR(INDEX(Lists!$R:$R,MATCH(F216,Lists!$Q:$Q,0)),"Check Format"))</f>
        <v/>
      </c>
      <c r="H216" s="42"/>
      <c r="I216" s="44"/>
      <c r="J216" s="44"/>
      <c r="K216" s="44"/>
      <c r="L216" s="44"/>
      <c r="M216" s="44"/>
      <c r="N216" s="44"/>
    </row>
    <row r="217" ht="15.75" customHeight="1">
      <c r="A217" s="41"/>
      <c r="B217" s="42"/>
      <c r="C217" s="42"/>
      <c r="D217" s="42"/>
      <c r="E217" s="42"/>
      <c r="F217" s="42"/>
      <c r="G217" s="43" t="str">
        <f t="array" ref="G217">IF(F217="","",IFERROR(INDEX(Lists!$R:$R,MATCH(F217,Lists!$Q:$Q,0)),"Check Format"))</f>
        <v/>
      </c>
      <c r="H217" s="42"/>
      <c r="I217" s="44"/>
      <c r="J217" s="44"/>
      <c r="K217" s="44"/>
      <c r="L217" s="44"/>
      <c r="M217" s="44"/>
      <c r="N217" s="44"/>
    </row>
    <row r="218" ht="15.75" customHeight="1">
      <c r="A218" s="41"/>
      <c r="B218" s="42"/>
      <c r="C218" s="42"/>
      <c r="D218" s="42"/>
      <c r="E218" s="42"/>
      <c r="F218" s="42"/>
      <c r="G218" s="43" t="str">
        <f t="array" ref="G218">IF(F218="","",IFERROR(INDEX(Lists!$R:$R,MATCH(F218,Lists!$Q:$Q,0)),"Check Format"))</f>
        <v/>
      </c>
      <c r="H218" s="42"/>
      <c r="I218" s="44"/>
      <c r="J218" s="44"/>
      <c r="K218" s="44"/>
      <c r="L218" s="44"/>
      <c r="M218" s="44"/>
      <c r="N218" s="44"/>
    </row>
    <row r="219" ht="15.75" customHeight="1">
      <c r="A219" s="41"/>
      <c r="B219" s="42"/>
      <c r="C219" s="42"/>
      <c r="D219" s="42"/>
      <c r="E219" s="42"/>
      <c r="F219" s="42"/>
      <c r="G219" s="43" t="str">
        <f t="array" ref="G219">IF(F219="","",IFERROR(INDEX(Lists!$R:$R,MATCH(F219,Lists!$Q:$Q,0)),"Check Format"))</f>
        <v/>
      </c>
      <c r="H219" s="42"/>
      <c r="I219" s="44"/>
      <c r="J219" s="44"/>
      <c r="K219" s="44"/>
      <c r="L219" s="44"/>
      <c r="M219" s="44"/>
      <c r="N219" s="44"/>
    </row>
    <row r="220" ht="15.75" customHeight="1">
      <c r="A220" s="41"/>
      <c r="B220" s="42"/>
      <c r="C220" s="42"/>
      <c r="D220" s="42"/>
      <c r="E220" s="42"/>
      <c r="F220" s="42"/>
      <c r="G220" s="43" t="str">
        <f t="array" ref="G220">IF(F220="","",IFERROR(INDEX(Lists!$R:$R,MATCH(F220,Lists!$Q:$Q,0)),"Check Format"))</f>
        <v/>
      </c>
      <c r="H220" s="42"/>
      <c r="I220" s="44"/>
      <c r="J220" s="44"/>
      <c r="K220" s="44"/>
      <c r="L220" s="44"/>
      <c r="M220" s="44"/>
      <c r="N220" s="44"/>
    </row>
    <row r="221" ht="15.75" customHeight="1">
      <c r="A221" s="41"/>
      <c r="B221" s="42"/>
      <c r="C221" s="42"/>
      <c r="D221" s="42"/>
      <c r="E221" s="42"/>
      <c r="F221" s="42"/>
      <c r="G221" s="43" t="str">
        <f t="array" ref="G221">IF(F221="","",IFERROR(INDEX(Lists!$R:$R,MATCH(F221,Lists!$Q:$Q,0)),"Check Format"))</f>
        <v/>
      </c>
      <c r="H221" s="42"/>
      <c r="I221" s="44"/>
      <c r="J221" s="44"/>
      <c r="K221" s="44"/>
      <c r="L221" s="44"/>
      <c r="M221" s="44"/>
      <c r="N221" s="44"/>
    </row>
    <row r="222" ht="15.75" customHeight="1">
      <c r="A222" s="41"/>
      <c r="B222" s="42"/>
      <c r="C222" s="42"/>
      <c r="D222" s="42"/>
      <c r="E222" s="42"/>
      <c r="F222" s="42"/>
      <c r="G222" s="43" t="str">
        <f t="array" ref="G222">IF(F222="","",IFERROR(INDEX(Lists!$R:$R,MATCH(F222,Lists!$Q:$Q,0)),"Check Format"))</f>
        <v/>
      </c>
      <c r="H222" s="42"/>
      <c r="I222" s="44"/>
      <c r="J222" s="44"/>
      <c r="K222" s="44"/>
      <c r="L222" s="44"/>
      <c r="M222" s="44"/>
      <c r="N222" s="44"/>
    </row>
    <row r="223" ht="15.75" customHeight="1">
      <c r="A223" s="41"/>
      <c r="B223" s="42"/>
      <c r="C223" s="42"/>
      <c r="D223" s="42"/>
      <c r="E223" s="42"/>
      <c r="F223" s="42"/>
      <c r="G223" s="43" t="str">
        <f t="array" ref="G223">IF(F223="","",IFERROR(INDEX(Lists!$R:$R,MATCH(F223,Lists!$Q:$Q,0)),"Check Format"))</f>
        <v/>
      </c>
      <c r="H223" s="42"/>
      <c r="I223" s="44"/>
      <c r="J223" s="44"/>
      <c r="K223" s="44"/>
      <c r="L223" s="44"/>
      <c r="M223" s="44"/>
      <c r="N223" s="44"/>
    </row>
    <row r="224" ht="15.75" customHeight="1">
      <c r="A224" s="41"/>
      <c r="B224" s="42"/>
      <c r="C224" s="42"/>
      <c r="D224" s="42"/>
      <c r="E224" s="42"/>
      <c r="F224" s="42"/>
      <c r="G224" s="43" t="str">
        <f t="array" ref="G224">IF(F224="","",IFERROR(INDEX(Lists!$R:$R,MATCH(F224,Lists!$Q:$Q,0)),"Check Format"))</f>
        <v/>
      </c>
      <c r="H224" s="42"/>
      <c r="I224" s="44"/>
      <c r="J224" s="44"/>
      <c r="K224" s="44"/>
      <c r="L224" s="44"/>
      <c r="M224" s="44"/>
      <c r="N224" s="44"/>
    </row>
    <row r="225" ht="15.75" customHeight="1">
      <c r="A225" s="41"/>
      <c r="B225" s="42"/>
      <c r="C225" s="42"/>
      <c r="D225" s="42"/>
      <c r="E225" s="42"/>
      <c r="F225" s="42"/>
      <c r="G225" s="43" t="str">
        <f t="array" ref="G225">IF(F225="","",IFERROR(INDEX(Lists!$R:$R,MATCH(F225,Lists!$Q:$Q,0)),"Check Format"))</f>
        <v/>
      </c>
      <c r="H225" s="42"/>
      <c r="I225" s="44"/>
      <c r="J225" s="44"/>
      <c r="K225" s="44"/>
      <c r="L225" s="44"/>
      <c r="M225" s="44"/>
      <c r="N225" s="44"/>
    </row>
    <row r="226" ht="15.75" customHeight="1">
      <c r="A226" s="41"/>
      <c r="B226" s="42"/>
      <c r="C226" s="42"/>
      <c r="D226" s="42"/>
      <c r="E226" s="42"/>
      <c r="F226" s="42"/>
      <c r="G226" s="43" t="str">
        <f t="array" ref="G226">IF(F226="","",IFERROR(INDEX(Lists!$R:$R,MATCH(F226,Lists!$Q:$Q,0)),"Check Format"))</f>
        <v/>
      </c>
      <c r="H226" s="42"/>
      <c r="I226" s="44"/>
      <c r="J226" s="44"/>
      <c r="K226" s="44"/>
      <c r="L226" s="44"/>
      <c r="M226" s="44"/>
      <c r="N226" s="44"/>
    </row>
    <row r="227" ht="15.75" customHeight="1">
      <c r="A227" s="41"/>
      <c r="B227" s="42"/>
      <c r="C227" s="42"/>
      <c r="D227" s="42"/>
      <c r="E227" s="42"/>
      <c r="F227" s="42"/>
      <c r="G227" s="43" t="str">
        <f t="array" ref="G227">IF(F227="","",IFERROR(INDEX(Lists!$R:$R,MATCH(F227,Lists!$Q:$Q,0)),"Check Format"))</f>
        <v/>
      </c>
      <c r="H227" s="42"/>
      <c r="I227" s="44"/>
      <c r="J227" s="44"/>
      <c r="K227" s="44"/>
      <c r="L227" s="44"/>
      <c r="M227" s="44"/>
      <c r="N227" s="44"/>
    </row>
    <row r="228" ht="15.75" customHeight="1">
      <c r="A228" s="41"/>
      <c r="B228" s="42"/>
      <c r="C228" s="42"/>
      <c r="D228" s="42"/>
      <c r="E228" s="42"/>
      <c r="F228" s="42"/>
      <c r="G228" s="43" t="str">
        <f t="array" ref="G228">IF(F228="","",IFERROR(INDEX(Lists!$R:$R,MATCH(F228,Lists!$Q:$Q,0)),"Check Format"))</f>
        <v/>
      </c>
      <c r="H228" s="42"/>
      <c r="I228" s="44"/>
      <c r="J228" s="44"/>
      <c r="K228" s="44"/>
      <c r="L228" s="44"/>
      <c r="M228" s="44"/>
      <c r="N228" s="44"/>
    </row>
    <row r="229" ht="15.75" customHeight="1">
      <c r="A229" s="41"/>
      <c r="B229" s="42"/>
      <c r="C229" s="42"/>
      <c r="D229" s="42"/>
      <c r="E229" s="42"/>
      <c r="F229" s="42"/>
      <c r="G229" s="43" t="str">
        <f t="array" ref="G229">IF(F229="","",IFERROR(INDEX(Lists!$R:$R,MATCH(F229,Lists!$Q:$Q,0)),"Check Format"))</f>
        <v/>
      </c>
      <c r="H229" s="42"/>
      <c r="I229" s="44"/>
      <c r="J229" s="44"/>
      <c r="K229" s="44"/>
      <c r="L229" s="44"/>
      <c r="M229" s="44"/>
      <c r="N229" s="44"/>
    </row>
    <row r="230" ht="15.75" customHeight="1">
      <c r="A230" s="41"/>
      <c r="B230" s="42"/>
      <c r="C230" s="42"/>
      <c r="D230" s="42"/>
      <c r="E230" s="42"/>
      <c r="F230" s="42"/>
      <c r="G230" s="43" t="str">
        <f t="array" ref="G230">IF(F230="","",IFERROR(INDEX(Lists!$R:$R,MATCH(F230,Lists!$Q:$Q,0)),"Check Format"))</f>
        <v/>
      </c>
      <c r="H230" s="42"/>
      <c r="I230" s="44"/>
      <c r="J230" s="44"/>
      <c r="K230" s="44"/>
      <c r="L230" s="44"/>
      <c r="M230" s="44"/>
      <c r="N230" s="44"/>
    </row>
    <row r="231" ht="15.75" customHeight="1">
      <c r="A231" s="41"/>
      <c r="B231" s="42"/>
      <c r="C231" s="42"/>
      <c r="D231" s="42"/>
      <c r="E231" s="42"/>
      <c r="F231" s="42"/>
      <c r="G231" s="43" t="str">
        <f t="array" ref="G231">IF(F231="","",IFERROR(INDEX(Lists!$R:$R,MATCH(F231,Lists!$Q:$Q,0)),"Check Format"))</f>
        <v/>
      </c>
      <c r="H231" s="42"/>
      <c r="I231" s="44"/>
      <c r="J231" s="44"/>
      <c r="K231" s="44"/>
      <c r="L231" s="44"/>
      <c r="M231" s="44"/>
      <c r="N231" s="44"/>
    </row>
    <row r="232" ht="15.75" customHeight="1">
      <c r="A232" s="41"/>
      <c r="B232" s="42"/>
      <c r="C232" s="42"/>
      <c r="D232" s="42"/>
      <c r="E232" s="42"/>
      <c r="F232" s="42"/>
      <c r="G232" s="43" t="str">
        <f t="array" ref="G232">IF(F232="","",IFERROR(INDEX(Lists!$R:$R,MATCH(F232,Lists!$Q:$Q,0)),"Check Format"))</f>
        <v/>
      </c>
      <c r="H232" s="42"/>
      <c r="I232" s="44"/>
      <c r="J232" s="44"/>
      <c r="K232" s="44"/>
      <c r="L232" s="44"/>
      <c r="M232" s="44"/>
      <c r="N232" s="44"/>
    </row>
    <row r="233" ht="15.75" customHeight="1">
      <c r="A233" s="41"/>
      <c r="B233" s="42"/>
      <c r="C233" s="42"/>
      <c r="D233" s="42"/>
      <c r="E233" s="42"/>
      <c r="F233" s="42"/>
      <c r="G233" s="43" t="str">
        <f t="array" ref="G233">IF(F233="","",IFERROR(INDEX(Lists!$R:$R,MATCH(F233,Lists!$Q:$Q,0)),"Check Format"))</f>
        <v/>
      </c>
      <c r="H233" s="42"/>
      <c r="I233" s="44"/>
      <c r="J233" s="44"/>
      <c r="K233" s="44"/>
      <c r="L233" s="44"/>
      <c r="M233" s="44"/>
      <c r="N233" s="44"/>
    </row>
    <row r="234" ht="15.75" customHeight="1">
      <c r="A234" s="41"/>
      <c r="B234" s="42"/>
      <c r="C234" s="42"/>
      <c r="D234" s="42"/>
      <c r="E234" s="42"/>
      <c r="F234" s="42"/>
      <c r="G234" s="43" t="str">
        <f t="array" ref="G234">IF(F234="","",IFERROR(INDEX(Lists!$R:$R,MATCH(F234,Lists!$Q:$Q,0)),"Check Format"))</f>
        <v/>
      </c>
      <c r="H234" s="42"/>
      <c r="I234" s="44"/>
      <c r="J234" s="44"/>
      <c r="K234" s="44"/>
      <c r="L234" s="44"/>
      <c r="M234" s="44"/>
      <c r="N234" s="44"/>
    </row>
    <row r="235" ht="15.75" customHeight="1">
      <c r="A235" s="41"/>
      <c r="B235" s="42"/>
      <c r="C235" s="42"/>
      <c r="D235" s="42"/>
      <c r="E235" s="42"/>
      <c r="F235" s="42"/>
      <c r="G235" s="43" t="str">
        <f t="array" ref="G235">IF(F235="","",IFERROR(INDEX(Lists!$R:$R,MATCH(F235,Lists!$Q:$Q,0)),"Check Format"))</f>
        <v/>
      </c>
      <c r="H235" s="42"/>
      <c r="I235" s="44"/>
      <c r="J235" s="44"/>
      <c r="K235" s="44"/>
      <c r="L235" s="44"/>
      <c r="M235" s="44"/>
      <c r="N235" s="44"/>
    </row>
    <row r="236" ht="15.75" customHeight="1">
      <c r="A236" s="41"/>
      <c r="B236" s="42"/>
      <c r="C236" s="42"/>
      <c r="D236" s="42"/>
      <c r="E236" s="42"/>
      <c r="F236" s="42"/>
      <c r="G236" s="43" t="str">
        <f t="array" ref="G236">IF(F236="","",IFERROR(INDEX(Lists!$R:$R,MATCH(F236,Lists!$Q:$Q,0)),"Check Format"))</f>
        <v/>
      </c>
      <c r="H236" s="42"/>
      <c r="I236" s="44"/>
      <c r="J236" s="44"/>
      <c r="K236" s="44"/>
      <c r="L236" s="44"/>
      <c r="M236" s="44"/>
      <c r="N236" s="44"/>
    </row>
    <row r="237" ht="15.75" customHeight="1">
      <c r="A237" s="41"/>
      <c r="B237" s="42"/>
      <c r="C237" s="42"/>
      <c r="D237" s="42"/>
      <c r="E237" s="42"/>
      <c r="F237" s="42"/>
      <c r="G237" s="43" t="str">
        <f t="array" ref="G237">IF(F237="","",IFERROR(INDEX(Lists!$R:$R,MATCH(F237,Lists!$Q:$Q,0)),"Check Format"))</f>
        <v/>
      </c>
      <c r="H237" s="42"/>
      <c r="I237" s="44"/>
      <c r="J237" s="44"/>
      <c r="K237" s="44"/>
      <c r="L237" s="44"/>
      <c r="M237" s="44"/>
      <c r="N237" s="44"/>
    </row>
    <row r="238" ht="15.75" customHeight="1">
      <c r="A238" s="41"/>
      <c r="B238" s="42"/>
      <c r="C238" s="42"/>
      <c r="D238" s="42"/>
      <c r="E238" s="42"/>
      <c r="F238" s="42"/>
      <c r="G238" s="43" t="str">
        <f t="array" ref="G238">IF(F238="","",IFERROR(INDEX(Lists!$R:$R,MATCH(F238,Lists!$Q:$Q,0)),"Check Format"))</f>
        <v/>
      </c>
      <c r="H238" s="42"/>
      <c r="I238" s="44"/>
      <c r="J238" s="44"/>
      <c r="K238" s="44"/>
      <c r="L238" s="44"/>
      <c r="M238" s="44"/>
      <c r="N238" s="44"/>
    </row>
    <row r="239" ht="15.75" customHeight="1">
      <c r="A239" s="41"/>
      <c r="B239" s="42"/>
      <c r="C239" s="42"/>
      <c r="D239" s="42"/>
      <c r="E239" s="42"/>
      <c r="F239" s="42"/>
      <c r="G239" s="43" t="str">
        <f t="array" ref="G239">IF(F239="","",IFERROR(INDEX(Lists!$R:$R,MATCH(F239,Lists!$Q:$Q,0)),"Check Format"))</f>
        <v/>
      </c>
      <c r="H239" s="42"/>
      <c r="I239" s="44"/>
      <c r="J239" s="44"/>
      <c r="K239" s="44"/>
      <c r="L239" s="44"/>
      <c r="M239" s="44"/>
      <c r="N239" s="44"/>
    </row>
    <row r="240" ht="15.75" customHeight="1">
      <c r="A240" s="41"/>
      <c r="B240" s="42"/>
      <c r="C240" s="42"/>
      <c r="D240" s="42"/>
      <c r="E240" s="42"/>
      <c r="F240" s="42"/>
      <c r="G240" s="43" t="str">
        <f t="array" ref="G240">IF(F240="","",IFERROR(INDEX(Lists!$R:$R,MATCH(F240,Lists!$Q:$Q,0)),"Check Format"))</f>
        <v/>
      </c>
      <c r="H240" s="42"/>
      <c r="I240" s="44"/>
      <c r="J240" s="44"/>
      <c r="K240" s="44"/>
      <c r="L240" s="44"/>
      <c r="M240" s="44"/>
      <c r="N240" s="44"/>
    </row>
    <row r="241" ht="15.75" customHeight="1">
      <c r="A241" s="41"/>
      <c r="B241" s="42"/>
      <c r="C241" s="42"/>
      <c r="D241" s="42"/>
      <c r="E241" s="42"/>
      <c r="F241" s="42"/>
      <c r="G241" s="43" t="str">
        <f t="array" ref="G241">IF(F241="","",IFERROR(INDEX(Lists!$R:$R,MATCH(F241,Lists!$Q:$Q,0)),"Check Format"))</f>
        <v/>
      </c>
      <c r="H241" s="42"/>
      <c r="I241" s="44"/>
      <c r="J241" s="44"/>
      <c r="K241" s="44"/>
      <c r="L241" s="44"/>
      <c r="M241" s="44"/>
      <c r="N241" s="44"/>
    </row>
    <row r="242" ht="15.75" customHeight="1">
      <c r="A242" s="41"/>
      <c r="B242" s="42"/>
      <c r="C242" s="42"/>
      <c r="D242" s="42"/>
      <c r="E242" s="42"/>
      <c r="F242" s="42"/>
      <c r="G242" s="43" t="str">
        <f t="array" ref="G242">IF(F242="","",IFERROR(INDEX(Lists!$R:$R,MATCH(F242,Lists!$Q:$Q,0)),"Check Format"))</f>
        <v/>
      </c>
      <c r="H242" s="42"/>
      <c r="I242" s="44"/>
      <c r="J242" s="44"/>
      <c r="K242" s="44"/>
      <c r="L242" s="44"/>
      <c r="M242" s="44"/>
      <c r="N242" s="44"/>
    </row>
    <row r="243" ht="15.75" customHeight="1">
      <c r="A243" s="41"/>
      <c r="B243" s="42"/>
      <c r="C243" s="42"/>
      <c r="D243" s="42"/>
      <c r="E243" s="42"/>
      <c r="F243" s="42"/>
      <c r="G243" s="43" t="str">
        <f t="array" ref="G243">IF(F243="","",IFERROR(INDEX(Lists!$R:$R,MATCH(F243,Lists!$Q:$Q,0)),"Check Format"))</f>
        <v/>
      </c>
      <c r="H243" s="42"/>
      <c r="I243" s="44"/>
      <c r="J243" s="44"/>
      <c r="K243" s="44"/>
      <c r="L243" s="44"/>
      <c r="M243" s="44"/>
      <c r="N243" s="44"/>
    </row>
    <row r="244" ht="15.75" customHeight="1">
      <c r="A244" s="41"/>
      <c r="B244" s="42"/>
      <c r="C244" s="42"/>
      <c r="D244" s="42"/>
      <c r="E244" s="42"/>
      <c r="F244" s="42"/>
      <c r="G244" s="43" t="str">
        <f t="array" ref="G244">IF(F244="","",IFERROR(INDEX(Lists!$R:$R,MATCH(F244,Lists!$Q:$Q,0)),"Check Format"))</f>
        <v/>
      </c>
      <c r="H244" s="42"/>
      <c r="I244" s="44"/>
      <c r="J244" s="44"/>
      <c r="K244" s="44"/>
      <c r="L244" s="44"/>
      <c r="M244" s="44"/>
      <c r="N244" s="44"/>
    </row>
    <row r="245" ht="15.75" customHeight="1">
      <c r="A245" s="41"/>
      <c r="B245" s="42"/>
      <c r="C245" s="42"/>
      <c r="D245" s="42"/>
      <c r="E245" s="42"/>
      <c r="F245" s="42"/>
      <c r="G245" s="43" t="str">
        <f t="array" ref="G245">IF(F245="","",IFERROR(INDEX(Lists!$R:$R,MATCH(F245,Lists!$Q:$Q,0)),"Check Format"))</f>
        <v/>
      </c>
      <c r="H245" s="42"/>
      <c r="I245" s="44"/>
      <c r="J245" s="44"/>
      <c r="K245" s="44"/>
      <c r="L245" s="44"/>
      <c r="M245" s="44"/>
      <c r="N245" s="44"/>
    </row>
    <row r="246" ht="15.75" customHeight="1">
      <c r="A246" s="41"/>
      <c r="B246" s="42"/>
      <c r="C246" s="42"/>
      <c r="D246" s="42"/>
      <c r="E246" s="42"/>
      <c r="F246" s="42"/>
      <c r="G246" s="43" t="str">
        <f t="array" ref="G246">IF(F246="","",IFERROR(INDEX(Lists!$R:$R,MATCH(F246,Lists!$Q:$Q,0)),"Check Format"))</f>
        <v/>
      </c>
      <c r="H246" s="42"/>
      <c r="I246" s="44"/>
      <c r="J246" s="44"/>
      <c r="K246" s="44"/>
      <c r="L246" s="44"/>
      <c r="M246" s="44"/>
      <c r="N246" s="44"/>
    </row>
    <row r="247" ht="15.75" customHeight="1">
      <c r="A247" s="41"/>
      <c r="B247" s="42"/>
      <c r="C247" s="42"/>
      <c r="D247" s="42"/>
      <c r="E247" s="42"/>
      <c r="F247" s="42"/>
      <c r="G247" s="43" t="str">
        <f t="array" ref="G247">IF(F247="","",IFERROR(INDEX(Lists!$R:$R,MATCH(F247,Lists!$Q:$Q,0)),"Check Format"))</f>
        <v/>
      </c>
      <c r="H247" s="42"/>
      <c r="I247" s="44"/>
      <c r="J247" s="44"/>
      <c r="K247" s="44"/>
      <c r="L247" s="44"/>
      <c r="M247" s="44"/>
      <c r="N247" s="44"/>
    </row>
    <row r="248" ht="15.75" customHeight="1">
      <c r="A248" s="41"/>
      <c r="B248" s="42"/>
      <c r="C248" s="42"/>
      <c r="D248" s="42"/>
      <c r="E248" s="42"/>
      <c r="F248" s="42"/>
      <c r="G248" s="43" t="str">
        <f t="array" ref="G248">IF(F248="","",IFERROR(INDEX(Lists!$R:$R,MATCH(F248,Lists!$Q:$Q,0)),"Check Format"))</f>
        <v/>
      </c>
      <c r="H248" s="42"/>
      <c r="I248" s="44"/>
      <c r="J248" s="44"/>
      <c r="K248" s="44"/>
      <c r="L248" s="44"/>
      <c r="M248" s="44"/>
      <c r="N248" s="44"/>
    </row>
    <row r="249" ht="15.75" customHeight="1">
      <c r="A249" s="41"/>
      <c r="B249" s="42"/>
      <c r="C249" s="42"/>
      <c r="D249" s="42"/>
      <c r="E249" s="42"/>
      <c r="F249" s="42"/>
      <c r="G249" s="43" t="str">
        <f t="array" ref="G249">IF(F249="","",IFERROR(INDEX(Lists!$R:$R,MATCH(F249,Lists!$Q:$Q,0)),"Check Format"))</f>
        <v/>
      </c>
      <c r="H249" s="42"/>
      <c r="I249" s="44"/>
      <c r="J249" s="44"/>
      <c r="K249" s="44"/>
      <c r="L249" s="44"/>
      <c r="M249" s="44"/>
      <c r="N249" s="44"/>
    </row>
    <row r="250" ht="15.75" customHeight="1">
      <c r="A250" s="41"/>
      <c r="B250" s="42"/>
      <c r="C250" s="42"/>
      <c r="D250" s="42"/>
      <c r="E250" s="42"/>
      <c r="F250" s="42"/>
      <c r="G250" s="43" t="str">
        <f t="array" ref="G250">IF(F250="","",IFERROR(INDEX(Lists!$R:$R,MATCH(F250,Lists!$Q:$Q,0)),"Check Format"))</f>
        <v/>
      </c>
      <c r="H250" s="42"/>
      <c r="I250" s="44"/>
      <c r="J250" s="44"/>
      <c r="K250" s="44"/>
      <c r="L250" s="44"/>
      <c r="M250" s="44"/>
      <c r="N250" s="44"/>
    </row>
    <row r="251" ht="15.75" customHeight="1">
      <c r="A251" s="41"/>
      <c r="B251" s="42"/>
      <c r="C251" s="42"/>
      <c r="D251" s="42"/>
      <c r="E251" s="42"/>
      <c r="F251" s="42"/>
      <c r="G251" s="43" t="str">
        <f t="array" ref="G251">IF(F251="","",IFERROR(INDEX(Lists!$R:$R,MATCH(F251,Lists!$Q:$Q,0)),"Check Format"))</f>
        <v/>
      </c>
      <c r="H251" s="42"/>
      <c r="I251" s="44"/>
      <c r="J251" s="44"/>
      <c r="K251" s="44"/>
      <c r="L251" s="44"/>
      <c r="M251" s="44"/>
      <c r="N251" s="44"/>
    </row>
    <row r="252" ht="15.75" customHeight="1">
      <c r="A252" s="41"/>
      <c r="B252" s="42"/>
      <c r="C252" s="42"/>
      <c r="D252" s="42"/>
      <c r="E252" s="42"/>
      <c r="F252" s="42"/>
      <c r="G252" s="43" t="str">
        <f t="array" ref="G252">IF(F252="","",IFERROR(INDEX(Lists!$R:$R,MATCH(F252,Lists!$Q:$Q,0)),"Check Format"))</f>
        <v/>
      </c>
      <c r="H252" s="42"/>
      <c r="I252" s="44"/>
      <c r="J252" s="44"/>
      <c r="K252" s="44"/>
      <c r="L252" s="44"/>
      <c r="M252" s="44"/>
      <c r="N252" s="44"/>
    </row>
    <row r="253" ht="15.75" customHeight="1">
      <c r="A253" s="41"/>
      <c r="B253" s="42"/>
      <c r="C253" s="42"/>
      <c r="D253" s="42"/>
      <c r="E253" s="42"/>
      <c r="F253" s="42"/>
      <c r="G253" s="43" t="str">
        <f t="array" ref="G253">IF(F253="","",IFERROR(INDEX(Lists!$R:$R,MATCH(F253,Lists!$Q:$Q,0)),"Check Format"))</f>
        <v/>
      </c>
      <c r="H253" s="42"/>
      <c r="I253" s="44"/>
      <c r="J253" s="44"/>
      <c r="K253" s="44"/>
      <c r="L253" s="44"/>
      <c r="M253" s="44"/>
      <c r="N253" s="44"/>
    </row>
    <row r="254" ht="15.75" customHeight="1">
      <c r="A254" s="41"/>
      <c r="B254" s="42"/>
      <c r="C254" s="42"/>
      <c r="D254" s="42"/>
      <c r="E254" s="42"/>
      <c r="F254" s="42"/>
      <c r="G254" s="43" t="str">
        <f t="array" ref="G254">IF(F254="","",IFERROR(INDEX(Lists!$R:$R,MATCH(F254,Lists!$Q:$Q,0)),"Check Format"))</f>
        <v/>
      </c>
      <c r="H254" s="42"/>
      <c r="I254" s="44"/>
      <c r="J254" s="44"/>
      <c r="K254" s="44"/>
      <c r="L254" s="44"/>
      <c r="M254" s="44"/>
      <c r="N254" s="44"/>
    </row>
    <row r="255" ht="15.75" customHeight="1">
      <c r="A255" s="41"/>
      <c r="B255" s="42"/>
      <c r="C255" s="42"/>
      <c r="D255" s="42"/>
      <c r="E255" s="42"/>
      <c r="F255" s="42"/>
      <c r="G255" s="43" t="str">
        <f t="array" ref="G255">IF(F255="","",IFERROR(INDEX(Lists!$R:$R,MATCH(F255,Lists!$Q:$Q,0)),"Check Format"))</f>
        <v/>
      </c>
      <c r="H255" s="42"/>
      <c r="I255" s="44"/>
      <c r="J255" s="44"/>
      <c r="K255" s="44"/>
      <c r="L255" s="44"/>
      <c r="M255" s="44"/>
      <c r="N255" s="44"/>
    </row>
    <row r="256" ht="15.75" customHeight="1">
      <c r="A256" s="41"/>
      <c r="B256" s="42"/>
      <c r="C256" s="42"/>
      <c r="D256" s="42"/>
      <c r="E256" s="42"/>
      <c r="F256" s="42"/>
      <c r="G256" s="43" t="str">
        <f t="array" ref="G256">IF(F256="","",IFERROR(INDEX(Lists!$R:$R,MATCH(F256,Lists!$Q:$Q,0)),"Check Format"))</f>
        <v/>
      </c>
      <c r="H256" s="42"/>
      <c r="I256" s="44"/>
      <c r="J256" s="44"/>
      <c r="K256" s="44"/>
      <c r="L256" s="44"/>
      <c r="M256" s="44"/>
      <c r="N256" s="44"/>
    </row>
    <row r="257" ht="15.75" customHeight="1">
      <c r="A257" s="41"/>
      <c r="B257" s="42"/>
      <c r="C257" s="42"/>
      <c r="D257" s="42"/>
      <c r="E257" s="42"/>
      <c r="F257" s="42"/>
      <c r="G257" s="43" t="str">
        <f t="array" ref="G257">IF(F257="","",IFERROR(INDEX(Lists!$R:$R,MATCH(F257,Lists!$Q:$Q,0)),"Check Format"))</f>
        <v/>
      </c>
      <c r="H257" s="42"/>
      <c r="I257" s="44"/>
      <c r="J257" s="44"/>
      <c r="K257" s="44"/>
      <c r="L257" s="44"/>
      <c r="M257" s="44"/>
      <c r="N257" s="44"/>
    </row>
    <row r="258" ht="15.75" customHeight="1">
      <c r="A258" s="41"/>
      <c r="B258" s="42"/>
      <c r="C258" s="42"/>
      <c r="D258" s="42"/>
      <c r="E258" s="42"/>
      <c r="F258" s="42"/>
      <c r="G258" s="43" t="str">
        <f t="array" ref="G258">IF(F258="","",IFERROR(INDEX(Lists!$R:$R,MATCH(F258,Lists!$Q:$Q,0)),"Check Format"))</f>
        <v/>
      </c>
      <c r="H258" s="42"/>
      <c r="I258" s="44"/>
      <c r="J258" s="44"/>
      <c r="K258" s="44"/>
      <c r="L258" s="44"/>
      <c r="M258" s="44"/>
      <c r="N258" s="44"/>
    </row>
    <row r="259" ht="15.75" customHeight="1">
      <c r="A259" s="41"/>
      <c r="B259" s="42"/>
      <c r="C259" s="42"/>
      <c r="D259" s="42"/>
      <c r="E259" s="42"/>
      <c r="F259" s="42"/>
      <c r="G259" s="43" t="str">
        <f t="array" ref="G259">IF(F259="","",IFERROR(INDEX(Lists!$R:$R,MATCH(F259,Lists!$Q:$Q,0)),"Check Format"))</f>
        <v/>
      </c>
      <c r="H259" s="42"/>
      <c r="I259" s="44"/>
      <c r="J259" s="44"/>
      <c r="K259" s="44"/>
      <c r="L259" s="44"/>
      <c r="M259" s="44"/>
      <c r="N259" s="44"/>
    </row>
    <row r="260" ht="15.75" customHeight="1">
      <c r="A260" s="41"/>
      <c r="B260" s="42"/>
      <c r="C260" s="42"/>
      <c r="D260" s="42"/>
      <c r="E260" s="42"/>
      <c r="F260" s="42"/>
      <c r="G260" s="43" t="str">
        <f t="array" ref="G260">IF(F260="","",IFERROR(INDEX(Lists!$R:$R,MATCH(F260,Lists!$Q:$Q,0)),"Check Format"))</f>
        <v/>
      </c>
      <c r="H260" s="42"/>
      <c r="I260" s="44"/>
      <c r="J260" s="44"/>
      <c r="K260" s="44"/>
      <c r="L260" s="44"/>
      <c r="M260" s="44"/>
      <c r="N260" s="44"/>
    </row>
    <row r="261" ht="15.75" customHeight="1">
      <c r="A261" s="41"/>
      <c r="B261" s="42"/>
      <c r="C261" s="42"/>
      <c r="D261" s="42"/>
      <c r="E261" s="42"/>
      <c r="F261" s="42"/>
      <c r="G261" s="43" t="str">
        <f t="array" ref="G261">IF(F261="","",IFERROR(INDEX(Lists!$R:$R,MATCH(F261,Lists!$Q:$Q,0)),"Check Format"))</f>
        <v/>
      </c>
      <c r="H261" s="42"/>
      <c r="I261" s="44"/>
      <c r="J261" s="44"/>
      <c r="K261" s="44"/>
      <c r="L261" s="44"/>
      <c r="M261" s="44"/>
      <c r="N261" s="44"/>
    </row>
    <row r="262" ht="15.75" customHeight="1">
      <c r="A262" s="41"/>
      <c r="B262" s="42"/>
      <c r="C262" s="42"/>
      <c r="D262" s="42"/>
      <c r="E262" s="42"/>
      <c r="F262" s="42"/>
      <c r="G262" s="43" t="str">
        <f t="array" ref="G262">IF(F262="","",IFERROR(INDEX(Lists!$R:$R,MATCH(F262,Lists!$Q:$Q,0)),"Check Format"))</f>
        <v/>
      </c>
      <c r="H262" s="42"/>
      <c r="I262" s="44"/>
      <c r="J262" s="44"/>
      <c r="K262" s="44"/>
      <c r="L262" s="44"/>
      <c r="M262" s="44"/>
      <c r="N262" s="44"/>
    </row>
    <row r="263" ht="15.75" customHeight="1">
      <c r="A263" s="41"/>
      <c r="B263" s="42"/>
      <c r="C263" s="42"/>
      <c r="D263" s="42"/>
      <c r="E263" s="42"/>
      <c r="F263" s="42"/>
      <c r="G263" s="43" t="str">
        <f t="array" ref="G263">IF(F263="","",IFERROR(INDEX(Lists!$R:$R,MATCH(F263,Lists!$Q:$Q,0)),"Check Format"))</f>
        <v/>
      </c>
      <c r="H263" s="42"/>
      <c r="I263" s="44"/>
      <c r="J263" s="44"/>
      <c r="K263" s="44"/>
      <c r="L263" s="44"/>
      <c r="M263" s="44"/>
      <c r="N263" s="44"/>
    </row>
    <row r="264" ht="15.75" customHeight="1">
      <c r="A264" s="41"/>
      <c r="B264" s="42"/>
      <c r="C264" s="42"/>
      <c r="D264" s="42"/>
      <c r="E264" s="42"/>
      <c r="F264" s="42"/>
      <c r="G264" s="43" t="str">
        <f t="array" ref="G264">IF(F264="","",IFERROR(INDEX(Lists!$R:$R,MATCH(F264,Lists!$Q:$Q,0)),"Check Format"))</f>
        <v/>
      </c>
      <c r="H264" s="42"/>
      <c r="I264" s="44"/>
      <c r="J264" s="44"/>
      <c r="K264" s="44"/>
      <c r="L264" s="44"/>
      <c r="M264" s="44"/>
      <c r="N264" s="44"/>
    </row>
    <row r="265" ht="15.75" customHeight="1">
      <c r="A265" s="41"/>
      <c r="B265" s="42"/>
      <c r="C265" s="42"/>
      <c r="D265" s="42"/>
      <c r="E265" s="42"/>
      <c r="F265" s="42"/>
      <c r="G265" s="43" t="str">
        <f t="array" ref="G265">IF(F265="","",IFERROR(INDEX(Lists!$R:$R,MATCH(F265,Lists!$Q:$Q,0)),"Check Format"))</f>
        <v/>
      </c>
      <c r="H265" s="42"/>
      <c r="I265" s="44"/>
      <c r="J265" s="44"/>
      <c r="K265" s="44"/>
      <c r="L265" s="44"/>
      <c r="M265" s="44"/>
      <c r="N265" s="44"/>
    </row>
    <row r="266" ht="15.75" customHeight="1">
      <c r="A266" s="41"/>
      <c r="B266" s="42"/>
      <c r="C266" s="42"/>
      <c r="D266" s="42"/>
      <c r="E266" s="42"/>
      <c r="F266" s="42"/>
      <c r="G266" s="43" t="str">
        <f t="array" ref="G266">IF(F266="","",IFERROR(INDEX(Lists!$R:$R,MATCH(F266,Lists!$Q:$Q,0)),"Check Format"))</f>
        <v/>
      </c>
      <c r="H266" s="42"/>
      <c r="I266" s="44"/>
      <c r="J266" s="44"/>
      <c r="K266" s="44"/>
      <c r="L266" s="44"/>
      <c r="M266" s="44"/>
      <c r="N266" s="44"/>
    </row>
    <row r="267" ht="15.75" customHeight="1">
      <c r="A267" s="41"/>
      <c r="B267" s="42"/>
      <c r="C267" s="42"/>
      <c r="D267" s="42"/>
      <c r="E267" s="42"/>
      <c r="F267" s="42"/>
      <c r="G267" s="43" t="str">
        <f t="array" ref="G267">IF(F267="","",IFERROR(INDEX(Lists!$R:$R,MATCH(F267,Lists!$Q:$Q,0)),"Check Format"))</f>
        <v/>
      </c>
      <c r="H267" s="42"/>
      <c r="I267" s="44"/>
      <c r="J267" s="44"/>
      <c r="K267" s="44"/>
      <c r="L267" s="44"/>
      <c r="M267" s="44"/>
      <c r="N267" s="44"/>
    </row>
    <row r="268" ht="15.75" customHeight="1">
      <c r="A268" s="41"/>
      <c r="B268" s="42"/>
      <c r="C268" s="42"/>
      <c r="D268" s="42"/>
      <c r="E268" s="42"/>
      <c r="F268" s="42"/>
      <c r="G268" s="43" t="str">
        <f t="array" ref="G268">IF(F268="","",IFERROR(INDEX(Lists!$R:$R,MATCH(F268,Lists!$Q:$Q,0)),"Check Format"))</f>
        <v/>
      </c>
      <c r="H268" s="42"/>
      <c r="I268" s="44"/>
      <c r="J268" s="44"/>
      <c r="K268" s="44"/>
      <c r="L268" s="44"/>
      <c r="M268" s="44"/>
      <c r="N268" s="44"/>
    </row>
    <row r="269" ht="15.75" customHeight="1">
      <c r="A269" s="41"/>
      <c r="B269" s="42"/>
      <c r="C269" s="42"/>
      <c r="D269" s="42"/>
      <c r="E269" s="42"/>
      <c r="F269" s="42"/>
      <c r="G269" s="43" t="str">
        <f t="array" ref="G269">IF(F269="","",IFERROR(INDEX(Lists!$R:$R,MATCH(F269,Lists!$Q:$Q,0)),"Check Format"))</f>
        <v/>
      </c>
      <c r="H269" s="42"/>
      <c r="I269" s="44"/>
      <c r="J269" s="44"/>
      <c r="K269" s="44"/>
      <c r="L269" s="44"/>
      <c r="M269" s="44"/>
      <c r="N269" s="44"/>
    </row>
    <row r="270" ht="15.75" customHeight="1">
      <c r="A270" s="41"/>
      <c r="B270" s="42"/>
      <c r="C270" s="42"/>
      <c r="D270" s="42"/>
      <c r="E270" s="42"/>
      <c r="F270" s="42"/>
      <c r="G270" s="43" t="str">
        <f t="array" ref="G270">IF(F270="","",IFERROR(INDEX(Lists!$R:$R,MATCH(F270,Lists!$Q:$Q,0)),"Check Format"))</f>
        <v/>
      </c>
      <c r="H270" s="42"/>
      <c r="I270" s="44"/>
      <c r="J270" s="44"/>
      <c r="K270" s="44"/>
      <c r="L270" s="44"/>
      <c r="M270" s="44"/>
      <c r="N270" s="44"/>
    </row>
    <row r="271" ht="15.75" customHeight="1">
      <c r="A271" s="41"/>
      <c r="B271" s="42"/>
      <c r="C271" s="42"/>
      <c r="D271" s="42"/>
      <c r="E271" s="42"/>
      <c r="F271" s="42"/>
      <c r="G271" s="43" t="str">
        <f t="array" ref="G271">IF(F271="","",IFERROR(INDEX(Lists!$R:$R,MATCH(F271,Lists!$Q:$Q,0)),"Check Format"))</f>
        <v/>
      </c>
      <c r="H271" s="42"/>
      <c r="I271" s="44"/>
      <c r="J271" s="44"/>
      <c r="K271" s="44"/>
      <c r="L271" s="44"/>
      <c r="M271" s="44"/>
      <c r="N271" s="44"/>
    </row>
    <row r="272" ht="15.75" customHeight="1">
      <c r="A272" s="41"/>
      <c r="B272" s="42"/>
      <c r="C272" s="42"/>
      <c r="D272" s="42"/>
      <c r="E272" s="42"/>
      <c r="F272" s="42"/>
      <c r="G272" s="43" t="str">
        <f t="array" ref="G272">IF(F272="","",IFERROR(INDEX(Lists!$R:$R,MATCH(F272,Lists!$Q:$Q,0)),"Check Format"))</f>
        <v/>
      </c>
      <c r="H272" s="42"/>
      <c r="I272" s="44"/>
      <c r="J272" s="44"/>
      <c r="K272" s="44"/>
      <c r="L272" s="44"/>
      <c r="M272" s="44"/>
      <c r="N272" s="44"/>
    </row>
    <row r="273" ht="15.75" customHeight="1">
      <c r="A273" s="41"/>
      <c r="B273" s="42"/>
      <c r="C273" s="42"/>
      <c r="D273" s="42"/>
      <c r="E273" s="42"/>
      <c r="F273" s="42"/>
      <c r="G273" s="43" t="str">
        <f t="array" ref="G273">IF(F273="","",IFERROR(INDEX(Lists!$R:$R,MATCH(F273,Lists!$Q:$Q,0)),"Check Format"))</f>
        <v/>
      </c>
      <c r="H273" s="42"/>
      <c r="I273" s="44"/>
      <c r="J273" s="44"/>
      <c r="K273" s="44"/>
      <c r="L273" s="44"/>
      <c r="M273" s="44"/>
      <c r="N273" s="44"/>
    </row>
    <row r="274" ht="15.75" customHeight="1">
      <c r="A274" s="41"/>
      <c r="B274" s="42"/>
      <c r="C274" s="42"/>
      <c r="D274" s="42"/>
      <c r="E274" s="42"/>
      <c r="F274" s="42"/>
      <c r="G274" s="43" t="str">
        <f t="array" ref="G274">IF(F274="","",IFERROR(INDEX(Lists!$R:$R,MATCH(F274,Lists!$Q:$Q,0)),"Check Format"))</f>
        <v/>
      </c>
      <c r="H274" s="42"/>
      <c r="I274" s="44"/>
      <c r="J274" s="44"/>
      <c r="K274" s="44"/>
      <c r="L274" s="44"/>
      <c r="M274" s="44"/>
      <c r="N274" s="44"/>
    </row>
    <row r="275" ht="15.75" customHeight="1">
      <c r="A275" s="41"/>
      <c r="B275" s="42"/>
      <c r="C275" s="42"/>
      <c r="D275" s="42"/>
      <c r="E275" s="42"/>
      <c r="F275" s="42"/>
      <c r="G275" s="43" t="str">
        <f t="array" ref="G275">IF(F275="","",IFERROR(INDEX(Lists!$R:$R,MATCH(F275,Lists!$Q:$Q,0)),"Check Format"))</f>
        <v/>
      </c>
      <c r="H275" s="42"/>
      <c r="I275" s="44"/>
      <c r="J275" s="44"/>
      <c r="K275" s="44"/>
      <c r="L275" s="44"/>
      <c r="M275" s="44"/>
      <c r="N275" s="44"/>
    </row>
    <row r="276" ht="15.75" customHeight="1">
      <c r="A276" s="41"/>
      <c r="B276" s="42"/>
      <c r="C276" s="42"/>
      <c r="D276" s="42"/>
      <c r="E276" s="42"/>
      <c r="F276" s="42"/>
      <c r="G276" s="43" t="str">
        <f t="array" ref="G276">IF(F276="","",IFERROR(INDEX(Lists!$R:$R,MATCH(F276,Lists!$Q:$Q,0)),"Check Format"))</f>
        <v/>
      </c>
      <c r="H276" s="42"/>
      <c r="I276" s="44"/>
      <c r="J276" s="44"/>
      <c r="K276" s="44"/>
      <c r="L276" s="44"/>
      <c r="M276" s="44"/>
      <c r="N276" s="44"/>
    </row>
    <row r="277" ht="15.75" customHeight="1">
      <c r="A277" s="41"/>
      <c r="B277" s="42"/>
      <c r="C277" s="42"/>
      <c r="D277" s="42"/>
      <c r="E277" s="42"/>
      <c r="F277" s="42"/>
      <c r="G277" s="43" t="str">
        <f t="array" ref="G277">IF(F277="","",IFERROR(INDEX(Lists!$R:$R,MATCH(F277,Lists!$Q:$Q,0)),"Check Format"))</f>
        <v/>
      </c>
      <c r="H277" s="42"/>
      <c r="I277" s="44"/>
      <c r="J277" s="44"/>
      <c r="K277" s="44"/>
      <c r="L277" s="44"/>
      <c r="M277" s="44"/>
      <c r="N277" s="44"/>
    </row>
    <row r="278" ht="15.75" customHeight="1">
      <c r="A278" s="41"/>
      <c r="B278" s="42"/>
      <c r="C278" s="42"/>
      <c r="D278" s="42"/>
      <c r="E278" s="42"/>
      <c r="F278" s="42"/>
      <c r="G278" s="43" t="str">
        <f t="array" ref="G278">IF(F278="","",IFERROR(INDEX(Lists!$R:$R,MATCH(F278,Lists!$Q:$Q,0)),"Check Format"))</f>
        <v/>
      </c>
      <c r="H278" s="42"/>
      <c r="I278" s="44"/>
      <c r="J278" s="44"/>
      <c r="K278" s="44"/>
      <c r="L278" s="44"/>
      <c r="M278" s="44"/>
      <c r="N278" s="44"/>
    </row>
    <row r="279" ht="15.75" customHeight="1">
      <c r="A279" s="41"/>
      <c r="B279" s="42"/>
      <c r="C279" s="42"/>
      <c r="D279" s="42"/>
      <c r="E279" s="42"/>
      <c r="F279" s="42"/>
      <c r="G279" s="43" t="str">
        <f t="array" ref="G279">IF(F279="","",IFERROR(INDEX(Lists!$R:$R,MATCH(F279,Lists!$Q:$Q,0)),"Check Format"))</f>
        <v/>
      </c>
      <c r="H279" s="42"/>
      <c r="I279" s="44"/>
      <c r="J279" s="44"/>
      <c r="K279" s="44"/>
      <c r="L279" s="44"/>
      <c r="M279" s="44"/>
      <c r="N279" s="44"/>
    </row>
    <row r="280" ht="15.75" customHeight="1">
      <c r="A280" s="41"/>
      <c r="B280" s="42"/>
      <c r="C280" s="42"/>
      <c r="D280" s="42"/>
      <c r="E280" s="42"/>
      <c r="F280" s="42"/>
      <c r="G280" s="43" t="str">
        <f t="array" ref="G280">IF(F280="","",IFERROR(INDEX(Lists!$R:$R,MATCH(F280,Lists!$Q:$Q,0)),"Check Format"))</f>
        <v/>
      </c>
      <c r="H280" s="42"/>
      <c r="I280" s="44"/>
      <c r="J280" s="44"/>
      <c r="K280" s="44"/>
      <c r="L280" s="44"/>
      <c r="M280" s="44"/>
      <c r="N280" s="44"/>
    </row>
    <row r="281" ht="15.75" customHeight="1">
      <c r="A281" s="41"/>
      <c r="B281" s="42"/>
      <c r="C281" s="42"/>
      <c r="D281" s="42"/>
      <c r="E281" s="42"/>
      <c r="F281" s="42"/>
      <c r="G281" s="43" t="str">
        <f t="array" ref="G281">IF(F281="","",IFERROR(INDEX(Lists!$R:$R,MATCH(F281,Lists!$Q:$Q,0)),"Check Format"))</f>
        <v/>
      </c>
      <c r="H281" s="42"/>
      <c r="I281" s="44"/>
      <c r="J281" s="44"/>
      <c r="K281" s="44"/>
      <c r="L281" s="44"/>
      <c r="M281" s="44"/>
      <c r="N281" s="44"/>
    </row>
    <row r="282" ht="15.75" customHeight="1">
      <c r="A282" s="41"/>
      <c r="B282" s="42"/>
      <c r="C282" s="42"/>
      <c r="D282" s="42"/>
      <c r="E282" s="42"/>
      <c r="F282" s="42"/>
      <c r="G282" s="43" t="str">
        <f t="array" ref="G282">IF(F282="","",IFERROR(INDEX(Lists!$R:$R,MATCH(F282,Lists!$Q:$Q,0)),"Check Format"))</f>
        <v/>
      </c>
      <c r="H282" s="42"/>
      <c r="I282" s="44"/>
      <c r="J282" s="44"/>
      <c r="K282" s="44"/>
      <c r="L282" s="44"/>
      <c r="M282" s="44"/>
      <c r="N282" s="44"/>
    </row>
    <row r="283" ht="15.75" customHeight="1">
      <c r="A283" s="41"/>
      <c r="B283" s="42"/>
      <c r="C283" s="42"/>
      <c r="D283" s="42"/>
      <c r="E283" s="42"/>
      <c r="F283" s="42"/>
      <c r="G283" s="43" t="str">
        <f t="array" ref="G283">IF(F283="","",IFERROR(INDEX(Lists!$R:$R,MATCH(F283,Lists!$Q:$Q,0)),"Check Format"))</f>
        <v/>
      </c>
      <c r="H283" s="42"/>
      <c r="I283" s="44"/>
      <c r="J283" s="44"/>
      <c r="K283" s="44"/>
      <c r="L283" s="44"/>
      <c r="M283" s="44"/>
      <c r="N283" s="44"/>
    </row>
    <row r="284" ht="15.75" customHeight="1">
      <c r="A284" s="41"/>
      <c r="B284" s="42"/>
      <c r="C284" s="42"/>
      <c r="D284" s="42"/>
      <c r="E284" s="42"/>
      <c r="F284" s="42"/>
      <c r="G284" s="43" t="str">
        <f t="array" ref="G284">IF(F284="","",IFERROR(INDEX(Lists!$R:$R,MATCH(F284,Lists!$Q:$Q,0)),"Check Format"))</f>
        <v/>
      </c>
      <c r="H284" s="42"/>
      <c r="I284" s="44"/>
      <c r="J284" s="44"/>
      <c r="K284" s="44"/>
      <c r="L284" s="44"/>
      <c r="M284" s="44"/>
      <c r="N284" s="44"/>
    </row>
    <row r="285" ht="15.75" customHeight="1">
      <c r="A285" s="41"/>
      <c r="B285" s="42"/>
      <c r="C285" s="42"/>
      <c r="D285" s="42"/>
      <c r="E285" s="42"/>
      <c r="F285" s="42"/>
      <c r="G285" s="43" t="str">
        <f t="array" ref="G285">IF(F285="","",IFERROR(INDEX(Lists!$R:$R,MATCH(F285,Lists!$Q:$Q,0)),"Check Format"))</f>
        <v/>
      </c>
      <c r="H285" s="42"/>
      <c r="I285" s="44"/>
      <c r="J285" s="44"/>
      <c r="K285" s="44"/>
      <c r="L285" s="44"/>
      <c r="M285" s="44"/>
      <c r="N285" s="44"/>
    </row>
    <row r="286" ht="15.75" customHeight="1">
      <c r="A286" s="41"/>
      <c r="B286" s="42"/>
      <c r="C286" s="42"/>
      <c r="D286" s="42"/>
      <c r="E286" s="42"/>
      <c r="F286" s="42"/>
      <c r="G286" s="43" t="str">
        <f t="array" ref="G286">IF(F286="","",IFERROR(INDEX(Lists!$R:$R,MATCH(F286,Lists!$Q:$Q,0)),"Check Format"))</f>
        <v/>
      </c>
      <c r="H286" s="42"/>
      <c r="I286" s="44"/>
      <c r="J286" s="44"/>
      <c r="K286" s="44"/>
      <c r="L286" s="44"/>
      <c r="M286" s="44"/>
      <c r="N286" s="44"/>
    </row>
    <row r="287" ht="15.75" customHeight="1">
      <c r="A287" s="41"/>
      <c r="B287" s="42"/>
      <c r="C287" s="42"/>
      <c r="D287" s="42"/>
      <c r="E287" s="42"/>
      <c r="F287" s="42"/>
      <c r="G287" s="43" t="str">
        <f t="array" ref="G287">IF(F287="","",IFERROR(INDEX(Lists!$R:$R,MATCH(F287,Lists!$Q:$Q,0)),"Check Format"))</f>
        <v/>
      </c>
      <c r="H287" s="42"/>
      <c r="I287" s="44"/>
      <c r="J287" s="44"/>
      <c r="K287" s="44"/>
      <c r="L287" s="44"/>
      <c r="M287" s="44"/>
      <c r="N287" s="44"/>
    </row>
    <row r="288" ht="15.75" customHeight="1">
      <c r="A288" s="41"/>
      <c r="B288" s="42"/>
      <c r="C288" s="42"/>
      <c r="D288" s="42"/>
      <c r="E288" s="42"/>
      <c r="F288" s="42"/>
      <c r="G288" s="43" t="str">
        <f t="array" ref="G288">IF(F288="","",IFERROR(INDEX(Lists!$R:$R,MATCH(F288,Lists!$Q:$Q,0)),"Check Format"))</f>
        <v/>
      </c>
      <c r="H288" s="42"/>
      <c r="I288" s="44"/>
      <c r="J288" s="44"/>
      <c r="K288" s="44"/>
      <c r="L288" s="44"/>
      <c r="M288" s="44"/>
      <c r="N288" s="44"/>
    </row>
    <row r="289" ht="15.75" customHeight="1">
      <c r="A289" s="41"/>
      <c r="B289" s="42"/>
      <c r="C289" s="42"/>
      <c r="D289" s="42"/>
      <c r="E289" s="42"/>
      <c r="F289" s="42"/>
      <c r="G289" s="43" t="str">
        <f t="array" ref="G289">IF(F289="","",IFERROR(INDEX(Lists!$R:$R,MATCH(F289,Lists!$Q:$Q,0)),"Check Format"))</f>
        <v/>
      </c>
      <c r="H289" s="42"/>
      <c r="I289" s="44"/>
      <c r="J289" s="44"/>
      <c r="K289" s="44"/>
      <c r="L289" s="44"/>
      <c r="M289" s="44"/>
      <c r="N289" s="44"/>
    </row>
    <row r="290" ht="15.75" customHeight="1">
      <c r="A290" s="41"/>
      <c r="B290" s="42"/>
      <c r="C290" s="42"/>
      <c r="D290" s="42"/>
      <c r="E290" s="42"/>
      <c r="F290" s="42"/>
      <c r="G290" s="43" t="str">
        <f t="array" ref="G290">IF(F290="","",IFERROR(INDEX(Lists!$R:$R,MATCH(F290,Lists!$Q:$Q,0)),"Check Format"))</f>
        <v/>
      </c>
      <c r="H290" s="42"/>
      <c r="I290" s="44"/>
      <c r="J290" s="44"/>
      <c r="K290" s="44"/>
      <c r="L290" s="44"/>
      <c r="M290" s="44"/>
      <c r="N290" s="44"/>
    </row>
    <row r="291" ht="15.75" customHeight="1">
      <c r="A291" s="41"/>
      <c r="B291" s="42"/>
      <c r="C291" s="42"/>
      <c r="D291" s="42"/>
      <c r="E291" s="42"/>
      <c r="F291" s="42"/>
      <c r="G291" s="43" t="str">
        <f t="array" ref="G291">IF(F291="","",IFERROR(INDEX(Lists!$R:$R,MATCH(F291,Lists!$Q:$Q,0)),"Check Format"))</f>
        <v/>
      </c>
      <c r="H291" s="42"/>
      <c r="I291" s="44"/>
      <c r="J291" s="44"/>
      <c r="K291" s="44"/>
      <c r="L291" s="44"/>
      <c r="M291" s="44"/>
      <c r="N291" s="44"/>
    </row>
    <row r="292" ht="15.75" customHeight="1">
      <c r="A292" s="41"/>
      <c r="B292" s="42"/>
      <c r="C292" s="42"/>
      <c r="D292" s="42"/>
      <c r="E292" s="42"/>
      <c r="F292" s="42"/>
      <c r="G292" s="43" t="str">
        <f t="array" ref="G292">IF(F292="","",IFERROR(INDEX(Lists!$R:$R,MATCH(F292,Lists!$Q:$Q,0)),"Check Format"))</f>
        <v/>
      </c>
      <c r="H292" s="42"/>
      <c r="I292" s="44"/>
      <c r="J292" s="44"/>
      <c r="K292" s="44"/>
      <c r="L292" s="44"/>
      <c r="M292" s="44"/>
      <c r="N292" s="44"/>
    </row>
    <row r="293" ht="15.75" customHeight="1">
      <c r="A293" s="41"/>
      <c r="B293" s="42"/>
      <c r="C293" s="42"/>
      <c r="D293" s="42"/>
      <c r="E293" s="42"/>
      <c r="F293" s="42"/>
      <c r="G293" s="43" t="str">
        <f t="array" ref="G293">IF(F293="","",IFERROR(INDEX(Lists!$R:$R,MATCH(F293,Lists!$Q:$Q,0)),"Check Format"))</f>
        <v/>
      </c>
      <c r="H293" s="42"/>
      <c r="I293" s="44"/>
      <c r="J293" s="44"/>
      <c r="K293" s="44"/>
      <c r="L293" s="44"/>
      <c r="M293" s="44"/>
      <c r="N293" s="44"/>
    </row>
    <row r="294" ht="15.75" customHeight="1">
      <c r="A294" s="41"/>
      <c r="B294" s="42"/>
      <c r="C294" s="42"/>
      <c r="D294" s="42"/>
      <c r="E294" s="42"/>
      <c r="F294" s="42"/>
      <c r="G294" s="43" t="str">
        <f t="array" ref="G294">IF(F294="","",IFERROR(INDEX(Lists!$R:$R,MATCH(F294,Lists!$Q:$Q,0)),"Check Format"))</f>
        <v/>
      </c>
      <c r="H294" s="42"/>
      <c r="I294" s="44"/>
      <c r="J294" s="44"/>
      <c r="K294" s="44"/>
      <c r="L294" s="44"/>
      <c r="M294" s="44"/>
      <c r="N294" s="44"/>
    </row>
    <row r="295" ht="15.75" customHeight="1">
      <c r="A295" s="41"/>
      <c r="B295" s="42"/>
      <c r="C295" s="42"/>
      <c r="D295" s="42"/>
      <c r="E295" s="42"/>
      <c r="F295" s="42"/>
      <c r="G295" s="43" t="str">
        <f t="array" ref="G295">IF(F295="","",IFERROR(INDEX(Lists!$R:$R,MATCH(F295,Lists!$Q:$Q,0)),"Check Format"))</f>
        <v/>
      </c>
      <c r="H295" s="42"/>
      <c r="I295" s="44"/>
      <c r="J295" s="44"/>
      <c r="K295" s="44"/>
      <c r="L295" s="44"/>
      <c r="M295" s="44"/>
      <c r="N295" s="44"/>
    </row>
    <row r="296" ht="15.75" customHeight="1">
      <c r="A296" s="41"/>
      <c r="B296" s="42"/>
      <c r="C296" s="42"/>
      <c r="D296" s="42"/>
      <c r="E296" s="42"/>
      <c r="F296" s="42"/>
      <c r="G296" s="43" t="str">
        <f t="array" ref="G296">IF(F296="","",IFERROR(INDEX(Lists!$R:$R,MATCH(F296,Lists!$Q:$Q,0)),"Check Format"))</f>
        <v/>
      </c>
      <c r="H296" s="42"/>
      <c r="I296" s="44"/>
      <c r="J296" s="44"/>
      <c r="K296" s="44"/>
      <c r="L296" s="44"/>
      <c r="M296" s="44"/>
      <c r="N296" s="44"/>
    </row>
    <row r="297" ht="15.75" customHeight="1">
      <c r="A297" s="41"/>
      <c r="B297" s="42"/>
      <c r="C297" s="42"/>
      <c r="D297" s="42"/>
      <c r="E297" s="42"/>
      <c r="F297" s="42"/>
      <c r="G297" s="43" t="str">
        <f t="array" ref="G297">IF(F297="","",IFERROR(INDEX(Lists!$R:$R,MATCH(F297,Lists!$Q:$Q,0)),"Check Format"))</f>
        <v/>
      </c>
      <c r="H297" s="42"/>
      <c r="I297" s="44"/>
      <c r="J297" s="44"/>
      <c r="K297" s="44"/>
      <c r="L297" s="44"/>
      <c r="M297" s="44"/>
      <c r="N297" s="44"/>
    </row>
    <row r="298" ht="15.75" customHeight="1">
      <c r="A298" s="41"/>
      <c r="B298" s="42"/>
      <c r="C298" s="42"/>
      <c r="D298" s="42"/>
      <c r="E298" s="42"/>
      <c r="F298" s="42"/>
      <c r="G298" s="43" t="str">
        <f t="array" ref="G298">IF(F298="","",IFERROR(INDEX(Lists!$R:$R,MATCH(F298,Lists!$Q:$Q,0)),"Check Format"))</f>
        <v/>
      </c>
      <c r="H298" s="42"/>
      <c r="I298" s="44"/>
      <c r="J298" s="44"/>
      <c r="K298" s="44"/>
      <c r="L298" s="44"/>
      <c r="M298" s="44"/>
      <c r="N298" s="44"/>
    </row>
    <row r="299" ht="15.75" customHeight="1">
      <c r="A299" s="41"/>
      <c r="B299" s="42"/>
      <c r="C299" s="42"/>
      <c r="D299" s="42"/>
      <c r="E299" s="42"/>
      <c r="F299" s="42"/>
      <c r="G299" s="43" t="str">
        <f t="array" ref="G299">IF(F299="","",IFERROR(INDEX(Lists!$R:$R,MATCH(F299,Lists!$Q:$Q,0)),"Check Format"))</f>
        <v/>
      </c>
      <c r="H299" s="42"/>
      <c r="I299" s="44"/>
      <c r="J299" s="44"/>
      <c r="K299" s="44"/>
      <c r="L299" s="44"/>
      <c r="M299" s="44"/>
      <c r="N299" s="44"/>
    </row>
    <row r="300" ht="15.75" customHeight="1">
      <c r="A300" s="41"/>
      <c r="B300" s="42"/>
      <c r="C300" s="42"/>
      <c r="D300" s="42"/>
      <c r="E300" s="42"/>
      <c r="F300" s="42"/>
      <c r="G300" s="43" t="str">
        <f t="array" ref="G300">IF(F300="","",IFERROR(INDEX(Lists!$R:$R,MATCH(F300,Lists!$Q:$Q,0)),"Check Format"))</f>
        <v/>
      </c>
      <c r="H300" s="42"/>
      <c r="I300" s="44"/>
      <c r="J300" s="44"/>
      <c r="K300" s="44"/>
      <c r="L300" s="44"/>
      <c r="M300" s="44"/>
      <c r="N300" s="44"/>
    </row>
    <row r="301" ht="15.75" customHeight="1">
      <c r="A301" s="41"/>
      <c r="B301" s="42"/>
      <c r="C301" s="42"/>
      <c r="D301" s="42"/>
      <c r="E301" s="42"/>
      <c r="F301" s="42"/>
      <c r="G301" s="43" t="str">
        <f t="array" ref="G301">IF(F301="","",IFERROR(INDEX(Lists!$R:$R,MATCH(F301,Lists!$Q:$Q,0)),"Check Format"))</f>
        <v/>
      </c>
      <c r="H301" s="42"/>
      <c r="I301" s="44"/>
      <c r="J301" s="44"/>
      <c r="K301" s="44"/>
      <c r="L301" s="44"/>
      <c r="M301" s="44"/>
      <c r="N301" s="44"/>
    </row>
    <row r="302" ht="15.75" customHeight="1">
      <c r="A302" s="41"/>
      <c r="B302" s="42"/>
      <c r="C302" s="42"/>
      <c r="D302" s="42"/>
      <c r="E302" s="42"/>
      <c r="F302" s="42"/>
      <c r="G302" s="43" t="str">
        <f t="array" ref="G302">IF(F302="","",IFERROR(INDEX(Lists!$R:$R,MATCH(F302,Lists!$Q:$Q,0)),"Check Format"))</f>
        <v/>
      </c>
      <c r="H302" s="42"/>
      <c r="I302" s="44"/>
      <c r="J302" s="44"/>
      <c r="K302" s="44"/>
      <c r="L302" s="44"/>
      <c r="M302" s="44"/>
      <c r="N302" s="44"/>
    </row>
    <row r="303" ht="15.75" customHeight="1">
      <c r="A303" s="41"/>
      <c r="B303" s="42"/>
      <c r="C303" s="42"/>
      <c r="D303" s="42"/>
      <c r="E303" s="42"/>
      <c r="F303" s="42"/>
      <c r="G303" s="43" t="str">
        <f t="array" ref="G303">IF(F303="","",IFERROR(INDEX(Lists!$R:$R,MATCH(F303,Lists!$Q:$Q,0)),"Check Format"))</f>
        <v/>
      </c>
      <c r="H303" s="42"/>
      <c r="I303" s="44"/>
      <c r="J303" s="44"/>
      <c r="K303" s="44"/>
      <c r="L303" s="44"/>
      <c r="M303" s="44"/>
      <c r="N303" s="44"/>
    </row>
    <row r="304" ht="15.75" customHeight="1">
      <c r="A304" s="41"/>
      <c r="B304" s="42"/>
      <c r="C304" s="42"/>
      <c r="D304" s="42"/>
      <c r="E304" s="42"/>
      <c r="F304" s="42"/>
      <c r="G304" s="43" t="str">
        <f t="array" ref="G304">IF(F304="","",IFERROR(INDEX(Lists!$R:$R,MATCH(F304,Lists!$Q:$Q,0)),"Check Format"))</f>
        <v/>
      </c>
      <c r="H304" s="42"/>
      <c r="I304" s="44"/>
      <c r="J304" s="44"/>
      <c r="K304" s="44"/>
      <c r="L304" s="44"/>
      <c r="M304" s="44"/>
      <c r="N304" s="44"/>
    </row>
    <row r="305" ht="15.75" customHeight="1">
      <c r="A305" s="41"/>
      <c r="B305" s="42"/>
      <c r="C305" s="42"/>
      <c r="D305" s="42"/>
      <c r="E305" s="42"/>
      <c r="F305" s="42"/>
      <c r="G305" s="43" t="str">
        <f t="array" ref="G305">IF(F305="","",IFERROR(INDEX(Lists!$R:$R,MATCH(F305,Lists!$Q:$Q,0)),"Check Format"))</f>
        <v/>
      </c>
      <c r="H305" s="42"/>
      <c r="I305" s="44"/>
      <c r="J305" s="44"/>
      <c r="K305" s="44"/>
      <c r="L305" s="44"/>
      <c r="M305" s="44"/>
      <c r="N305" s="44"/>
    </row>
    <row r="306" ht="15.75" customHeight="1">
      <c r="A306" s="41"/>
      <c r="B306" s="42"/>
      <c r="C306" s="42"/>
      <c r="D306" s="42"/>
      <c r="E306" s="42"/>
      <c r="F306" s="42"/>
      <c r="G306" s="43" t="str">
        <f t="array" ref="G306">IF(F306="","",IFERROR(INDEX(Lists!$R:$R,MATCH(F306,Lists!$Q:$Q,0)),"Check Format"))</f>
        <v/>
      </c>
      <c r="H306" s="42"/>
      <c r="I306" s="44"/>
      <c r="J306" s="44"/>
      <c r="K306" s="44"/>
      <c r="L306" s="44"/>
      <c r="M306" s="44"/>
      <c r="N306" s="44"/>
    </row>
    <row r="307" ht="15.75" customHeight="1">
      <c r="A307" s="41"/>
      <c r="B307" s="42"/>
      <c r="C307" s="42"/>
      <c r="D307" s="42"/>
      <c r="E307" s="42"/>
      <c r="F307" s="42"/>
      <c r="G307" s="43" t="str">
        <f t="array" ref="G307">IF(F307="","",IFERROR(INDEX(Lists!$R:$R,MATCH(F307,Lists!$Q:$Q,0)),"Check Format"))</f>
        <v/>
      </c>
      <c r="H307" s="42"/>
      <c r="I307" s="44"/>
      <c r="J307" s="44"/>
      <c r="K307" s="44"/>
      <c r="L307" s="44"/>
      <c r="M307" s="44"/>
      <c r="N307" s="44"/>
    </row>
    <row r="308" ht="15.75" customHeight="1">
      <c r="A308" s="41"/>
      <c r="B308" s="42"/>
      <c r="C308" s="42"/>
      <c r="D308" s="42"/>
      <c r="E308" s="42"/>
      <c r="F308" s="42"/>
      <c r="G308" s="43" t="str">
        <f t="array" ref="G308">IF(F308="","",IFERROR(INDEX(Lists!$R:$R,MATCH(F308,Lists!$Q:$Q,0)),"Check Format"))</f>
        <v/>
      </c>
      <c r="H308" s="42"/>
      <c r="I308" s="44"/>
      <c r="J308" s="44"/>
      <c r="K308" s="44"/>
      <c r="L308" s="44"/>
      <c r="M308" s="44"/>
      <c r="N308" s="44"/>
    </row>
    <row r="309" ht="15.75" customHeight="1">
      <c r="A309" s="41"/>
      <c r="B309" s="42"/>
      <c r="C309" s="42"/>
      <c r="D309" s="42"/>
      <c r="E309" s="42"/>
      <c r="F309" s="42"/>
      <c r="G309" s="43" t="str">
        <f t="array" ref="G309">IF(F309="","",IFERROR(INDEX(Lists!$R:$R,MATCH(F309,Lists!$Q:$Q,0)),"Check Format"))</f>
        <v/>
      </c>
      <c r="H309" s="42"/>
      <c r="I309" s="44"/>
      <c r="J309" s="44"/>
      <c r="K309" s="44"/>
      <c r="L309" s="44"/>
      <c r="M309" s="44"/>
      <c r="N309" s="44"/>
    </row>
    <row r="310" ht="15.75" customHeight="1">
      <c r="A310" s="41"/>
      <c r="B310" s="42"/>
      <c r="C310" s="42"/>
      <c r="D310" s="42"/>
      <c r="E310" s="42"/>
      <c r="F310" s="42"/>
      <c r="G310" s="43" t="str">
        <f t="array" ref="G310">IF(F310="","",IFERROR(INDEX(Lists!$R:$R,MATCH(F310,Lists!$Q:$Q,0)),"Check Format"))</f>
        <v/>
      </c>
      <c r="H310" s="42"/>
      <c r="I310" s="44"/>
      <c r="J310" s="44"/>
      <c r="K310" s="44"/>
      <c r="L310" s="44"/>
      <c r="M310" s="44"/>
      <c r="N310" s="44"/>
    </row>
    <row r="311" ht="15.75" customHeight="1">
      <c r="A311" s="41"/>
      <c r="B311" s="42"/>
      <c r="C311" s="42"/>
      <c r="D311" s="42"/>
      <c r="E311" s="42"/>
      <c r="F311" s="42"/>
      <c r="G311" s="43" t="str">
        <f t="array" ref="G311">IF(F311="","",IFERROR(INDEX(Lists!$R:$R,MATCH(F311,Lists!$Q:$Q,0)),"Check Format"))</f>
        <v/>
      </c>
      <c r="H311" s="42"/>
      <c r="I311" s="44"/>
      <c r="J311" s="44"/>
      <c r="K311" s="44"/>
      <c r="L311" s="44"/>
      <c r="M311" s="44"/>
      <c r="N311" s="44"/>
    </row>
    <row r="312" ht="15.75" customHeight="1">
      <c r="A312" s="41"/>
      <c r="B312" s="42"/>
      <c r="C312" s="42"/>
      <c r="D312" s="42"/>
      <c r="E312" s="42"/>
      <c r="F312" s="42"/>
      <c r="G312" s="43" t="str">
        <f t="array" ref="G312">IF(F312="","",IFERROR(INDEX(Lists!$R:$R,MATCH(F312,Lists!$Q:$Q,0)),"Check Format"))</f>
        <v/>
      </c>
      <c r="H312" s="42"/>
      <c r="I312" s="44"/>
      <c r="J312" s="44"/>
      <c r="K312" s="44"/>
      <c r="L312" s="44"/>
      <c r="M312" s="44"/>
      <c r="N312" s="44"/>
    </row>
    <row r="313" ht="15.75" customHeight="1">
      <c r="A313" s="41"/>
      <c r="B313" s="42"/>
      <c r="C313" s="42"/>
      <c r="D313" s="42"/>
      <c r="E313" s="42"/>
      <c r="F313" s="42"/>
      <c r="G313" s="43" t="str">
        <f t="array" ref="G313">IF(F313="","",IFERROR(INDEX(Lists!$R:$R,MATCH(F313,Lists!$Q:$Q,0)),"Check Format"))</f>
        <v/>
      </c>
      <c r="H313" s="42"/>
      <c r="I313" s="44"/>
      <c r="J313" s="44"/>
      <c r="K313" s="44"/>
      <c r="L313" s="44"/>
      <c r="M313" s="44"/>
      <c r="N313" s="44"/>
    </row>
    <row r="314" ht="15.75" customHeight="1">
      <c r="A314" s="41"/>
      <c r="B314" s="42"/>
      <c r="C314" s="42"/>
      <c r="D314" s="42"/>
      <c r="E314" s="42"/>
      <c r="F314" s="42"/>
      <c r="G314" s="43" t="str">
        <f t="array" ref="G314">IF(F314="","",IFERROR(INDEX(Lists!$R:$R,MATCH(F314,Lists!$Q:$Q,0)),"Check Format"))</f>
        <v/>
      </c>
      <c r="H314" s="42"/>
      <c r="I314" s="44"/>
      <c r="J314" s="44"/>
      <c r="K314" s="44"/>
      <c r="L314" s="44"/>
      <c r="M314" s="44"/>
      <c r="N314" s="44"/>
    </row>
    <row r="315" ht="15.75" customHeight="1">
      <c r="A315" s="41"/>
      <c r="B315" s="42"/>
      <c r="C315" s="42"/>
      <c r="D315" s="42"/>
      <c r="E315" s="42"/>
      <c r="F315" s="42"/>
      <c r="G315" s="43" t="str">
        <f t="array" ref="G315">IF(F315="","",IFERROR(INDEX(Lists!$R:$R,MATCH(F315,Lists!$Q:$Q,0)),"Check Format"))</f>
        <v/>
      </c>
      <c r="H315" s="42"/>
      <c r="I315" s="44"/>
      <c r="J315" s="44"/>
      <c r="K315" s="44"/>
      <c r="L315" s="44"/>
      <c r="M315" s="44"/>
      <c r="N315" s="44"/>
    </row>
    <row r="316" ht="15.75" customHeight="1">
      <c r="A316" s="41"/>
      <c r="B316" s="42"/>
      <c r="C316" s="42"/>
      <c r="D316" s="42"/>
      <c r="E316" s="42"/>
      <c r="F316" s="42"/>
      <c r="G316" s="43" t="str">
        <f t="array" ref="G316">IF(F316="","",IFERROR(INDEX(Lists!$R:$R,MATCH(F316,Lists!$Q:$Q,0)),"Check Format"))</f>
        <v/>
      </c>
      <c r="H316" s="42"/>
      <c r="I316" s="44"/>
      <c r="J316" s="44"/>
      <c r="K316" s="44"/>
      <c r="L316" s="44"/>
      <c r="M316" s="44"/>
      <c r="N316" s="44"/>
    </row>
    <row r="317" ht="15.75" customHeight="1">
      <c r="A317" s="41"/>
      <c r="B317" s="42"/>
      <c r="C317" s="42"/>
      <c r="D317" s="42"/>
      <c r="E317" s="42"/>
      <c r="F317" s="42"/>
      <c r="G317" s="43" t="str">
        <f t="array" ref="G317">IF(F317="","",IFERROR(INDEX(Lists!$R:$R,MATCH(F317,Lists!$Q:$Q,0)),"Check Format"))</f>
        <v/>
      </c>
      <c r="H317" s="42"/>
      <c r="I317" s="44"/>
      <c r="J317" s="44"/>
      <c r="K317" s="44"/>
      <c r="L317" s="44"/>
      <c r="M317" s="44"/>
      <c r="N317" s="44"/>
    </row>
    <row r="318" ht="15.75" customHeight="1">
      <c r="A318" s="41"/>
      <c r="B318" s="42"/>
      <c r="C318" s="42"/>
      <c r="D318" s="42"/>
      <c r="E318" s="42"/>
      <c r="F318" s="42"/>
      <c r="G318" s="43" t="str">
        <f t="array" ref="G318">IF(F318="","",IFERROR(INDEX(Lists!$R:$R,MATCH(F318,Lists!$Q:$Q,0)),"Check Format"))</f>
        <v/>
      </c>
      <c r="H318" s="42"/>
      <c r="I318" s="44"/>
      <c r="J318" s="44"/>
      <c r="K318" s="44"/>
      <c r="L318" s="44"/>
      <c r="M318" s="44"/>
      <c r="N318" s="44"/>
    </row>
    <row r="319" ht="15.75" customHeight="1">
      <c r="A319" s="41"/>
      <c r="B319" s="42"/>
      <c r="C319" s="42"/>
      <c r="D319" s="42"/>
      <c r="E319" s="42"/>
      <c r="F319" s="42"/>
      <c r="G319" s="43" t="str">
        <f t="array" ref="G319">IF(F319="","",IFERROR(INDEX(Lists!$R:$R,MATCH(F319,Lists!$Q:$Q,0)),"Check Format"))</f>
        <v/>
      </c>
      <c r="H319" s="42"/>
      <c r="I319" s="44"/>
      <c r="J319" s="44"/>
      <c r="K319" s="44"/>
      <c r="L319" s="44"/>
      <c r="M319" s="44"/>
      <c r="N319" s="44"/>
    </row>
    <row r="320" ht="15.75" customHeight="1">
      <c r="A320" s="41"/>
      <c r="B320" s="42"/>
      <c r="C320" s="42"/>
      <c r="D320" s="42"/>
      <c r="E320" s="42"/>
      <c r="F320" s="42"/>
      <c r="G320" s="43" t="str">
        <f t="array" ref="G320">IF(F320="","",IFERROR(INDEX(Lists!$R:$R,MATCH(F320,Lists!$Q:$Q,0)),"Check Format"))</f>
        <v/>
      </c>
      <c r="H320" s="42"/>
      <c r="I320" s="44"/>
      <c r="J320" s="44"/>
      <c r="K320" s="44"/>
      <c r="L320" s="44"/>
      <c r="M320" s="44"/>
      <c r="N320" s="44"/>
    </row>
    <row r="321" ht="15.75" customHeight="1">
      <c r="A321" s="41"/>
      <c r="B321" s="42"/>
      <c r="C321" s="42"/>
      <c r="D321" s="42"/>
      <c r="E321" s="42"/>
      <c r="F321" s="42"/>
      <c r="G321" s="43" t="str">
        <f t="array" ref="G321">IF(F321="","",IFERROR(INDEX(Lists!$R:$R,MATCH(F321,Lists!$Q:$Q,0)),"Check Format"))</f>
        <v/>
      </c>
      <c r="H321" s="42"/>
      <c r="I321" s="44"/>
      <c r="J321" s="44"/>
      <c r="K321" s="44"/>
      <c r="L321" s="44"/>
      <c r="M321" s="44"/>
      <c r="N321" s="44"/>
    </row>
    <row r="322" ht="15.75" customHeight="1">
      <c r="A322" s="41"/>
      <c r="B322" s="42"/>
      <c r="C322" s="42"/>
      <c r="D322" s="42"/>
      <c r="E322" s="42"/>
      <c r="F322" s="42"/>
      <c r="G322" s="43" t="str">
        <f t="array" ref="G322">IF(F322="","",IFERROR(INDEX(Lists!$R:$R,MATCH(F322,Lists!$Q:$Q,0)),"Check Format"))</f>
        <v/>
      </c>
      <c r="H322" s="42"/>
      <c r="I322" s="44"/>
      <c r="J322" s="44"/>
      <c r="K322" s="44"/>
      <c r="L322" s="44"/>
      <c r="M322" s="44"/>
      <c r="N322" s="44"/>
    </row>
    <row r="323" ht="15.75" customHeight="1">
      <c r="A323" s="41"/>
      <c r="B323" s="42"/>
      <c r="C323" s="42"/>
      <c r="D323" s="42"/>
      <c r="E323" s="42"/>
      <c r="F323" s="42"/>
      <c r="G323" s="43" t="str">
        <f t="array" ref="G323">IF(F323="","",IFERROR(INDEX(Lists!$R:$R,MATCH(F323,Lists!$Q:$Q,0)),"Check Format"))</f>
        <v/>
      </c>
      <c r="H323" s="42"/>
      <c r="I323" s="44"/>
      <c r="J323" s="44"/>
      <c r="K323" s="44"/>
      <c r="L323" s="44"/>
      <c r="M323" s="44"/>
      <c r="N323" s="44"/>
    </row>
    <row r="324" ht="15.75" customHeight="1">
      <c r="A324" s="41"/>
      <c r="B324" s="42"/>
      <c r="C324" s="42"/>
      <c r="D324" s="42"/>
      <c r="E324" s="42"/>
      <c r="F324" s="42"/>
      <c r="G324" s="43" t="str">
        <f t="array" ref="G324">IF(F324="","",IFERROR(INDEX(Lists!$R:$R,MATCH(F324,Lists!$Q:$Q,0)),"Check Format"))</f>
        <v/>
      </c>
      <c r="H324" s="42"/>
      <c r="I324" s="44"/>
      <c r="J324" s="44"/>
      <c r="K324" s="44"/>
      <c r="L324" s="44"/>
      <c r="M324" s="44"/>
      <c r="N324" s="44"/>
    </row>
    <row r="325" ht="15.75" customHeight="1">
      <c r="A325" s="41"/>
      <c r="B325" s="42"/>
      <c r="C325" s="42"/>
      <c r="D325" s="42"/>
      <c r="E325" s="42"/>
      <c r="F325" s="42"/>
      <c r="G325" s="43" t="str">
        <f t="array" ref="G325">IF(F325="","",IFERROR(INDEX(Lists!$R:$R,MATCH(F325,Lists!$Q:$Q,0)),"Check Format"))</f>
        <v/>
      </c>
      <c r="H325" s="42"/>
      <c r="I325" s="44"/>
      <c r="J325" s="44"/>
      <c r="K325" s="44"/>
      <c r="L325" s="44"/>
      <c r="M325" s="44"/>
      <c r="N325" s="44"/>
    </row>
    <row r="326" ht="15.75" customHeight="1">
      <c r="A326" s="41"/>
      <c r="B326" s="42"/>
      <c r="C326" s="42"/>
      <c r="D326" s="42"/>
      <c r="E326" s="42"/>
      <c r="F326" s="42"/>
      <c r="G326" s="43" t="str">
        <f t="array" ref="G326">IF(F326="","",IFERROR(INDEX(Lists!$R:$R,MATCH(F326,Lists!$Q:$Q,0)),"Check Format"))</f>
        <v/>
      </c>
      <c r="H326" s="42"/>
      <c r="I326" s="44"/>
      <c r="J326" s="44"/>
      <c r="K326" s="44"/>
      <c r="L326" s="44"/>
      <c r="M326" s="44"/>
      <c r="N326" s="44"/>
    </row>
    <row r="327" ht="15.75" customHeight="1">
      <c r="A327" s="41"/>
      <c r="B327" s="42"/>
      <c r="C327" s="42"/>
      <c r="D327" s="42"/>
      <c r="E327" s="42"/>
      <c r="F327" s="42"/>
      <c r="G327" s="43" t="str">
        <f t="array" ref="G327">IF(F327="","",IFERROR(INDEX(Lists!$R:$R,MATCH(F327,Lists!$Q:$Q,0)),"Check Format"))</f>
        <v/>
      </c>
      <c r="H327" s="42"/>
      <c r="I327" s="44"/>
      <c r="J327" s="44"/>
      <c r="K327" s="44"/>
      <c r="L327" s="44"/>
      <c r="M327" s="44"/>
      <c r="N327" s="44"/>
    </row>
    <row r="328" ht="15.75" customHeight="1">
      <c r="A328" s="41"/>
      <c r="B328" s="42"/>
      <c r="C328" s="42"/>
      <c r="D328" s="42"/>
      <c r="E328" s="42"/>
      <c r="F328" s="42"/>
      <c r="G328" s="43" t="str">
        <f t="array" ref="G328">IF(F328="","",IFERROR(INDEX(Lists!$R:$R,MATCH(F328,Lists!$Q:$Q,0)),"Check Format"))</f>
        <v/>
      </c>
      <c r="H328" s="42"/>
      <c r="I328" s="44"/>
      <c r="J328" s="44"/>
      <c r="K328" s="44"/>
      <c r="L328" s="44"/>
      <c r="M328" s="44"/>
      <c r="N328" s="44"/>
    </row>
    <row r="329" ht="15.75" customHeight="1">
      <c r="A329" s="41"/>
      <c r="B329" s="42"/>
      <c r="C329" s="42"/>
      <c r="D329" s="42"/>
      <c r="E329" s="42"/>
      <c r="F329" s="42"/>
      <c r="G329" s="43" t="str">
        <f t="array" ref="G329">IF(F329="","",IFERROR(INDEX(Lists!$R:$R,MATCH(F329,Lists!$Q:$Q,0)),"Check Format"))</f>
        <v/>
      </c>
      <c r="H329" s="42"/>
      <c r="I329" s="44"/>
      <c r="J329" s="44"/>
      <c r="K329" s="44"/>
      <c r="L329" s="44"/>
      <c r="M329" s="44"/>
      <c r="N329" s="44"/>
    </row>
    <row r="330" ht="15.75" customHeight="1">
      <c r="A330" s="41"/>
      <c r="B330" s="42"/>
      <c r="C330" s="42"/>
      <c r="D330" s="42"/>
      <c r="E330" s="42"/>
      <c r="F330" s="42"/>
      <c r="G330" s="43" t="str">
        <f t="array" ref="G330">IF(F330="","",IFERROR(INDEX(Lists!$R:$R,MATCH(F330,Lists!$Q:$Q,0)),"Check Format"))</f>
        <v/>
      </c>
      <c r="H330" s="42"/>
      <c r="I330" s="44"/>
      <c r="J330" s="44"/>
      <c r="K330" s="44"/>
      <c r="L330" s="44"/>
      <c r="M330" s="44"/>
      <c r="N330" s="44"/>
    </row>
    <row r="331" ht="15.75" customHeight="1">
      <c r="A331" s="41"/>
      <c r="B331" s="42"/>
      <c r="C331" s="42"/>
      <c r="D331" s="42"/>
      <c r="E331" s="42"/>
      <c r="F331" s="42"/>
      <c r="G331" s="43" t="str">
        <f t="array" ref="G331">IF(F331="","",IFERROR(INDEX(Lists!$R:$R,MATCH(F331,Lists!$Q:$Q,0)),"Check Format"))</f>
        <v/>
      </c>
      <c r="H331" s="42"/>
      <c r="I331" s="44"/>
      <c r="J331" s="44"/>
      <c r="K331" s="44"/>
      <c r="L331" s="44"/>
      <c r="M331" s="44"/>
      <c r="N331" s="44"/>
    </row>
    <row r="332" ht="15.75" customHeight="1">
      <c r="A332" s="41"/>
      <c r="B332" s="42"/>
      <c r="C332" s="42"/>
      <c r="D332" s="42"/>
      <c r="E332" s="42"/>
      <c r="F332" s="42"/>
      <c r="G332" s="43" t="str">
        <f t="array" ref="G332">IF(F332="","",IFERROR(INDEX(Lists!$R:$R,MATCH(F332,Lists!$Q:$Q,0)),"Check Format"))</f>
        <v/>
      </c>
      <c r="H332" s="42"/>
      <c r="I332" s="44"/>
      <c r="J332" s="44"/>
      <c r="K332" s="44"/>
      <c r="L332" s="44"/>
      <c r="M332" s="44"/>
      <c r="N332" s="44"/>
    </row>
    <row r="333" ht="15.75" customHeight="1">
      <c r="A333" s="41"/>
      <c r="B333" s="42"/>
      <c r="C333" s="42"/>
      <c r="D333" s="42"/>
      <c r="E333" s="42"/>
      <c r="F333" s="42"/>
      <c r="G333" s="43" t="str">
        <f t="array" ref="G333">IF(F333="","",IFERROR(INDEX(Lists!$R:$R,MATCH(F333,Lists!$Q:$Q,0)),"Check Format"))</f>
        <v/>
      </c>
      <c r="H333" s="42"/>
      <c r="I333" s="44"/>
      <c r="J333" s="44"/>
      <c r="K333" s="44"/>
      <c r="L333" s="44"/>
      <c r="M333" s="44"/>
      <c r="N333" s="44"/>
    </row>
    <row r="334" ht="15.75" customHeight="1">
      <c r="A334" s="41"/>
      <c r="B334" s="42"/>
      <c r="C334" s="42"/>
      <c r="D334" s="42"/>
      <c r="E334" s="42"/>
      <c r="F334" s="42"/>
      <c r="G334" s="43" t="str">
        <f t="array" ref="G334">IF(F334="","",IFERROR(INDEX(Lists!$R:$R,MATCH(F334,Lists!$Q:$Q,0)),"Check Format"))</f>
        <v/>
      </c>
      <c r="H334" s="42"/>
      <c r="I334" s="44"/>
      <c r="J334" s="44"/>
      <c r="K334" s="44"/>
      <c r="L334" s="44"/>
      <c r="M334" s="44"/>
      <c r="N334" s="44"/>
    </row>
    <row r="335" ht="15.75" customHeight="1">
      <c r="A335" s="41"/>
      <c r="B335" s="42"/>
      <c r="C335" s="42"/>
      <c r="D335" s="42"/>
      <c r="E335" s="42"/>
      <c r="F335" s="42"/>
      <c r="G335" s="43" t="str">
        <f t="array" ref="G335">IF(F335="","",IFERROR(INDEX(Lists!$R:$R,MATCH(F335,Lists!$Q:$Q,0)),"Check Format"))</f>
        <v/>
      </c>
      <c r="H335" s="42"/>
      <c r="I335" s="44"/>
      <c r="J335" s="44"/>
      <c r="K335" s="44"/>
      <c r="L335" s="44"/>
      <c r="M335" s="44"/>
      <c r="N335" s="44"/>
    </row>
    <row r="336" ht="15.75" customHeight="1">
      <c r="A336" s="41"/>
      <c r="B336" s="42"/>
      <c r="C336" s="42"/>
      <c r="D336" s="42"/>
      <c r="E336" s="42"/>
      <c r="F336" s="42"/>
      <c r="G336" s="43" t="str">
        <f t="array" ref="G336">IF(F336="","",IFERROR(INDEX(Lists!$R:$R,MATCH(F336,Lists!$Q:$Q,0)),"Check Format"))</f>
        <v/>
      </c>
      <c r="H336" s="42"/>
      <c r="I336" s="44"/>
      <c r="J336" s="44"/>
      <c r="K336" s="44"/>
      <c r="L336" s="44"/>
      <c r="M336" s="44"/>
      <c r="N336" s="44"/>
    </row>
    <row r="337" ht="15.75" customHeight="1">
      <c r="A337" s="41"/>
      <c r="B337" s="42"/>
      <c r="C337" s="42"/>
      <c r="D337" s="42"/>
      <c r="E337" s="42"/>
      <c r="F337" s="42"/>
      <c r="G337" s="43" t="str">
        <f t="array" ref="G337">IF(F337="","",IFERROR(INDEX(Lists!$R:$R,MATCH(F337,Lists!$Q:$Q,0)),"Check Format"))</f>
        <v/>
      </c>
      <c r="H337" s="42"/>
      <c r="I337" s="44"/>
      <c r="J337" s="44"/>
      <c r="K337" s="44"/>
      <c r="L337" s="44"/>
      <c r="M337" s="44"/>
      <c r="N337" s="44"/>
    </row>
    <row r="338" ht="15.75" customHeight="1">
      <c r="A338" s="41"/>
      <c r="B338" s="42"/>
      <c r="C338" s="42"/>
      <c r="D338" s="42"/>
      <c r="E338" s="42"/>
      <c r="F338" s="42"/>
      <c r="G338" s="43" t="str">
        <f t="array" ref="G338">IF(F338="","",IFERROR(INDEX(Lists!$R:$R,MATCH(F338,Lists!$Q:$Q,0)),"Check Format"))</f>
        <v/>
      </c>
      <c r="H338" s="42"/>
      <c r="I338" s="44"/>
      <c r="J338" s="44"/>
      <c r="K338" s="44"/>
      <c r="L338" s="44"/>
      <c r="M338" s="44"/>
      <c r="N338" s="44"/>
    </row>
    <row r="339" ht="15.75" customHeight="1">
      <c r="A339" s="41"/>
      <c r="B339" s="42"/>
      <c r="C339" s="42"/>
      <c r="D339" s="42"/>
      <c r="E339" s="42"/>
      <c r="F339" s="42"/>
      <c r="G339" s="43" t="str">
        <f t="array" ref="G339">IF(F339="","",IFERROR(INDEX(Lists!$R:$R,MATCH(F339,Lists!$Q:$Q,0)),"Check Format"))</f>
        <v/>
      </c>
      <c r="H339" s="42"/>
      <c r="I339" s="44"/>
      <c r="J339" s="44"/>
      <c r="K339" s="44"/>
      <c r="L339" s="44"/>
      <c r="M339" s="44"/>
      <c r="N339" s="44"/>
    </row>
    <row r="340" ht="15.75" customHeight="1">
      <c r="A340" s="41"/>
      <c r="B340" s="42"/>
      <c r="C340" s="42"/>
      <c r="D340" s="42"/>
      <c r="E340" s="42"/>
      <c r="F340" s="42"/>
      <c r="G340" s="43" t="str">
        <f t="array" ref="G340">IF(F340="","",IFERROR(INDEX(Lists!$R:$R,MATCH(F340,Lists!$Q:$Q,0)),"Check Format"))</f>
        <v/>
      </c>
      <c r="H340" s="42"/>
      <c r="I340" s="44"/>
      <c r="J340" s="44"/>
      <c r="K340" s="44"/>
      <c r="L340" s="44"/>
      <c r="M340" s="44"/>
      <c r="N340" s="44"/>
    </row>
    <row r="341" ht="15.75" customHeight="1">
      <c r="A341" s="41"/>
      <c r="B341" s="42"/>
      <c r="C341" s="42"/>
      <c r="D341" s="42"/>
      <c r="E341" s="42"/>
      <c r="F341" s="42"/>
      <c r="G341" s="43" t="str">
        <f t="array" ref="G341">IF(F341="","",IFERROR(INDEX(Lists!$R:$R,MATCH(F341,Lists!$Q:$Q,0)),"Check Format"))</f>
        <v/>
      </c>
      <c r="H341" s="42"/>
      <c r="I341" s="44"/>
      <c r="J341" s="44"/>
      <c r="K341" s="44"/>
      <c r="L341" s="44"/>
      <c r="M341" s="44"/>
      <c r="N341" s="44"/>
    </row>
    <row r="342" ht="15.75" customHeight="1">
      <c r="A342" s="41"/>
      <c r="B342" s="42"/>
      <c r="C342" s="42"/>
      <c r="D342" s="42"/>
      <c r="E342" s="42"/>
      <c r="F342" s="42"/>
      <c r="G342" s="43" t="str">
        <f t="array" ref="G342">IF(F342="","",IFERROR(INDEX(Lists!$R:$R,MATCH(F342,Lists!$Q:$Q,0)),"Check Format"))</f>
        <v/>
      </c>
      <c r="H342" s="42"/>
      <c r="I342" s="44"/>
      <c r="J342" s="44"/>
      <c r="K342" s="44"/>
      <c r="L342" s="44"/>
      <c r="M342" s="44"/>
      <c r="N342" s="44"/>
    </row>
    <row r="343" ht="15.75" customHeight="1">
      <c r="A343" s="41"/>
      <c r="B343" s="42"/>
      <c r="C343" s="42"/>
      <c r="D343" s="42"/>
      <c r="E343" s="42"/>
      <c r="F343" s="42"/>
      <c r="G343" s="43" t="str">
        <f t="array" ref="G343">IF(F343="","",IFERROR(INDEX(Lists!$R:$R,MATCH(F343,Lists!$Q:$Q,0)),"Check Format"))</f>
        <v/>
      </c>
      <c r="H343" s="42"/>
      <c r="I343" s="44"/>
      <c r="J343" s="44"/>
      <c r="K343" s="44"/>
      <c r="L343" s="44"/>
      <c r="M343" s="44"/>
      <c r="N343" s="44"/>
    </row>
    <row r="344" ht="15.75" customHeight="1">
      <c r="A344" s="41"/>
      <c r="B344" s="42"/>
      <c r="C344" s="42"/>
      <c r="D344" s="42"/>
      <c r="E344" s="42"/>
      <c r="F344" s="42"/>
      <c r="G344" s="43" t="str">
        <f t="array" ref="G344">IF(F344="","",IFERROR(INDEX(Lists!$R:$R,MATCH(F344,Lists!$Q:$Q,0)),"Check Format"))</f>
        <v/>
      </c>
      <c r="H344" s="42"/>
      <c r="I344" s="44"/>
      <c r="J344" s="44"/>
      <c r="K344" s="44"/>
      <c r="L344" s="44"/>
      <c r="M344" s="44"/>
      <c r="N344" s="44"/>
    </row>
    <row r="345" ht="15.75" customHeight="1">
      <c r="A345" s="41"/>
      <c r="B345" s="42"/>
      <c r="C345" s="42"/>
      <c r="D345" s="42"/>
      <c r="E345" s="42"/>
      <c r="F345" s="42"/>
      <c r="G345" s="43" t="str">
        <f t="array" ref="G345">IF(F345="","",IFERROR(INDEX(Lists!$R:$R,MATCH(F345,Lists!$Q:$Q,0)),"Check Format"))</f>
        <v/>
      </c>
      <c r="H345" s="42"/>
      <c r="I345" s="44"/>
      <c r="J345" s="44"/>
      <c r="K345" s="44"/>
      <c r="L345" s="44"/>
      <c r="M345" s="44"/>
      <c r="N345" s="44"/>
    </row>
    <row r="346" ht="15.75" customHeight="1">
      <c r="A346" s="41"/>
      <c r="B346" s="42"/>
      <c r="C346" s="42"/>
      <c r="D346" s="42"/>
      <c r="E346" s="42"/>
      <c r="F346" s="42"/>
      <c r="G346" s="43" t="str">
        <f t="array" ref="G346">IF(F346="","",IFERROR(INDEX(Lists!$R:$R,MATCH(F346,Lists!$Q:$Q,0)),"Check Format"))</f>
        <v/>
      </c>
      <c r="H346" s="42"/>
      <c r="I346" s="44"/>
      <c r="J346" s="44"/>
      <c r="K346" s="44"/>
      <c r="L346" s="44"/>
      <c r="M346" s="44"/>
      <c r="N346" s="44"/>
    </row>
    <row r="347" ht="15.75" customHeight="1">
      <c r="A347" s="41"/>
      <c r="B347" s="42"/>
      <c r="C347" s="42"/>
      <c r="D347" s="42"/>
      <c r="E347" s="42"/>
      <c r="F347" s="42"/>
      <c r="G347" s="43" t="str">
        <f t="array" ref="G347">IF(F347="","",IFERROR(INDEX(Lists!$R:$R,MATCH(F347,Lists!$Q:$Q,0)),"Check Format"))</f>
        <v/>
      </c>
      <c r="H347" s="42"/>
      <c r="I347" s="44"/>
      <c r="J347" s="44"/>
      <c r="K347" s="44"/>
      <c r="L347" s="44"/>
      <c r="M347" s="44"/>
      <c r="N347" s="44"/>
    </row>
    <row r="348" ht="15.75" customHeight="1">
      <c r="A348" s="41"/>
      <c r="B348" s="42"/>
      <c r="C348" s="42"/>
      <c r="D348" s="42"/>
      <c r="E348" s="42"/>
      <c r="F348" s="42"/>
      <c r="G348" s="43" t="str">
        <f t="array" ref="G348">IF(F348="","",IFERROR(INDEX(Lists!$R:$R,MATCH(F348,Lists!$Q:$Q,0)),"Check Format"))</f>
        <v/>
      </c>
      <c r="H348" s="42"/>
      <c r="I348" s="44"/>
      <c r="J348" s="44"/>
      <c r="K348" s="44"/>
      <c r="L348" s="44"/>
      <c r="M348" s="44"/>
      <c r="N348" s="44"/>
    </row>
    <row r="349" ht="15.75" customHeight="1">
      <c r="A349" s="41"/>
      <c r="B349" s="42"/>
      <c r="C349" s="42"/>
      <c r="D349" s="42"/>
      <c r="E349" s="42"/>
      <c r="F349" s="42"/>
      <c r="G349" s="43" t="str">
        <f t="array" ref="G349">IF(F349="","",IFERROR(INDEX(Lists!$R:$R,MATCH(F349,Lists!$Q:$Q,0)),"Check Format"))</f>
        <v/>
      </c>
      <c r="H349" s="42"/>
      <c r="I349" s="44"/>
      <c r="J349" s="44"/>
      <c r="K349" s="44"/>
      <c r="L349" s="44"/>
      <c r="M349" s="44"/>
      <c r="N349" s="44"/>
    </row>
    <row r="350" ht="15.75" customHeight="1">
      <c r="A350" s="41"/>
      <c r="B350" s="42"/>
      <c r="C350" s="42"/>
      <c r="D350" s="42"/>
      <c r="E350" s="42"/>
      <c r="F350" s="42"/>
      <c r="G350" s="43" t="str">
        <f t="array" ref="G350">IF(F350="","",IFERROR(INDEX(Lists!$R:$R,MATCH(F350,Lists!$Q:$Q,0)),"Check Format"))</f>
        <v/>
      </c>
      <c r="H350" s="42"/>
      <c r="I350" s="44"/>
      <c r="J350" s="44"/>
      <c r="K350" s="44"/>
      <c r="L350" s="44"/>
      <c r="M350" s="44"/>
      <c r="N350" s="44"/>
    </row>
    <row r="351" ht="15.75" customHeight="1">
      <c r="A351" s="41"/>
      <c r="B351" s="42"/>
      <c r="C351" s="42"/>
      <c r="D351" s="42"/>
      <c r="E351" s="42"/>
      <c r="F351" s="42"/>
      <c r="G351" s="43" t="str">
        <f t="array" ref="G351">IF(F351="","",IFERROR(INDEX(Lists!$R:$R,MATCH(F351,Lists!$Q:$Q,0)),"Check Format"))</f>
        <v/>
      </c>
      <c r="H351" s="42"/>
      <c r="I351" s="44"/>
      <c r="J351" s="44"/>
      <c r="K351" s="44"/>
      <c r="L351" s="44"/>
      <c r="M351" s="44"/>
      <c r="N351" s="44"/>
    </row>
    <row r="352" ht="15.75" customHeight="1">
      <c r="A352" s="41"/>
      <c r="B352" s="42"/>
      <c r="C352" s="42"/>
      <c r="D352" s="42"/>
      <c r="E352" s="42"/>
      <c r="F352" s="42"/>
      <c r="G352" s="43" t="str">
        <f t="array" ref="G352">IF(F352="","",IFERROR(INDEX(Lists!$R:$R,MATCH(F352,Lists!$Q:$Q,0)),"Check Format"))</f>
        <v/>
      </c>
      <c r="H352" s="42"/>
      <c r="I352" s="44"/>
      <c r="J352" s="44"/>
      <c r="K352" s="44"/>
      <c r="L352" s="44"/>
      <c r="M352" s="44"/>
      <c r="N352" s="44"/>
    </row>
    <row r="353" ht="15.75" customHeight="1">
      <c r="A353" s="41"/>
      <c r="B353" s="42"/>
      <c r="C353" s="42"/>
      <c r="D353" s="42"/>
      <c r="E353" s="42"/>
      <c r="F353" s="42"/>
      <c r="G353" s="43" t="str">
        <f t="array" ref="G353">IF(F353="","",IFERROR(INDEX(Lists!$R:$R,MATCH(F353,Lists!$Q:$Q,0)),"Check Format"))</f>
        <v/>
      </c>
      <c r="H353" s="42"/>
      <c r="I353" s="44"/>
      <c r="J353" s="44"/>
      <c r="K353" s="44"/>
      <c r="L353" s="44"/>
      <c r="M353" s="44"/>
      <c r="N353" s="44"/>
    </row>
    <row r="354" ht="15.75" customHeight="1">
      <c r="A354" s="41"/>
      <c r="B354" s="42"/>
      <c r="C354" s="42"/>
      <c r="D354" s="42"/>
      <c r="E354" s="42"/>
      <c r="F354" s="42"/>
      <c r="G354" s="43" t="str">
        <f t="array" ref="G354">IF(F354="","",IFERROR(INDEX(Lists!$R:$R,MATCH(F354,Lists!$Q:$Q,0)),"Check Format"))</f>
        <v/>
      </c>
      <c r="H354" s="42"/>
      <c r="I354" s="44"/>
      <c r="J354" s="44"/>
      <c r="K354" s="44"/>
      <c r="L354" s="44"/>
      <c r="M354" s="44"/>
      <c r="N354" s="44"/>
    </row>
    <row r="355" ht="15.75" customHeight="1">
      <c r="A355" s="41"/>
      <c r="B355" s="42"/>
      <c r="C355" s="42"/>
      <c r="D355" s="42"/>
      <c r="E355" s="42"/>
      <c r="F355" s="42"/>
      <c r="G355" s="43" t="str">
        <f t="array" ref="G355">IF(F355="","",IFERROR(INDEX(Lists!$R:$R,MATCH(F355,Lists!$Q:$Q,0)),"Check Format"))</f>
        <v/>
      </c>
      <c r="H355" s="42"/>
      <c r="I355" s="44"/>
      <c r="J355" s="44"/>
      <c r="K355" s="44"/>
      <c r="L355" s="44"/>
      <c r="M355" s="44"/>
      <c r="N355" s="44"/>
    </row>
    <row r="356" ht="15.75" customHeight="1">
      <c r="A356" s="41"/>
      <c r="B356" s="42"/>
      <c r="C356" s="42"/>
      <c r="D356" s="42"/>
      <c r="E356" s="42"/>
      <c r="F356" s="42"/>
      <c r="G356" s="43" t="str">
        <f t="array" ref="G356">IF(F356="","",IFERROR(INDEX(Lists!$R:$R,MATCH(F356,Lists!$Q:$Q,0)),"Check Format"))</f>
        <v/>
      </c>
      <c r="H356" s="42"/>
      <c r="I356" s="44"/>
      <c r="J356" s="44"/>
      <c r="K356" s="44"/>
      <c r="L356" s="44"/>
      <c r="M356" s="44"/>
      <c r="N356" s="44"/>
    </row>
    <row r="357" ht="15.75" customHeight="1">
      <c r="A357" s="41"/>
      <c r="B357" s="42"/>
      <c r="C357" s="42"/>
      <c r="D357" s="42"/>
      <c r="E357" s="42"/>
      <c r="F357" s="42"/>
      <c r="G357" s="43" t="str">
        <f t="array" ref="G357">IF(F357="","",IFERROR(INDEX(Lists!$R:$R,MATCH(F357,Lists!$Q:$Q,0)),"Check Format"))</f>
        <v/>
      </c>
      <c r="H357" s="42"/>
      <c r="I357" s="44"/>
      <c r="J357" s="44"/>
      <c r="K357" s="44"/>
      <c r="L357" s="44"/>
      <c r="M357" s="44"/>
      <c r="N357" s="44"/>
    </row>
    <row r="358" ht="15.75" customHeight="1">
      <c r="A358" s="41"/>
      <c r="B358" s="42"/>
      <c r="C358" s="42"/>
      <c r="D358" s="42"/>
      <c r="E358" s="42"/>
      <c r="F358" s="42"/>
      <c r="G358" s="43" t="str">
        <f t="array" ref="G358">IF(F358="","",IFERROR(INDEX(Lists!$R:$R,MATCH(F358,Lists!$Q:$Q,0)),"Check Format"))</f>
        <v/>
      </c>
      <c r="H358" s="42"/>
      <c r="I358" s="44"/>
      <c r="J358" s="44"/>
      <c r="K358" s="44"/>
      <c r="L358" s="44"/>
      <c r="M358" s="44"/>
      <c r="N358" s="44"/>
    </row>
    <row r="359" ht="15.75" customHeight="1">
      <c r="A359" s="41"/>
      <c r="B359" s="42"/>
      <c r="C359" s="42"/>
      <c r="D359" s="42"/>
      <c r="E359" s="42"/>
      <c r="F359" s="42"/>
      <c r="G359" s="43" t="str">
        <f t="array" ref="G359">IF(F359="","",IFERROR(INDEX(Lists!$R:$R,MATCH(F359,Lists!$Q:$Q,0)),"Check Format"))</f>
        <v/>
      </c>
      <c r="H359" s="42"/>
      <c r="I359" s="44"/>
      <c r="J359" s="44"/>
      <c r="K359" s="44"/>
      <c r="L359" s="44"/>
      <c r="M359" s="44"/>
      <c r="N359" s="44"/>
    </row>
    <row r="360" ht="15.75" customHeight="1">
      <c r="A360" s="41"/>
      <c r="B360" s="42"/>
      <c r="C360" s="42"/>
      <c r="D360" s="42"/>
      <c r="E360" s="42"/>
      <c r="F360" s="42"/>
      <c r="G360" s="43" t="str">
        <f t="array" ref="G360">IF(F360="","",IFERROR(INDEX(Lists!$R:$R,MATCH(F360,Lists!$Q:$Q,0)),"Check Format"))</f>
        <v/>
      </c>
      <c r="H360" s="42"/>
      <c r="I360" s="44"/>
      <c r="J360" s="44"/>
      <c r="K360" s="44"/>
      <c r="L360" s="44"/>
      <c r="M360" s="44"/>
      <c r="N360" s="44"/>
    </row>
    <row r="361" ht="15.75" customHeight="1">
      <c r="A361" s="41"/>
      <c r="B361" s="42"/>
      <c r="C361" s="42"/>
      <c r="D361" s="42"/>
      <c r="E361" s="42"/>
      <c r="F361" s="42"/>
      <c r="G361" s="43" t="str">
        <f t="array" ref="G361">IF(F361="","",IFERROR(INDEX(Lists!$R:$R,MATCH(F361,Lists!$Q:$Q,0)),"Check Format"))</f>
        <v/>
      </c>
      <c r="H361" s="42"/>
      <c r="I361" s="44"/>
      <c r="J361" s="44"/>
      <c r="K361" s="44"/>
      <c r="L361" s="44"/>
      <c r="M361" s="44"/>
      <c r="N361" s="44"/>
    </row>
    <row r="362" ht="15.75" customHeight="1">
      <c r="A362" s="41"/>
      <c r="B362" s="42"/>
      <c r="C362" s="42"/>
      <c r="D362" s="42"/>
      <c r="E362" s="42"/>
      <c r="F362" s="42"/>
      <c r="G362" s="43" t="str">
        <f t="array" ref="G362">IF(F362="","",IFERROR(INDEX(Lists!$R:$R,MATCH(F362,Lists!$Q:$Q,0)),"Check Format"))</f>
        <v/>
      </c>
      <c r="H362" s="42"/>
      <c r="I362" s="44"/>
      <c r="J362" s="44"/>
      <c r="K362" s="44"/>
      <c r="L362" s="44"/>
      <c r="M362" s="44"/>
      <c r="N362" s="44"/>
    </row>
    <row r="363" ht="15.75" customHeight="1">
      <c r="A363" s="41"/>
      <c r="B363" s="42"/>
      <c r="C363" s="42"/>
      <c r="D363" s="42"/>
      <c r="E363" s="42"/>
      <c r="F363" s="42"/>
      <c r="G363" s="43" t="str">
        <f t="array" ref="G363">IF(F363="","",IFERROR(INDEX(Lists!$R:$R,MATCH(F363,Lists!$Q:$Q,0)),"Check Format"))</f>
        <v/>
      </c>
      <c r="H363" s="42"/>
      <c r="I363" s="44"/>
      <c r="J363" s="44"/>
      <c r="K363" s="44"/>
      <c r="L363" s="44"/>
      <c r="M363" s="44"/>
      <c r="N363" s="44"/>
    </row>
    <row r="364" ht="15.75" customHeight="1">
      <c r="A364" s="41"/>
      <c r="B364" s="42"/>
      <c r="C364" s="42"/>
      <c r="D364" s="42"/>
      <c r="E364" s="42"/>
      <c r="F364" s="42"/>
      <c r="G364" s="43" t="str">
        <f t="array" ref="G364">IF(F364="","",IFERROR(INDEX(Lists!$R:$R,MATCH(F364,Lists!$Q:$Q,0)),"Check Format"))</f>
        <v/>
      </c>
      <c r="H364" s="42"/>
      <c r="I364" s="44"/>
      <c r="J364" s="44"/>
      <c r="K364" s="44"/>
      <c r="L364" s="44"/>
      <c r="M364" s="44"/>
      <c r="N364" s="44"/>
    </row>
    <row r="365" ht="15.75" customHeight="1">
      <c r="A365" s="41"/>
      <c r="B365" s="42"/>
      <c r="C365" s="42"/>
      <c r="D365" s="42"/>
      <c r="E365" s="42"/>
      <c r="F365" s="42"/>
      <c r="G365" s="43" t="str">
        <f t="array" ref="G365">IF(F365="","",IFERROR(INDEX(Lists!$R:$R,MATCH(F365,Lists!$Q:$Q,0)),"Check Format"))</f>
        <v/>
      </c>
      <c r="H365" s="42"/>
      <c r="I365" s="44"/>
      <c r="J365" s="44"/>
      <c r="K365" s="44"/>
      <c r="L365" s="44"/>
      <c r="M365" s="44"/>
      <c r="N365" s="44"/>
    </row>
    <row r="366" ht="15.75" customHeight="1">
      <c r="A366" s="41"/>
      <c r="B366" s="42"/>
      <c r="C366" s="42"/>
      <c r="D366" s="42"/>
      <c r="E366" s="42"/>
      <c r="F366" s="42"/>
      <c r="G366" s="43" t="str">
        <f t="array" ref="G366">IF(F366="","",IFERROR(INDEX(Lists!$R:$R,MATCH(F366,Lists!$Q:$Q,0)),"Check Format"))</f>
        <v/>
      </c>
      <c r="H366" s="42"/>
      <c r="I366" s="44"/>
      <c r="J366" s="44"/>
      <c r="K366" s="44"/>
      <c r="L366" s="44"/>
      <c r="M366" s="44"/>
      <c r="N366" s="44"/>
    </row>
    <row r="367" ht="15.75" customHeight="1">
      <c r="A367" s="41"/>
      <c r="B367" s="42"/>
      <c r="C367" s="42"/>
      <c r="D367" s="42"/>
      <c r="E367" s="42"/>
      <c r="F367" s="42"/>
      <c r="G367" s="43" t="str">
        <f t="array" ref="G367">IF(F367="","",IFERROR(INDEX(Lists!$R:$R,MATCH(F367,Lists!$Q:$Q,0)),"Check Format"))</f>
        <v/>
      </c>
      <c r="H367" s="42"/>
      <c r="I367" s="44"/>
      <c r="J367" s="44"/>
      <c r="K367" s="44"/>
      <c r="L367" s="44"/>
      <c r="M367" s="44"/>
      <c r="N367" s="44"/>
    </row>
    <row r="368" ht="15.75" customHeight="1">
      <c r="A368" s="41"/>
      <c r="B368" s="42"/>
      <c r="C368" s="42"/>
      <c r="D368" s="42"/>
      <c r="E368" s="42"/>
      <c r="F368" s="42"/>
      <c r="G368" s="43" t="str">
        <f t="array" ref="G368">IF(F368="","",IFERROR(INDEX(Lists!$R:$R,MATCH(F368,Lists!$Q:$Q,0)),"Check Format"))</f>
        <v/>
      </c>
      <c r="H368" s="42"/>
      <c r="I368" s="44"/>
      <c r="J368" s="44"/>
      <c r="K368" s="44"/>
      <c r="L368" s="44"/>
      <c r="M368" s="44"/>
      <c r="N368" s="44"/>
    </row>
    <row r="369" ht="15.75" customHeight="1">
      <c r="A369" s="41"/>
      <c r="B369" s="42"/>
      <c r="C369" s="42"/>
      <c r="D369" s="42"/>
      <c r="E369" s="42"/>
      <c r="F369" s="42"/>
      <c r="G369" s="43" t="str">
        <f t="array" ref="G369">IF(F369="","",IFERROR(INDEX(Lists!$R:$R,MATCH(F369,Lists!$Q:$Q,0)),"Check Format"))</f>
        <v/>
      </c>
      <c r="H369" s="42"/>
      <c r="I369" s="44"/>
      <c r="J369" s="44"/>
      <c r="K369" s="44"/>
      <c r="L369" s="44"/>
      <c r="M369" s="44"/>
      <c r="N369" s="44"/>
    </row>
    <row r="370" ht="15.75" customHeight="1">
      <c r="A370" s="41"/>
      <c r="B370" s="42"/>
      <c r="C370" s="42"/>
      <c r="D370" s="42"/>
      <c r="E370" s="42"/>
      <c r="F370" s="42"/>
      <c r="G370" s="43" t="str">
        <f t="array" ref="G370">IF(F370="","",IFERROR(INDEX(Lists!$R:$R,MATCH(F370,Lists!$Q:$Q,0)),"Check Format"))</f>
        <v/>
      </c>
      <c r="H370" s="42"/>
      <c r="I370" s="44"/>
      <c r="J370" s="44"/>
      <c r="K370" s="44"/>
      <c r="L370" s="44"/>
      <c r="M370" s="44"/>
      <c r="N370" s="44"/>
    </row>
    <row r="371" ht="15.75" customHeight="1">
      <c r="A371" s="41"/>
      <c r="B371" s="42"/>
      <c r="C371" s="42"/>
      <c r="D371" s="42"/>
      <c r="E371" s="42"/>
      <c r="F371" s="42"/>
      <c r="G371" s="43" t="str">
        <f t="array" ref="G371">IF(F371="","",IFERROR(INDEX(Lists!$R:$R,MATCH(F371,Lists!$Q:$Q,0)),"Check Format"))</f>
        <v/>
      </c>
      <c r="H371" s="42"/>
      <c r="I371" s="44"/>
      <c r="J371" s="44"/>
      <c r="K371" s="44"/>
      <c r="L371" s="44"/>
      <c r="M371" s="44"/>
      <c r="N371" s="44"/>
    </row>
    <row r="372" ht="15.75" customHeight="1">
      <c r="A372" s="41"/>
      <c r="B372" s="42"/>
      <c r="C372" s="42"/>
      <c r="D372" s="42"/>
      <c r="E372" s="42"/>
      <c r="F372" s="42"/>
      <c r="G372" s="43" t="str">
        <f t="array" ref="G372">IF(F372="","",IFERROR(INDEX(Lists!$R:$R,MATCH(F372,Lists!$Q:$Q,0)),"Check Format"))</f>
        <v/>
      </c>
      <c r="H372" s="42"/>
      <c r="I372" s="44"/>
      <c r="J372" s="44"/>
      <c r="K372" s="44"/>
      <c r="L372" s="44"/>
      <c r="M372" s="44"/>
      <c r="N372" s="44"/>
    </row>
    <row r="373" ht="15.75" customHeight="1">
      <c r="A373" s="41"/>
      <c r="B373" s="42"/>
      <c r="C373" s="42"/>
      <c r="D373" s="42"/>
      <c r="E373" s="42"/>
      <c r="F373" s="42"/>
      <c r="G373" s="43" t="str">
        <f t="array" ref="G373">IF(F373="","",IFERROR(INDEX(Lists!$R:$R,MATCH(F373,Lists!$Q:$Q,0)),"Check Format"))</f>
        <v/>
      </c>
      <c r="H373" s="42"/>
      <c r="I373" s="44"/>
      <c r="J373" s="44"/>
      <c r="K373" s="44"/>
      <c r="L373" s="44"/>
      <c r="M373" s="44"/>
      <c r="N373" s="44"/>
    </row>
    <row r="374" ht="15.75" customHeight="1">
      <c r="A374" s="41"/>
      <c r="B374" s="42"/>
      <c r="C374" s="42"/>
      <c r="D374" s="42"/>
      <c r="E374" s="42"/>
      <c r="F374" s="42"/>
      <c r="G374" s="43" t="str">
        <f t="array" ref="G374">IF(F374="","",IFERROR(INDEX(Lists!$R:$R,MATCH(F374,Lists!$Q:$Q,0)),"Check Format"))</f>
        <v/>
      </c>
      <c r="H374" s="42"/>
      <c r="I374" s="44"/>
      <c r="J374" s="44"/>
      <c r="K374" s="44"/>
      <c r="L374" s="44"/>
      <c r="M374" s="44"/>
      <c r="N374" s="44"/>
    </row>
    <row r="375" ht="15.75" customHeight="1">
      <c r="A375" s="41"/>
      <c r="B375" s="42"/>
      <c r="C375" s="42"/>
      <c r="D375" s="42"/>
      <c r="E375" s="42"/>
      <c r="F375" s="42"/>
      <c r="G375" s="43" t="str">
        <f t="array" ref="G375">IF(F375="","",IFERROR(INDEX(Lists!$R:$R,MATCH(F375,Lists!$Q:$Q,0)),"Check Format"))</f>
        <v/>
      </c>
      <c r="H375" s="42"/>
      <c r="I375" s="44"/>
      <c r="J375" s="44"/>
      <c r="K375" s="44"/>
      <c r="L375" s="44"/>
      <c r="M375" s="44"/>
      <c r="N375" s="44"/>
    </row>
    <row r="376" ht="15.75" customHeight="1">
      <c r="A376" s="41"/>
      <c r="B376" s="42"/>
      <c r="C376" s="42"/>
      <c r="D376" s="42"/>
      <c r="E376" s="42"/>
      <c r="F376" s="42"/>
      <c r="G376" s="43" t="str">
        <f t="array" ref="G376">IF(F376="","",IFERROR(INDEX(Lists!$R:$R,MATCH(F376,Lists!$Q:$Q,0)),"Check Format"))</f>
        <v/>
      </c>
      <c r="H376" s="42"/>
      <c r="I376" s="44"/>
      <c r="J376" s="44"/>
      <c r="K376" s="44"/>
      <c r="L376" s="44"/>
      <c r="M376" s="44"/>
      <c r="N376" s="44"/>
    </row>
    <row r="377" ht="15.75" customHeight="1">
      <c r="A377" s="41"/>
      <c r="B377" s="42"/>
      <c r="C377" s="42"/>
      <c r="D377" s="42"/>
      <c r="E377" s="42"/>
      <c r="F377" s="42"/>
      <c r="G377" s="43" t="str">
        <f t="array" ref="G377">IF(F377="","",IFERROR(INDEX(Lists!$R:$R,MATCH(F377,Lists!$Q:$Q,0)),"Check Format"))</f>
        <v/>
      </c>
      <c r="H377" s="42"/>
      <c r="I377" s="44"/>
      <c r="J377" s="44"/>
      <c r="K377" s="44"/>
      <c r="L377" s="44"/>
      <c r="M377" s="44"/>
      <c r="N377" s="44"/>
    </row>
    <row r="378" ht="15.75" customHeight="1">
      <c r="A378" s="41"/>
      <c r="B378" s="42"/>
      <c r="C378" s="42"/>
      <c r="D378" s="42"/>
      <c r="E378" s="42"/>
      <c r="F378" s="42"/>
      <c r="G378" s="43" t="str">
        <f t="array" ref="G378">IF(F378="","",IFERROR(INDEX(Lists!$R:$R,MATCH(F378,Lists!$Q:$Q,0)),"Check Format"))</f>
        <v/>
      </c>
      <c r="H378" s="42"/>
      <c r="I378" s="44"/>
      <c r="J378" s="44"/>
      <c r="K378" s="44"/>
      <c r="L378" s="44"/>
      <c r="M378" s="44"/>
      <c r="N378" s="44"/>
    </row>
    <row r="379" ht="15.75" customHeight="1">
      <c r="A379" s="41"/>
      <c r="B379" s="42"/>
      <c r="C379" s="42"/>
      <c r="D379" s="42"/>
      <c r="E379" s="42"/>
      <c r="F379" s="42"/>
      <c r="G379" s="43" t="str">
        <f t="array" ref="G379">IF(F379="","",IFERROR(INDEX(Lists!$R:$R,MATCH(F379,Lists!$Q:$Q,0)),"Check Format"))</f>
        <v/>
      </c>
      <c r="H379" s="42"/>
      <c r="I379" s="44"/>
      <c r="J379" s="44"/>
      <c r="K379" s="44"/>
      <c r="L379" s="44"/>
      <c r="M379" s="44"/>
      <c r="N379" s="44"/>
    </row>
    <row r="380" ht="15.75" customHeight="1">
      <c r="A380" s="41"/>
      <c r="B380" s="42"/>
      <c r="C380" s="42"/>
      <c r="D380" s="42"/>
      <c r="E380" s="42"/>
      <c r="F380" s="42"/>
      <c r="G380" s="43" t="str">
        <f t="array" ref="G380">IF(F380="","",IFERROR(INDEX(Lists!$R:$R,MATCH(F380,Lists!$Q:$Q,0)),"Check Format"))</f>
        <v/>
      </c>
      <c r="H380" s="42"/>
      <c r="I380" s="44"/>
      <c r="J380" s="44"/>
      <c r="K380" s="44"/>
      <c r="L380" s="44"/>
      <c r="M380" s="44"/>
      <c r="N380" s="44"/>
    </row>
    <row r="381" ht="15.75" customHeight="1">
      <c r="A381" s="41"/>
      <c r="B381" s="42"/>
      <c r="C381" s="42"/>
      <c r="D381" s="42"/>
      <c r="E381" s="42"/>
      <c r="F381" s="42"/>
      <c r="G381" s="43" t="str">
        <f t="array" ref="G381">IF(F381="","",IFERROR(INDEX(Lists!$R:$R,MATCH(F381,Lists!$Q:$Q,0)),"Check Format"))</f>
        <v/>
      </c>
      <c r="H381" s="42"/>
      <c r="I381" s="44"/>
      <c r="J381" s="44"/>
      <c r="K381" s="44"/>
      <c r="L381" s="44"/>
      <c r="M381" s="44"/>
      <c r="N381" s="44"/>
    </row>
    <row r="382" ht="15.75" customHeight="1">
      <c r="A382" s="41"/>
      <c r="B382" s="42"/>
      <c r="C382" s="42"/>
      <c r="D382" s="42"/>
      <c r="E382" s="42"/>
      <c r="F382" s="42"/>
      <c r="G382" s="43" t="str">
        <f t="array" ref="G382">IF(F382="","",IFERROR(INDEX(Lists!$R:$R,MATCH(F382,Lists!$Q:$Q,0)),"Check Format"))</f>
        <v/>
      </c>
      <c r="H382" s="42"/>
      <c r="I382" s="44"/>
      <c r="J382" s="44"/>
      <c r="K382" s="44"/>
      <c r="L382" s="44"/>
      <c r="M382" s="44"/>
      <c r="N382" s="44"/>
    </row>
    <row r="383" ht="15.75" customHeight="1">
      <c r="A383" s="41"/>
      <c r="B383" s="42"/>
      <c r="C383" s="42"/>
      <c r="D383" s="42"/>
      <c r="E383" s="42"/>
      <c r="F383" s="42"/>
      <c r="G383" s="43" t="str">
        <f t="array" ref="G383">IF(F383="","",IFERROR(INDEX(Lists!$R:$R,MATCH(F383,Lists!$Q:$Q,0)),"Check Format"))</f>
        <v/>
      </c>
      <c r="H383" s="42"/>
      <c r="I383" s="44"/>
      <c r="J383" s="44"/>
      <c r="K383" s="44"/>
      <c r="L383" s="44"/>
      <c r="M383" s="44"/>
      <c r="N383" s="44"/>
    </row>
    <row r="384" ht="15.75" customHeight="1">
      <c r="A384" s="41"/>
      <c r="B384" s="42"/>
      <c r="C384" s="42"/>
      <c r="D384" s="42"/>
      <c r="E384" s="42"/>
      <c r="F384" s="42"/>
      <c r="G384" s="43" t="str">
        <f t="array" ref="G384">IF(F384="","",IFERROR(INDEX(Lists!$R:$R,MATCH(F384,Lists!$Q:$Q,0)),"Check Format"))</f>
        <v/>
      </c>
      <c r="H384" s="42"/>
      <c r="I384" s="44"/>
      <c r="J384" s="44"/>
      <c r="K384" s="44"/>
      <c r="L384" s="44"/>
      <c r="M384" s="44"/>
      <c r="N384" s="44"/>
    </row>
    <row r="385" ht="15.75" customHeight="1">
      <c r="A385" s="41"/>
      <c r="B385" s="42"/>
      <c r="C385" s="42"/>
      <c r="D385" s="42"/>
      <c r="E385" s="42"/>
      <c r="F385" s="42"/>
      <c r="G385" s="43" t="str">
        <f t="array" ref="G385">IF(F385="","",IFERROR(INDEX(Lists!$R:$R,MATCH(F385,Lists!$Q:$Q,0)),"Check Format"))</f>
        <v/>
      </c>
      <c r="H385" s="42"/>
      <c r="I385" s="44"/>
      <c r="J385" s="44"/>
      <c r="K385" s="44"/>
      <c r="L385" s="44"/>
      <c r="M385" s="44"/>
      <c r="N385" s="44"/>
    </row>
    <row r="386" ht="15.75" customHeight="1">
      <c r="A386" s="41"/>
      <c r="B386" s="42"/>
      <c r="C386" s="42"/>
      <c r="D386" s="42"/>
      <c r="E386" s="42"/>
      <c r="F386" s="42"/>
      <c r="G386" s="43" t="str">
        <f t="array" ref="G386">IF(F386="","",IFERROR(INDEX(Lists!$R:$R,MATCH(F386,Lists!$Q:$Q,0)),"Check Format"))</f>
        <v/>
      </c>
      <c r="H386" s="42"/>
      <c r="I386" s="44"/>
      <c r="J386" s="44"/>
      <c r="K386" s="44"/>
      <c r="L386" s="44"/>
      <c r="M386" s="44"/>
      <c r="N386" s="44"/>
    </row>
    <row r="387" ht="15.75" customHeight="1">
      <c r="A387" s="41"/>
      <c r="B387" s="42"/>
      <c r="C387" s="42"/>
      <c r="D387" s="42"/>
      <c r="E387" s="42"/>
      <c r="F387" s="42"/>
      <c r="G387" s="43" t="str">
        <f t="array" ref="G387">IF(F387="","",IFERROR(INDEX(Lists!$R:$R,MATCH(F387,Lists!$Q:$Q,0)),"Check Format"))</f>
        <v/>
      </c>
      <c r="H387" s="42"/>
      <c r="I387" s="44"/>
      <c r="J387" s="44"/>
      <c r="K387" s="44"/>
      <c r="L387" s="44"/>
      <c r="M387" s="44"/>
      <c r="N387" s="44"/>
    </row>
    <row r="388" ht="15.75" customHeight="1">
      <c r="A388" s="41"/>
      <c r="B388" s="42"/>
      <c r="C388" s="42"/>
      <c r="D388" s="42"/>
      <c r="E388" s="42"/>
      <c r="F388" s="42"/>
      <c r="G388" s="43" t="str">
        <f t="array" ref="G388">IF(F388="","",IFERROR(INDEX(Lists!$R:$R,MATCH(F388,Lists!$Q:$Q,0)),"Check Format"))</f>
        <v/>
      </c>
      <c r="H388" s="42"/>
      <c r="I388" s="44"/>
      <c r="J388" s="44"/>
      <c r="K388" s="44"/>
      <c r="L388" s="44"/>
      <c r="M388" s="44"/>
      <c r="N388" s="44"/>
    </row>
    <row r="389" ht="15.75" customHeight="1">
      <c r="A389" s="41"/>
      <c r="B389" s="42"/>
      <c r="C389" s="42"/>
      <c r="D389" s="42"/>
      <c r="E389" s="42"/>
      <c r="F389" s="42"/>
      <c r="G389" s="43" t="str">
        <f t="array" ref="G389">IF(F389="","",IFERROR(INDEX(Lists!$R:$R,MATCH(F389,Lists!$Q:$Q,0)),"Check Format"))</f>
        <v/>
      </c>
      <c r="H389" s="42"/>
      <c r="I389" s="44"/>
      <c r="J389" s="44"/>
      <c r="K389" s="44"/>
      <c r="L389" s="44"/>
      <c r="M389" s="44"/>
      <c r="N389" s="44"/>
    </row>
    <row r="390" ht="15.75" customHeight="1">
      <c r="A390" s="41"/>
      <c r="B390" s="42"/>
      <c r="C390" s="42"/>
      <c r="D390" s="42"/>
      <c r="E390" s="42"/>
      <c r="F390" s="42"/>
      <c r="G390" s="43" t="str">
        <f t="array" ref="G390">IF(F390="","",IFERROR(INDEX(Lists!$R:$R,MATCH(F390,Lists!$Q:$Q,0)),"Check Format"))</f>
        <v/>
      </c>
      <c r="H390" s="42"/>
      <c r="I390" s="44"/>
      <c r="J390" s="44"/>
      <c r="K390" s="44"/>
      <c r="L390" s="44"/>
      <c r="M390" s="44"/>
      <c r="N390" s="44"/>
    </row>
    <row r="391" ht="15.75" customHeight="1">
      <c r="A391" s="41"/>
      <c r="B391" s="42"/>
      <c r="C391" s="42"/>
      <c r="D391" s="42"/>
      <c r="E391" s="42"/>
      <c r="F391" s="42"/>
      <c r="G391" s="43" t="str">
        <f t="array" ref="G391">IF(F391="","",IFERROR(INDEX(Lists!$R:$R,MATCH(F391,Lists!$Q:$Q,0)),"Check Format"))</f>
        <v/>
      </c>
      <c r="H391" s="42"/>
      <c r="I391" s="44"/>
      <c r="J391" s="44"/>
      <c r="K391" s="44"/>
      <c r="L391" s="44"/>
      <c r="M391" s="44"/>
      <c r="N391" s="44"/>
    </row>
    <row r="392" ht="15.75" customHeight="1">
      <c r="A392" s="41"/>
      <c r="B392" s="42"/>
      <c r="C392" s="42"/>
      <c r="D392" s="42"/>
      <c r="E392" s="42"/>
      <c r="F392" s="42"/>
      <c r="G392" s="43" t="str">
        <f t="array" ref="G392">IF(F392="","",IFERROR(INDEX(Lists!$R:$R,MATCH(F392,Lists!$Q:$Q,0)),"Check Format"))</f>
        <v/>
      </c>
      <c r="H392" s="42"/>
      <c r="I392" s="44"/>
      <c r="J392" s="44"/>
      <c r="K392" s="44"/>
      <c r="L392" s="44"/>
      <c r="M392" s="44"/>
      <c r="N392" s="44"/>
    </row>
    <row r="393" ht="15.75" customHeight="1">
      <c r="A393" s="41"/>
      <c r="B393" s="42"/>
      <c r="C393" s="42"/>
      <c r="D393" s="42"/>
      <c r="E393" s="42"/>
      <c r="F393" s="42"/>
      <c r="G393" s="43" t="str">
        <f t="array" ref="G393">IF(F393="","",IFERROR(INDEX(Lists!$R:$R,MATCH(F393,Lists!$Q:$Q,0)),"Check Format"))</f>
        <v/>
      </c>
      <c r="H393" s="42"/>
      <c r="I393" s="44"/>
      <c r="J393" s="44"/>
      <c r="K393" s="44"/>
      <c r="L393" s="44"/>
      <c r="M393" s="44"/>
      <c r="N393" s="44"/>
    </row>
    <row r="394" ht="15.75" customHeight="1">
      <c r="A394" s="41"/>
      <c r="B394" s="42"/>
      <c r="C394" s="42"/>
      <c r="D394" s="42"/>
      <c r="E394" s="42"/>
      <c r="F394" s="42"/>
      <c r="G394" s="43" t="str">
        <f t="array" ref="G394">IF(F394="","",IFERROR(INDEX(Lists!$R:$R,MATCH(F394,Lists!$Q:$Q,0)),"Check Format"))</f>
        <v/>
      </c>
      <c r="H394" s="42"/>
      <c r="I394" s="44"/>
      <c r="J394" s="44"/>
      <c r="K394" s="44"/>
      <c r="L394" s="44"/>
      <c r="M394" s="44"/>
      <c r="N394" s="44"/>
    </row>
    <row r="395" ht="15.75" customHeight="1">
      <c r="A395" s="41"/>
      <c r="B395" s="42"/>
      <c r="C395" s="42"/>
      <c r="D395" s="42"/>
      <c r="E395" s="42"/>
      <c r="F395" s="42"/>
      <c r="G395" s="43" t="str">
        <f t="array" ref="G395">IF(F395="","",IFERROR(INDEX(Lists!$R:$R,MATCH(F395,Lists!$Q:$Q,0)),"Check Format"))</f>
        <v/>
      </c>
      <c r="H395" s="42"/>
      <c r="I395" s="44"/>
      <c r="J395" s="44"/>
      <c r="K395" s="44"/>
      <c r="L395" s="44"/>
      <c r="M395" s="44"/>
      <c r="N395" s="44"/>
    </row>
    <row r="396" ht="15.75" customHeight="1">
      <c r="A396" s="41"/>
      <c r="B396" s="42"/>
      <c r="C396" s="42"/>
      <c r="D396" s="42"/>
      <c r="E396" s="42"/>
      <c r="F396" s="42"/>
      <c r="G396" s="43" t="str">
        <f t="array" ref="G396">IF(F396="","",IFERROR(INDEX(Lists!$R:$R,MATCH(F396,Lists!$Q:$Q,0)),"Check Format"))</f>
        <v/>
      </c>
      <c r="H396" s="42"/>
      <c r="I396" s="44"/>
      <c r="J396" s="44"/>
      <c r="K396" s="44"/>
      <c r="L396" s="44"/>
      <c r="M396" s="44"/>
      <c r="N396" s="44"/>
    </row>
    <row r="397" ht="15.75" customHeight="1">
      <c r="A397" s="41"/>
      <c r="B397" s="42"/>
      <c r="C397" s="42"/>
      <c r="D397" s="42"/>
      <c r="E397" s="42"/>
      <c r="F397" s="42"/>
      <c r="G397" s="43" t="str">
        <f t="array" ref="G397">IF(F397="","",IFERROR(INDEX(Lists!$R:$R,MATCH(F397,Lists!$Q:$Q,0)),"Check Format"))</f>
        <v/>
      </c>
      <c r="H397" s="42"/>
      <c r="I397" s="44"/>
      <c r="J397" s="44"/>
      <c r="K397" s="44"/>
      <c r="L397" s="44"/>
      <c r="M397" s="44"/>
      <c r="N397" s="44"/>
    </row>
    <row r="398" ht="15.75" customHeight="1">
      <c r="A398" s="41"/>
      <c r="B398" s="42"/>
      <c r="C398" s="42"/>
      <c r="D398" s="42"/>
      <c r="E398" s="42"/>
      <c r="F398" s="42"/>
      <c r="G398" s="43" t="str">
        <f t="array" ref="G398">IF(F398="","",IFERROR(INDEX(Lists!$R:$R,MATCH(F398,Lists!$Q:$Q,0)),"Check Format"))</f>
        <v/>
      </c>
      <c r="H398" s="42"/>
      <c r="I398" s="44"/>
      <c r="J398" s="44"/>
      <c r="K398" s="44"/>
      <c r="L398" s="44"/>
      <c r="M398" s="44"/>
      <c r="N398" s="44"/>
    </row>
    <row r="399" ht="15.75" customHeight="1">
      <c r="A399" s="41"/>
      <c r="B399" s="42"/>
      <c r="C399" s="42"/>
      <c r="D399" s="42"/>
      <c r="E399" s="42"/>
      <c r="F399" s="42"/>
      <c r="G399" s="43" t="str">
        <f t="array" ref="G399">IF(F399="","",IFERROR(INDEX(Lists!$R:$R,MATCH(F399,Lists!$Q:$Q,0)),"Check Format"))</f>
        <v/>
      </c>
      <c r="H399" s="42"/>
      <c r="I399" s="44"/>
      <c r="J399" s="44"/>
      <c r="K399" s="44"/>
      <c r="L399" s="44"/>
      <c r="M399" s="44"/>
      <c r="N399" s="44"/>
    </row>
    <row r="400" ht="15.75" customHeight="1">
      <c r="A400" s="41"/>
      <c r="B400" s="42"/>
      <c r="C400" s="42"/>
      <c r="D400" s="42"/>
      <c r="E400" s="42"/>
      <c r="F400" s="42"/>
      <c r="G400" s="43" t="str">
        <f t="array" ref="G400">IF(F400="","",IFERROR(INDEX(Lists!$R:$R,MATCH(F400,Lists!$Q:$Q,0)),"Check Format"))</f>
        <v/>
      </c>
      <c r="H400" s="42"/>
      <c r="I400" s="44"/>
      <c r="J400" s="44"/>
      <c r="K400" s="44"/>
      <c r="L400" s="44"/>
      <c r="M400" s="44"/>
      <c r="N400" s="44"/>
    </row>
    <row r="401" ht="15.75" customHeight="1">
      <c r="A401" s="41"/>
      <c r="B401" s="42"/>
      <c r="C401" s="42"/>
      <c r="D401" s="42"/>
      <c r="E401" s="42"/>
      <c r="F401" s="42"/>
      <c r="G401" s="43" t="str">
        <f t="array" ref="G401">IF(F401="","",IFERROR(INDEX(Lists!$R:$R,MATCH(F401,Lists!$Q:$Q,0)),"Check Format"))</f>
        <v/>
      </c>
      <c r="H401" s="42"/>
      <c r="I401" s="44"/>
      <c r="J401" s="44"/>
      <c r="K401" s="44"/>
      <c r="L401" s="44"/>
      <c r="M401" s="44"/>
      <c r="N401" s="44"/>
    </row>
    <row r="402" ht="15.75" customHeight="1">
      <c r="A402" s="41"/>
      <c r="B402" s="42"/>
      <c r="C402" s="42"/>
      <c r="D402" s="42"/>
      <c r="E402" s="42"/>
      <c r="F402" s="42"/>
      <c r="G402" s="43" t="str">
        <f t="array" ref="G402">IF(F402="","",IFERROR(INDEX(Lists!$R:$R,MATCH(F402,Lists!$Q:$Q,0)),"Check Format"))</f>
        <v/>
      </c>
      <c r="H402" s="42"/>
      <c r="I402" s="44"/>
      <c r="J402" s="44"/>
      <c r="K402" s="44"/>
      <c r="L402" s="44"/>
      <c r="M402" s="44"/>
      <c r="N402" s="44"/>
    </row>
    <row r="403" ht="15.75" customHeight="1">
      <c r="A403" s="41"/>
      <c r="B403" s="42"/>
      <c r="C403" s="42"/>
      <c r="D403" s="42"/>
      <c r="E403" s="42"/>
      <c r="F403" s="42"/>
      <c r="G403" s="43" t="str">
        <f t="array" ref="G403">IF(F403="","",IFERROR(INDEX(Lists!$R:$R,MATCH(F403,Lists!$Q:$Q,0)),"Check Format"))</f>
        <v/>
      </c>
      <c r="H403" s="42"/>
      <c r="I403" s="44"/>
      <c r="J403" s="44"/>
      <c r="K403" s="44"/>
      <c r="L403" s="44"/>
      <c r="M403" s="44"/>
      <c r="N403" s="44"/>
    </row>
    <row r="404" ht="15.75" customHeight="1">
      <c r="A404" s="41"/>
      <c r="B404" s="42"/>
      <c r="C404" s="42"/>
      <c r="D404" s="42"/>
      <c r="E404" s="42"/>
      <c r="F404" s="42"/>
      <c r="G404" s="43" t="str">
        <f t="array" ref="G404">IF(F404="","",IFERROR(INDEX(Lists!$R:$R,MATCH(F404,Lists!$Q:$Q,0)),"Check Format"))</f>
        <v/>
      </c>
      <c r="H404" s="42"/>
      <c r="I404" s="44"/>
      <c r="J404" s="44"/>
      <c r="K404" s="44"/>
      <c r="L404" s="44"/>
      <c r="M404" s="44"/>
      <c r="N404" s="44"/>
    </row>
    <row r="405" ht="15.75" customHeight="1">
      <c r="A405" s="41"/>
      <c r="B405" s="42"/>
      <c r="C405" s="42"/>
      <c r="D405" s="42"/>
      <c r="E405" s="42"/>
      <c r="F405" s="42"/>
      <c r="G405" s="43" t="str">
        <f t="array" ref="G405">IF(F405="","",IFERROR(INDEX(Lists!$R:$R,MATCH(F405,Lists!$Q:$Q,0)),"Check Format"))</f>
        <v/>
      </c>
      <c r="H405" s="42"/>
      <c r="I405" s="44"/>
      <c r="J405" s="44"/>
      <c r="K405" s="44"/>
      <c r="L405" s="44"/>
      <c r="M405" s="44"/>
      <c r="N405" s="44"/>
    </row>
    <row r="406" ht="15.75" customHeight="1">
      <c r="A406" s="41"/>
      <c r="B406" s="42"/>
      <c r="C406" s="42"/>
      <c r="D406" s="42"/>
      <c r="E406" s="42"/>
      <c r="F406" s="42"/>
      <c r="G406" s="43" t="str">
        <f t="array" ref="G406">IF(F406="","",IFERROR(INDEX(Lists!$R:$R,MATCH(F406,Lists!$Q:$Q,0)),"Check Format"))</f>
        <v/>
      </c>
      <c r="H406" s="42"/>
      <c r="I406" s="44"/>
      <c r="J406" s="44"/>
      <c r="K406" s="44"/>
      <c r="L406" s="44"/>
      <c r="M406" s="44"/>
      <c r="N406" s="44"/>
    </row>
    <row r="407" ht="15.75" customHeight="1">
      <c r="A407" s="41"/>
      <c r="B407" s="42"/>
      <c r="C407" s="42"/>
      <c r="D407" s="42"/>
      <c r="E407" s="42"/>
      <c r="F407" s="42"/>
      <c r="G407" s="43" t="str">
        <f t="array" ref="G407">IF(F407="","",IFERROR(INDEX(Lists!$R:$R,MATCH(F407,Lists!$Q:$Q,0)),"Check Format"))</f>
        <v/>
      </c>
      <c r="H407" s="42"/>
      <c r="I407" s="44"/>
      <c r="J407" s="44"/>
      <c r="K407" s="44"/>
      <c r="L407" s="44"/>
      <c r="M407" s="44"/>
      <c r="N407" s="44"/>
    </row>
    <row r="408" ht="15.75" customHeight="1">
      <c r="A408" s="41"/>
      <c r="B408" s="42"/>
      <c r="C408" s="42"/>
      <c r="D408" s="42"/>
      <c r="E408" s="42"/>
      <c r="F408" s="42"/>
      <c r="G408" s="43" t="str">
        <f t="array" ref="G408">IF(F408="","",IFERROR(INDEX(Lists!$R:$R,MATCH(F408,Lists!$Q:$Q,0)),"Check Format"))</f>
        <v/>
      </c>
      <c r="H408" s="42"/>
      <c r="I408" s="44"/>
      <c r="J408" s="44"/>
      <c r="K408" s="44"/>
      <c r="L408" s="44"/>
      <c r="M408" s="44"/>
      <c r="N408" s="44"/>
    </row>
    <row r="409" ht="15.75" customHeight="1">
      <c r="A409" s="41"/>
      <c r="B409" s="42"/>
      <c r="C409" s="42"/>
      <c r="D409" s="42"/>
      <c r="E409" s="42"/>
      <c r="F409" s="42"/>
      <c r="G409" s="43" t="str">
        <f t="array" ref="G409">IF(F409="","",IFERROR(INDEX(Lists!$R:$R,MATCH(F409,Lists!$Q:$Q,0)),"Check Format"))</f>
        <v/>
      </c>
      <c r="H409" s="42"/>
      <c r="I409" s="44"/>
      <c r="J409" s="44"/>
      <c r="K409" s="44"/>
      <c r="L409" s="44"/>
      <c r="M409" s="44"/>
      <c r="N409" s="44"/>
    </row>
    <row r="410" ht="15.75" customHeight="1">
      <c r="A410" s="41"/>
      <c r="B410" s="42"/>
      <c r="C410" s="42"/>
      <c r="D410" s="42"/>
      <c r="E410" s="42"/>
      <c r="F410" s="42"/>
      <c r="G410" s="43" t="str">
        <f t="array" ref="G410">IF(F410="","",IFERROR(INDEX(Lists!$R:$R,MATCH(F410,Lists!$Q:$Q,0)),"Check Format"))</f>
        <v/>
      </c>
      <c r="H410" s="42"/>
      <c r="I410" s="44"/>
      <c r="J410" s="44"/>
      <c r="K410" s="44"/>
      <c r="L410" s="44"/>
      <c r="M410" s="44"/>
      <c r="N410" s="44"/>
    </row>
    <row r="411" ht="15.75" customHeight="1">
      <c r="A411" s="41"/>
      <c r="B411" s="42"/>
      <c r="C411" s="42"/>
      <c r="D411" s="42"/>
      <c r="E411" s="42"/>
      <c r="F411" s="42"/>
      <c r="G411" s="43" t="str">
        <f t="array" ref="G411">IF(F411="","",IFERROR(INDEX(Lists!$R:$R,MATCH(F411,Lists!$Q:$Q,0)),"Check Format"))</f>
        <v/>
      </c>
      <c r="H411" s="42"/>
      <c r="I411" s="44"/>
      <c r="J411" s="44"/>
      <c r="K411" s="44"/>
      <c r="L411" s="44"/>
      <c r="M411" s="44"/>
      <c r="N411" s="44"/>
    </row>
    <row r="412" ht="15.75" customHeight="1">
      <c r="A412" s="41"/>
      <c r="B412" s="42"/>
      <c r="C412" s="42"/>
      <c r="D412" s="42"/>
      <c r="E412" s="42"/>
      <c r="F412" s="42"/>
      <c r="G412" s="43" t="str">
        <f t="array" ref="G412">IF(F412="","",IFERROR(INDEX(Lists!$R:$R,MATCH(F412,Lists!$Q:$Q,0)),"Check Format"))</f>
        <v/>
      </c>
      <c r="H412" s="42"/>
      <c r="I412" s="44"/>
      <c r="J412" s="44"/>
      <c r="K412" s="44"/>
      <c r="L412" s="44"/>
      <c r="M412" s="44"/>
      <c r="N412" s="44"/>
    </row>
    <row r="413" ht="15.75" customHeight="1">
      <c r="A413" s="41"/>
      <c r="B413" s="42"/>
      <c r="C413" s="42"/>
      <c r="D413" s="42"/>
      <c r="E413" s="42"/>
      <c r="F413" s="42"/>
      <c r="G413" s="43" t="str">
        <f t="array" ref="G413">IF(F413="","",IFERROR(INDEX(Lists!$R:$R,MATCH(F413,Lists!$Q:$Q,0)),"Check Format"))</f>
        <v/>
      </c>
      <c r="H413" s="42"/>
      <c r="I413" s="44"/>
      <c r="J413" s="44"/>
      <c r="K413" s="44"/>
      <c r="L413" s="44"/>
      <c r="M413" s="44"/>
      <c r="N413" s="44"/>
    </row>
    <row r="414" ht="15.75" customHeight="1">
      <c r="A414" s="41"/>
      <c r="B414" s="42"/>
      <c r="C414" s="42"/>
      <c r="D414" s="42"/>
      <c r="E414" s="42"/>
      <c r="F414" s="42"/>
      <c r="G414" s="43" t="str">
        <f t="array" ref="G414">IF(F414="","",IFERROR(INDEX(Lists!$R:$R,MATCH(F414,Lists!$Q:$Q,0)),"Check Format"))</f>
        <v/>
      </c>
      <c r="H414" s="42"/>
      <c r="I414" s="44"/>
      <c r="J414" s="44"/>
      <c r="K414" s="44"/>
      <c r="L414" s="44"/>
      <c r="M414" s="44"/>
      <c r="N414" s="44"/>
    </row>
    <row r="415" ht="15.75" customHeight="1">
      <c r="A415" s="41"/>
      <c r="B415" s="42"/>
      <c r="C415" s="42"/>
      <c r="D415" s="42"/>
      <c r="E415" s="42"/>
      <c r="F415" s="42"/>
      <c r="G415" s="43" t="str">
        <f t="array" ref="G415">IF(F415="","",IFERROR(INDEX(Lists!$R:$R,MATCH(F415,Lists!$Q:$Q,0)),"Check Format"))</f>
        <v/>
      </c>
      <c r="H415" s="42"/>
      <c r="I415" s="44"/>
      <c r="J415" s="44"/>
      <c r="K415" s="44"/>
      <c r="L415" s="44"/>
      <c r="M415" s="44"/>
      <c r="N415" s="44"/>
    </row>
    <row r="416" ht="15.75" customHeight="1">
      <c r="A416" s="41"/>
      <c r="B416" s="42"/>
      <c r="C416" s="42"/>
      <c r="D416" s="42"/>
      <c r="E416" s="42"/>
      <c r="F416" s="42"/>
      <c r="G416" s="43" t="str">
        <f t="array" ref="G416">IF(F416="","",IFERROR(INDEX(Lists!$R:$R,MATCH(F416,Lists!$Q:$Q,0)),"Check Format"))</f>
        <v/>
      </c>
      <c r="H416" s="42"/>
      <c r="I416" s="44"/>
      <c r="J416" s="44"/>
      <c r="K416" s="44"/>
      <c r="L416" s="44"/>
      <c r="M416" s="44"/>
      <c r="N416" s="44"/>
    </row>
    <row r="417" ht="15.75" customHeight="1">
      <c r="A417" s="41"/>
      <c r="B417" s="42"/>
      <c r="C417" s="42"/>
      <c r="D417" s="42"/>
      <c r="E417" s="42"/>
      <c r="F417" s="42"/>
      <c r="G417" s="43" t="str">
        <f t="array" ref="G417">IF(F417="","",IFERROR(INDEX(Lists!$R:$R,MATCH(F417,Lists!$Q:$Q,0)),"Check Format"))</f>
        <v/>
      </c>
      <c r="H417" s="42"/>
      <c r="I417" s="44"/>
      <c r="J417" s="44"/>
      <c r="K417" s="44"/>
      <c r="L417" s="44"/>
      <c r="M417" s="44"/>
      <c r="N417" s="44"/>
    </row>
    <row r="418" ht="15.75" customHeight="1">
      <c r="A418" s="41"/>
      <c r="B418" s="42"/>
      <c r="C418" s="42"/>
      <c r="D418" s="42"/>
      <c r="E418" s="42"/>
      <c r="F418" s="42"/>
      <c r="G418" s="43" t="str">
        <f t="array" ref="G418">IF(F418="","",IFERROR(INDEX(Lists!$R:$R,MATCH(F418,Lists!$Q:$Q,0)),"Check Format"))</f>
        <v/>
      </c>
      <c r="H418" s="42"/>
      <c r="I418" s="44"/>
      <c r="J418" s="44"/>
      <c r="K418" s="44"/>
      <c r="L418" s="44"/>
      <c r="M418" s="44"/>
      <c r="N418" s="44"/>
    </row>
    <row r="419" ht="15.75" customHeight="1">
      <c r="A419" s="41"/>
      <c r="B419" s="42"/>
      <c r="C419" s="42"/>
      <c r="D419" s="42"/>
      <c r="E419" s="42"/>
      <c r="F419" s="42"/>
      <c r="G419" s="43" t="str">
        <f t="array" ref="G419">IF(F419="","",IFERROR(INDEX(Lists!$R:$R,MATCH(F419,Lists!$Q:$Q,0)),"Check Format"))</f>
        <v/>
      </c>
      <c r="H419" s="42"/>
      <c r="I419" s="44"/>
      <c r="J419" s="44"/>
      <c r="K419" s="44"/>
      <c r="L419" s="44"/>
      <c r="M419" s="44"/>
      <c r="N419" s="44"/>
    </row>
    <row r="420" ht="15.75" customHeight="1">
      <c r="A420" s="41"/>
      <c r="B420" s="42"/>
      <c r="C420" s="42"/>
      <c r="D420" s="42"/>
      <c r="E420" s="42"/>
      <c r="F420" s="42"/>
      <c r="G420" s="43" t="str">
        <f t="array" ref="G420">IF(F420="","",IFERROR(INDEX(Lists!$R:$R,MATCH(F420,Lists!$Q:$Q,0)),"Check Format"))</f>
        <v/>
      </c>
      <c r="H420" s="42"/>
      <c r="I420" s="44"/>
      <c r="J420" s="44"/>
      <c r="K420" s="44"/>
      <c r="L420" s="44"/>
      <c r="M420" s="44"/>
      <c r="N420" s="44"/>
    </row>
    <row r="421" ht="15.75" customHeight="1">
      <c r="A421" s="41"/>
      <c r="B421" s="42"/>
      <c r="C421" s="42"/>
      <c r="D421" s="42"/>
      <c r="E421" s="42"/>
      <c r="F421" s="42"/>
      <c r="G421" s="43" t="str">
        <f t="array" ref="G421">IF(F421="","",IFERROR(INDEX(Lists!$R:$R,MATCH(F421,Lists!$Q:$Q,0)),"Check Format"))</f>
        <v/>
      </c>
      <c r="H421" s="42"/>
      <c r="I421" s="44"/>
      <c r="J421" s="44"/>
      <c r="K421" s="44"/>
      <c r="L421" s="44"/>
      <c r="M421" s="44"/>
      <c r="N421" s="44"/>
    </row>
    <row r="422" ht="15.75" customHeight="1">
      <c r="A422" s="41"/>
      <c r="B422" s="42"/>
      <c r="C422" s="42"/>
      <c r="D422" s="42"/>
      <c r="E422" s="42"/>
      <c r="F422" s="42"/>
      <c r="G422" s="43" t="str">
        <f t="array" ref="G422">IF(F422="","",IFERROR(INDEX(Lists!$R:$R,MATCH(F422,Lists!$Q:$Q,0)),"Check Format"))</f>
        <v/>
      </c>
      <c r="H422" s="42"/>
      <c r="I422" s="44"/>
      <c r="J422" s="44"/>
      <c r="K422" s="44"/>
      <c r="L422" s="44"/>
      <c r="M422" s="44"/>
      <c r="N422" s="44"/>
    </row>
    <row r="423" ht="15.75" customHeight="1">
      <c r="A423" s="41"/>
      <c r="B423" s="42"/>
      <c r="C423" s="42"/>
      <c r="D423" s="42"/>
      <c r="E423" s="42"/>
      <c r="F423" s="42"/>
      <c r="G423" s="43" t="str">
        <f t="array" ref="G423">IF(F423="","",IFERROR(INDEX(Lists!$R:$R,MATCH(F423,Lists!$Q:$Q,0)),"Check Format"))</f>
        <v/>
      </c>
      <c r="H423" s="42"/>
      <c r="I423" s="44"/>
      <c r="J423" s="44"/>
      <c r="K423" s="44"/>
      <c r="L423" s="44"/>
      <c r="M423" s="44"/>
      <c r="N423" s="44"/>
    </row>
    <row r="424" ht="15.75" customHeight="1">
      <c r="A424" s="41"/>
      <c r="B424" s="42"/>
      <c r="C424" s="42"/>
      <c r="D424" s="42"/>
      <c r="E424" s="42"/>
      <c r="F424" s="42"/>
      <c r="G424" s="43" t="str">
        <f t="array" ref="G424">IF(F424="","",IFERROR(INDEX(Lists!$R:$R,MATCH(F424,Lists!$Q:$Q,0)),"Check Format"))</f>
        <v/>
      </c>
      <c r="H424" s="42"/>
      <c r="I424" s="44"/>
      <c r="J424" s="44"/>
      <c r="K424" s="44"/>
      <c r="L424" s="44"/>
      <c r="M424" s="44"/>
      <c r="N424" s="44"/>
    </row>
    <row r="425" ht="15.75" customHeight="1">
      <c r="A425" s="41"/>
      <c r="B425" s="42"/>
      <c r="C425" s="42"/>
      <c r="D425" s="42"/>
      <c r="E425" s="42"/>
      <c r="F425" s="42"/>
      <c r="G425" s="43" t="str">
        <f t="array" ref="G425">IF(F425="","",IFERROR(INDEX(Lists!$R:$R,MATCH(F425,Lists!$Q:$Q,0)),"Check Format"))</f>
        <v/>
      </c>
      <c r="H425" s="42"/>
      <c r="I425" s="44"/>
      <c r="J425" s="44"/>
      <c r="K425" s="44"/>
      <c r="L425" s="44"/>
      <c r="M425" s="44"/>
      <c r="N425" s="44"/>
    </row>
    <row r="426" ht="15.75" customHeight="1">
      <c r="A426" s="41"/>
      <c r="B426" s="42"/>
      <c r="C426" s="42"/>
      <c r="D426" s="42"/>
      <c r="E426" s="42"/>
      <c r="F426" s="42"/>
      <c r="G426" s="43" t="str">
        <f t="array" ref="G426">IF(F426="","",IFERROR(INDEX(Lists!$R:$R,MATCH(F426,Lists!$Q:$Q,0)),"Check Format"))</f>
        <v/>
      </c>
      <c r="H426" s="42"/>
      <c r="I426" s="44"/>
      <c r="J426" s="44"/>
      <c r="K426" s="44"/>
      <c r="L426" s="44"/>
      <c r="M426" s="44"/>
      <c r="N426" s="44"/>
    </row>
    <row r="427" ht="15.75" customHeight="1">
      <c r="A427" s="41"/>
      <c r="B427" s="42"/>
      <c r="C427" s="42"/>
      <c r="D427" s="42"/>
      <c r="E427" s="42"/>
      <c r="F427" s="42"/>
      <c r="G427" s="43" t="str">
        <f t="array" ref="G427">IF(F427="","",IFERROR(INDEX(Lists!$R:$R,MATCH(F427,Lists!$Q:$Q,0)),"Check Format"))</f>
        <v/>
      </c>
      <c r="H427" s="42"/>
      <c r="I427" s="44"/>
      <c r="J427" s="44"/>
      <c r="K427" s="44"/>
      <c r="L427" s="44"/>
      <c r="M427" s="44"/>
      <c r="N427" s="44"/>
    </row>
    <row r="428" ht="15.75" customHeight="1">
      <c r="A428" s="41"/>
      <c r="B428" s="42"/>
      <c r="C428" s="42"/>
      <c r="D428" s="42"/>
      <c r="E428" s="42"/>
      <c r="F428" s="42"/>
      <c r="G428" s="43" t="str">
        <f t="array" ref="G428">IF(F428="","",IFERROR(INDEX(Lists!$R:$R,MATCH(F428,Lists!$Q:$Q,0)),"Check Format"))</f>
        <v/>
      </c>
      <c r="H428" s="42"/>
      <c r="I428" s="44"/>
      <c r="J428" s="44"/>
      <c r="K428" s="44"/>
      <c r="L428" s="44"/>
      <c r="M428" s="44"/>
      <c r="N428" s="44"/>
    </row>
    <row r="429" ht="15.75" customHeight="1">
      <c r="A429" s="41"/>
      <c r="B429" s="42"/>
      <c r="C429" s="42"/>
      <c r="D429" s="42"/>
      <c r="E429" s="42"/>
      <c r="F429" s="42"/>
      <c r="G429" s="43" t="str">
        <f t="array" ref="G429">IF(F429="","",IFERROR(INDEX(Lists!$R:$R,MATCH(F429,Lists!$Q:$Q,0)),"Check Format"))</f>
        <v/>
      </c>
      <c r="H429" s="42"/>
      <c r="I429" s="44"/>
      <c r="J429" s="44"/>
      <c r="K429" s="44"/>
      <c r="L429" s="44"/>
      <c r="M429" s="44"/>
      <c r="N429" s="44"/>
    </row>
    <row r="430" ht="15.75" customHeight="1">
      <c r="A430" s="41"/>
      <c r="B430" s="42"/>
      <c r="C430" s="42"/>
      <c r="D430" s="42"/>
      <c r="E430" s="42"/>
      <c r="F430" s="42"/>
      <c r="G430" s="43" t="str">
        <f t="array" ref="G430">IF(F430="","",IFERROR(INDEX(Lists!$R:$R,MATCH(F430,Lists!$Q:$Q,0)),"Check Format"))</f>
        <v/>
      </c>
      <c r="H430" s="42"/>
      <c r="I430" s="44"/>
      <c r="J430" s="44"/>
      <c r="K430" s="44"/>
      <c r="L430" s="44"/>
      <c r="M430" s="44"/>
      <c r="N430" s="44"/>
    </row>
    <row r="431" ht="15.75" customHeight="1">
      <c r="A431" s="41"/>
      <c r="B431" s="42"/>
      <c r="C431" s="42"/>
      <c r="D431" s="42"/>
      <c r="E431" s="42"/>
      <c r="F431" s="42"/>
      <c r="G431" s="43" t="str">
        <f t="array" ref="G431">IF(F431="","",IFERROR(INDEX(Lists!$R:$R,MATCH(F431,Lists!$Q:$Q,0)),"Check Format"))</f>
        <v/>
      </c>
      <c r="H431" s="42"/>
      <c r="I431" s="44"/>
      <c r="J431" s="44"/>
      <c r="K431" s="44"/>
      <c r="L431" s="44"/>
      <c r="M431" s="44"/>
      <c r="N431" s="44"/>
    </row>
    <row r="432" ht="15.75" customHeight="1">
      <c r="A432" s="41"/>
      <c r="B432" s="42"/>
      <c r="C432" s="42"/>
      <c r="D432" s="42"/>
      <c r="E432" s="42"/>
      <c r="F432" s="42"/>
      <c r="G432" s="43" t="str">
        <f t="array" ref="G432">IF(F432="","",IFERROR(INDEX(Lists!$R:$R,MATCH(F432,Lists!$Q:$Q,0)),"Check Format"))</f>
        <v/>
      </c>
      <c r="H432" s="42"/>
      <c r="I432" s="44"/>
      <c r="J432" s="44"/>
      <c r="K432" s="44"/>
      <c r="L432" s="44"/>
      <c r="M432" s="44"/>
      <c r="N432" s="44"/>
    </row>
    <row r="433" ht="15.75" customHeight="1">
      <c r="A433" s="41"/>
      <c r="B433" s="42"/>
      <c r="C433" s="42"/>
      <c r="D433" s="42"/>
      <c r="E433" s="42"/>
      <c r="F433" s="42"/>
      <c r="G433" s="43" t="str">
        <f t="array" ref="G433">IF(F433="","",IFERROR(INDEX(Lists!$R:$R,MATCH(F433,Lists!$Q:$Q,0)),"Check Format"))</f>
        <v/>
      </c>
      <c r="H433" s="42"/>
      <c r="I433" s="44"/>
      <c r="J433" s="44"/>
      <c r="K433" s="44"/>
      <c r="L433" s="44"/>
      <c r="M433" s="44"/>
      <c r="N433" s="44"/>
    </row>
    <row r="434" ht="15.75" customHeight="1">
      <c r="A434" s="41"/>
      <c r="B434" s="42"/>
      <c r="C434" s="42"/>
      <c r="D434" s="42"/>
      <c r="E434" s="42"/>
      <c r="F434" s="42"/>
      <c r="G434" s="43" t="str">
        <f t="array" ref="G434">IF(F434="","",IFERROR(INDEX(Lists!$R:$R,MATCH(F434,Lists!$Q:$Q,0)),"Check Format"))</f>
        <v/>
      </c>
      <c r="H434" s="42"/>
      <c r="I434" s="44"/>
      <c r="J434" s="44"/>
      <c r="K434" s="44"/>
      <c r="L434" s="44"/>
      <c r="M434" s="44"/>
      <c r="N434" s="44"/>
    </row>
    <row r="435" ht="15.75" customHeight="1">
      <c r="A435" s="41"/>
      <c r="B435" s="42"/>
      <c r="C435" s="42"/>
      <c r="D435" s="42"/>
      <c r="E435" s="42"/>
      <c r="F435" s="42"/>
      <c r="G435" s="43" t="str">
        <f t="array" ref="G435">IF(F435="","",IFERROR(INDEX(Lists!$R:$R,MATCH(F435,Lists!$Q:$Q,0)),"Check Format"))</f>
        <v/>
      </c>
      <c r="H435" s="42"/>
      <c r="I435" s="44"/>
      <c r="J435" s="44"/>
      <c r="K435" s="44"/>
      <c r="L435" s="44"/>
      <c r="M435" s="44"/>
      <c r="N435" s="44"/>
    </row>
    <row r="436" ht="15.75" customHeight="1">
      <c r="A436" s="41"/>
      <c r="B436" s="42"/>
      <c r="C436" s="42"/>
      <c r="D436" s="42"/>
      <c r="E436" s="42"/>
      <c r="F436" s="42"/>
      <c r="G436" s="43" t="str">
        <f t="array" ref="G436">IF(F436="","",IFERROR(INDEX(Lists!$R:$R,MATCH(F436,Lists!$Q:$Q,0)),"Check Format"))</f>
        <v/>
      </c>
      <c r="H436" s="42"/>
      <c r="I436" s="44"/>
      <c r="J436" s="44"/>
      <c r="K436" s="44"/>
      <c r="L436" s="44"/>
      <c r="M436" s="44"/>
      <c r="N436" s="44"/>
    </row>
    <row r="437" ht="15.75" customHeight="1">
      <c r="A437" s="41"/>
      <c r="B437" s="42"/>
      <c r="C437" s="42"/>
      <c r="D437" s="42"/>
      <c r="E437" s="42"/>
      <c r="F437" s="42"/>
      <c r="G437" s="43" t="str">
        <f t="array" ref="G437">IF(F437="","",IFERROR(INDEX(Lists!$R:$R,MATCH(F437,Lists!$Q:$Q,0)),"Check Format"))</f>
        <v/>
      </c>
      <c r="H437" s="42"/>
      <c r="I437" s="44"/>
      <c r="J437" s="44"/>
      <c r="K437" s="44"/>
      <c r="L437" s="44"/>
      <c r="M437" s="44"/>
      <c r="N437" s="44"/>
    </row>
    <row r="438" ht="15.75" customHeight="1">
      <c r="A438" s="41"/>
      <c r="B438" s="42"/>
      <c r="C438" s="42"/>
      <c r="D438" s="42"/>
      <c r="E438" s="42"/>
      <c r="F438" s="42"/>
      <c r="G438" s="43" t="str">
        <f t="array" ref="G438">IF(F438="","",IFERROR(INDEX(Lists!$R:$R,MATCH(F438,Lists!$Q:$Q,0)),"Check Format"))</f>
        <v/>
      </c>
      <c r="H438" s="42"/>
      <c r="I438" s="44"/>
      <c r="J438" s="44"/>
      <c r="K438" s="44"/>
      <c r="L438" s="44"/>
      <c r="M438" s="44"/>
      <c r="N438" s="44"/>
    </row>
    <row r="439" ht="15.75" customHeight="1">
      <c r="A439" s="41"/>
      <c r="B439" s="42"/>
      <c r="C439" s="42"/>
      <c r="D439" s="42"/>
      <c r="E439" s="42"/>
      <c r="F439" s="42"/>
      <c r="G439" s="43" t="str">
        <f t="array" ref="G439">IF(F439="","",IFERROR(INDEX(Lists!$R:$R,MATCH(F439,Lists!$Q:$Q,0)),"Check Format"))</f>
        <v/>
      </c>
      <c r="H439" s="42"/>
      <c r="I439" s="44"/>
      <c r="J439" s="44"/>
      <c r="K439" s="44"/>
      <c r="L439" s="44"/>
      <c r="M439" s="44"/>
      <c r="N439" s="44"/>
    </row>
    <row r="440" ht="15.75" customHeight="1">
      <c r="A440" s="41"/>
      <c r="B440" s="42"/>
      <c r="C440" s="42"/>
      <c r="D440" s="42"/>
      <c r="E440" s="42"/>
      <c r="F440" s="42"/>
      <c r="G440" s="43" t="str">
        <f t="array" ref="G440">IF(F440="","",IFERROR(INDEX(Lists!$R:$R,MATCH(F440,Lists!$Q:$Q,0)),"Check Format"))</f>
        <v/>
      </c>
      <c r="H440" s="42"/>
      <c r="I440" s="44"/>
      <c r="J440" s="44"/>
      <c r="K440" s="44"/>
      <c r="L440" s="44"/>
      <c r="M440" s="44"/>
      <c r="N440" s="44"/>
    </row>
    <row r="441" ht="15.75" customHeight="1">
      <c r="A441" s="41"/>
      <c r="B441" s="42"/>
      <c r="C441" s="42"/>
      <c r="D441" s="42"/>
      <c r="E441" s="42"/>
      <c r="F441" s="42"/>
      <c r="G441" s="43" t="str">
        <f t="array" ref="G441">IF(F441="","",IFERROR(INDEX(Lists!$R:$R,MATCH(F441,Lists!$Q:$Q,0)),"Check Format"))</f>
        <v/>
      </c>
      <c r="H441" s="42"/>
      <c r="I441" s="44"/>
      <c r="J441" s="44"/>
      <c r="K441" s="44"/>
      <c r="L441" s="44"/>
      <c r="M441" s="44"/>
      <c r="N441" s="44"/>
    </row>
    <row r="442" ht="15.75" customHeight="1">
      <c r="A442" s="41"/>
      <c r="B442" s="42"/>
      <c r="C442" s="42"/>
      <c r="D442" s="42"/>
      <c r="E442" s="42"/>
      <c r="F442" s="42"/>
      <c r="G442" s="43" t="str">
        <f t="array" ref="G442">IF(F442="","",IFERROR(INDEX(Lists!$R:$R,MATCH(F442,Lists!$Q:$Q,0)),"Check Format"))</f>
        <v/>
      </c>
      <c r="H442" s="42"/>
      <c r="I442" s="44"/>
      <c r="J442" s="44"/>
      <c r="K442" s="44"/>
      <c r="L442" s="44"/>
      <c r="M442" s="44"/>
      <c r="N442" s="44"/>
    </row>
    <row r="443" ht="15.75" customHeight="1">
      <c r="A443" s="41"/>
      <c r="B443" s="42"/>
      <c r="C443" s="42"/>
      <c r="D443" s="42"/>
      <c r="E443" s="42"/>
      <c r="F443" s="42"/>
      <c r="G443" s="43" t="str">
        <f t="array" ref="G443">IF(F443="","",IFERROR(INDEX(Lists!$R:$R,MATCH(F443,Lists!$Q:$Q,0)),"Check Format"))</f>
        <v/>
      </c>
      <c r="H443" s="42"/>
      <c r="I443" s="44"/>
      <c r="J443" s="44"/>
      <c r="K443" s="44"/>
      <c r="L443" s="44"/>
      <c r="M443" s="44"/>
      <c r="N443" s="44"/>
    </row>
    <row r="444" ht="15.75" customHeight="1">
      <c r="A444" s="41"/>
      <c r="B444" s="42"/>
      <c r="C444" s="42"/>
      <c r="D444" s="42"/>
      <c r="E444" s="42"/>
      <c r="F444" s="42"/>
      <c r="G444" s="43" t="str">
        <f t="array" ref="G444">IF(F444="","",IFERROR(INDEX(Lists!$R:$R,MATCH(F444,Lists!$Q:$Q,0)),"Check Format"))</f>
        <v/>
      </c>
      <c r="H444" s="42"/>
      <c r="I444" s="44"/>
      <c r="J444" s="44"/>
      <c r="K444" s="44"/>
      <c r="L444" s="44"/>
      <c r="M444" s="44"/>
      <c r="N444" s="44"/>
    </row>
    <row r="445" ht="15.75" customHeight="1">
      <c r="A445" s="41"/>
      <c r="B445" s="42"/>
      <c r="C445" s="42"/>
      <c r="D445" s="42"/>
      <c r="E445" s="42"/>
      <c r="F445" s="42"/>
      <c r="G445" s="43" t="str">
        <f t="array" ref="G445">IF(F445="","",IFERROR(INDEX(Lists!$R:$R,MATCH(F445,Lists!$Q:$Q,0)),"Check Format"))</f>
        <v/>
      </c>
      <c r="H445" s="42"/>
      <c r="I445" s="44"/>
      <c r="J445" s="44"/>
      <c r="K445" s="44"/>
      <c r="L445" s="44"/>
      <c r="M445" s="44"/>
      <c r="N445" s="44"/>
    </row>
    <row r="446" ht="15.75" customHeight="1">
      <c r="A446" s="41"/>
      <c r="B446" s="42"/>
      <c r="C446" s="42"/>
      <c r="D446" s="42"/>
      <c r="E446" s="42"/>
      <c r="F446" s="42"/>
      <c r="G446" s="43" t="str">
        <f t="array" ref="G446">IF(F446="","",IFERROR(INDEX(Lists!$R:$R,MATCH(F446,Lists!$Q:$Q,0)),"Check Format"))</f>
        <v/>
      </c>
      <c r="H446" s="42"/>
      <c r="I446" s="44"/>
      <c r="J446" s="44"/>
      <c r="K446" s="44"/>
      <c r="L446" s="44"/>
      <c r="M446" s="44"/>
      <c r="N446" s="44"/>
    </row>
    <row r="447" ht="15.75" customHeight="1">
      <c r="A447" s="41"/>
      <c r="B447" s="42"/>
      <c r="C447" s="42"/>
      <c r="D447" s="42"/>
      <c r="E447" s="42"/>
      <c r="F447" s="42"/>
      <c r="G447" s="43" t="str">
        <f t="array" ref="G447">IF(F447="","",IFERROR(INDEX(Lists!$R:$R,MATCH(F447,Lists!$Q:$Q,0)),"Check Format"))</f>
        <v/>
      </c>
      <c r="H447" s="42"/>
      <c r="I447" s="44"/>
      <c r="J447" s="44"/>
      <c r="K447" s="44"/>
      <c r="L447" s="44"/>
      <c r="M447" s="44"/>
      <c r="N447" s="44"/>
    </row>
    <row r="448" ht="15.75" customHeight="1">
      <c r="A448" s="41"/>
      <c r="B448" s="42"/>
      <c r="C448" s="42"/>
      <c r="D448" s="42"/>
      <c r="E448" s="42"/>
      <c r="F448" s="42"/>
      <c r="G448" s="43" t="str">
        <f t="array" ref="G448">IF(F448="","",IFERROR(INDEX(Lists!$R:$R,MATCH(F448,Lists!$Q:$Q,0)),"Check Format"))</f>
        <v/>
      </c>
      <c r="H448" s="42"/>
      <c r="I448" s="44"/>
      <c r="J448" s="44"/>
      <c r="K448" s="44"/>
      <c r="L448" s="44"/>
      <c r="M448" s="44"/>
      <c r="N448" s="44"/>
    </row>
    <row r="449" ht="15.75" customHeight="1">
      <c r="A449" s="41"/>
      <c r="B449" s="42"/>
      <c r="C449" s="42"/>
      <c r="D449" s="42"/>
      <c r="E449" s="42"/>
      <c r="F449" s="42"/>
      <c r="G449" s="43" t="str">
        <f t="array" ref="G449">IF(F449="","",IFERROR(INDEX(Lists!$R:$R,MATCH(F449,Lists!$Q:$Q,0)),"Check Format"))</f>
        <v/>
      </c>
      <c r="H449" s="42"/>
      <c r="I449" s="44"/>
      <c r="J449" s="44"/>
      <c r="K449" s="44"/>
      <c r="L449" s="44"/>
      <c r="M449" s="44"/>
      <c r="N449" s="44"/>
    </row>
    <row r="450" ht="15.75" customHeight="1">
      <c r="A450" s="41"/>
      <c r="B450" s="42"/>
      <c r="C450" s="42"/>
      <c r="D450" s="42"/>
      <c r="E450" s="42"/>
      <c r="F450" s="42"/>
      <c r="G450" s="43" t="str">
        <f t="array" ref="G450">IF(F450="","",IFERROR(INDEX(Lists!$R:$R,MATCH(F450,Lists!$Q:$Q,0)),"Check Format"))</f>
        <v/>
      </c>
      <c r="H450" s="42"/>
      <c r="I450" s="44"/>
      <c r="J450" s="44"/>
      <c r="K450" s="44"/>
      <c r="L450" s="44"/>
      <c r="M450" s="44"/>
      <c r="N450" s="44"/>
    </row>
    <row r="451" ht="15.75" customHeight="1">
      <c r="A451" s="41"/>
      <c r="B451" s="42"/>
      <c r="C451" s="42"/>
      <c r="D451" s="42"/>
      <c r="E451" s="42"/>
      <c r="F451" s="42"/>
      <c r="G451" s="43" t="str">
        <f t="array" ref="G451">IF(F451="","",IFERROR(INDEX(Lists!$R:$R,MATCH(F451,Lists!$Q:$Q,0)),"Check Format"))</f>
        <v/>
      </c>
      <c r="H451" s="42"/>
      <c r="I451" s="44"/>
      <c r="J451" s="44"/>
      <c r="K451" s="44"/>
      <c r="L451" s="44"/>
      <c r="M451" s="44"/>
      <c r="N451" s="44"/>
    </row>
    <row r="452" ht="15.75" customHeight="1">
      <c r="A452" s="41"/>
      <c r="B452" s="42"/>
      <c r="C452" s="42"/>
      <c r="D452" s="42"/>
      <c r="E452" s="42"/>
      <c r="F452" s="42"/>
      <c r="G452" s="43" t="str">
        <f t="array" ref="G452">IF(F452="","",IFERROR(INDEX(Lists!$R:$R,MATCH(F452,Lists!$Q:$Q,0)),"Check Format"))</f>
        <v/>
      </c>
      <c r="H452" s="42"/>
      <c r="I452" s="44"/>
      <c r="J452" s="44"/>
      <c r="K452" s="44"/>
      <c r="L452" s="44"/>
      <c r="M452" s="44"/>
      <c r="N452" s="44"/>
    </row>
    <row r="453" ht="15.75" customHeight="1">
      <c r="A453" s="41"/>
      <c r="B453" s="42"/>
      <c r="C453" s="42"/>
      <c r="D453" s="42"/>
      <c r="E453" s="42"/>
      <c r="F453" s="42"/>
      <c r="G453" s="43" t="str">
        <f t="array" ref="G453">IF(F453="","",IFERROR(INDEX(Lists!$R:$R,MATCH(F453,Lists!$Q:$Q,0)),"Check Format"))</f>
        <v/>
      </c>
      <c r="H453" s="42"/>
      <c r="I453" s="44"/>
      <c r="J453" s="44"/>
      <c r="K453" s="44"/>
      <c r="L453" s="44"/>
      <c r="M453" s="44"/>
      <c r="N453" s="44"/>
    </row>
    <row r="454" ht="15.75" customHeight="1">
      <c r="A454" s="41"/>
      <c r="B454" s="42"/>
      <c r="C454" s="42"/>
      <c r="D454" s="42"/>
      <c r="E454" s="42"/>
      <c r="F454" s="42"/>
      <c r="G454" s="43" t="str">
        <f t="array" ref="G454">IF(F454="","",IFERROR(INDEX(Lists!$R:$R,MATCH(F454,Lists!$Q:$Q,0)),"Check Format"))</f>
        <v/>
      </c>
      <c r="H454" s="42"/>
      <c r="I454" s="44"/>
      <c r="J454" s="44"/>
      <c r="K454" s="44"/>
      <c r="L454" s="44"/>
      <c r="M454" s="44"/>
      <c r="N454" s="44"/>
    </row>
    <row r="455" ht="15.75" customHeight="1">
      <c r="A455" s="41"/>
      <c r="B455" s="42"/>
      <c r="C455" s="42"/>
      <c r="D455" s="42"/>
      <c r="E455" s="42"/>
      <c r="F455" s="42"/>
      <c r="G455" s="43" t="str">
        <f t="array" ref="G455">IF(F455="","",IFERROR(INDEX(Lists!$R:$R,MATCH(F455,Lists!$Q:$Q,0)),"Check Format"))</f>
        <v/>
      </c>
      <c r="H455" s="42"/>
      <c r="I455" s="44"/>
      <c r="J455" s="44"/>
      <c r="K455" s="44"/>
      <c r="L455" s="44"/>
      <c r="M455" s="44"/>
      <c r="N455" s="44"/>
    </row>
    <row r="456" ht="15.75" customHeight="1">
      <c r="A456" s="41"/>
      <c r="B456" s="42"/>
      <c r="C456" s="42"/>
      <c r="D456" s="42"/>
      <c r="E456" s="42"/>
      <c r="F456" s="42"/>
      <c r="G456" s="43" t="str">
        <f t="array" ref="G456">IF(F456="","",IFERROR(INDEX(Lists!$R:$R,MATCH(F456,Lists!$Q:$Q,0)),"Check Format"))</f>
        <v/>
      </c>
      <c r="H456" s="42"/>
      <c r="I456" s="44"/>
      <c r="J456" s="44"/>
      <c r="K456" s="44"/>
      <c r="L456" s="44"/>
      <c r="M456" s="44"/>
      <c r="N456" s="44"/>
    </row>
    <row r="457" ht="15.75" customHeight="1">
      <c r="A457" s="41"/>
      <c r="B457" s="42"/>
      <c r="C457" s="42"/>
      <c r="D457" s="42"/>
      <c r="E457" s="42"/>
      <c r="F457" s="42"/>
      <c r="G457" s="43" t="str">
        <f t="array" ref="G457">IF(F457="","",IFERROR(INDEX(Lists!$R:$R,MATCH(F457,Lists!$Q:$Q,0)),"Check Format"))</f>
        <v/>
      </c>
      <c r="H457" s="42"/>
      <c r="I457" s="44"/>
      <c r="J457" s="44"/>
      <c r="K457" s="44"/>
      <c r="L457" s="44"/>
      <c r="M457" s="44"/>
      <c r="N457" s="44"/>
    </row>
    <row r="458" ht="15.75" customHeight="1">
      <c r="A458" s="41"/>
      <c r="B458" s="42"/>
      <c r="C458" s="42"/>
      <c r="D458" s="42"/>
      <c r="E458" s="42"/>
      <c r="F458" s="42"/>
      <c r="G458" s="43" t="str">
        <f t="array" ref="G458">IF(F458="","",IFERROR(INDEX(Lists!$R:$R,MATCH(F458,Lists!$Q:$Q,0)),"Check Format"))</f>
        <v/>
      </c>
      <c r="H458" s="42"/>
      <c r="I458" s="44"/>
      <c r="J458" s="44"/>
      <c r="K458" s="44"/>
      <c r="L458" s="44"/>
      <c r="M458" s="44"/>
      <c r="N458" s="44"/>
    </row>
    <row r="459" ht="15.75" customHeight="1">
      <c r="A459" s="41"/>
      <c r="B459" s="42"/>
      <c r="C459" s="42"/>
      <c r="D459" s="42"/>
      <c r="E459" s="42"/>
      <c r="F459" s="42"/>
      <c r="G459" s="43" t="str">
        <f t="array" ref="G459">IF(F459="","",IFERROR(INDEX(Lists!$R:$R,MATCH(F459,Lists!$Q:$Q,0)),"Check Format"))</f>
        <v/>
      </c>
      <c r="H459" s="42"/>
      <c r="I459" s="44"/>
      <c r="J459" s="44"/>
      <c r="K459" s="44"/>
      <c r="L459" s="44"/>
      <c r="M459" s="44"/>
      <c r="N459" s="44"/>
    </row>
    <row r="460" ht="15.75" customHeight="1">
      <c r="A460" s="41"/>
      <c r="B460" s="42"/>
      <c r="C460" s="42"/>
      <c r="D460" s="42"/>
      <c r="E460" s="42"/>
      <c r="F460" s="42"/>
      <c r="G460" s="43" t="str">
        <f t="array" ref="G460">IF(F460="","",IFERROR(INDEX(Lists!$R:$R,MATCH(F460,Lists!$Q:$Q,0)),"Check Format"))</f>
        <v/>
      </c>
      <c r="H460" s="42"/>
      <c r="I460" s="44"/>
      <c r="J460" s="44"/>
      <c r="K460" s="44"/>
      <c r="L460" s="44"/>
      <c r="M460" s="44"/>
      <c r="N460" s="44"/>
    </row>
    <row r="461" ht="15.75" customHeight="1">
      <c r="A461" s="41"/>
      <c r="B461" s="42"/>
      <c r="C461" s="42"/>
      <c r="D461" s="42"/>
      <c r="E461" s="42"/>
      <c r="F461" s="42"/>
      <c r="G461" s="43" t="str">
        <f t="array" ref="G461">IF(F461="","",IFERROR(INDEX(Lists!$R:$R,MATCH(F461,Lists!$Q:$Q,0)),"Check Format"))</f>
        <v/>
      </c>
      <c r="H461" s="42"/>
      <c r="I461" s="44"/>
      <c r="J461" s="44"/>
      <c r="K461" s="44"/>
      <c r="L461" s="44"/>
      <c r="M461" s="44"/>
      <c r="N461" s="44"/>
    </row>
    <row r="462" ht="15.75" customHeight="1">
      <c r="A462" s="41"/>
      <c r="B462" s="42"/>
      <c r="C462" s="42"/>
      <c r="D462" s="42"/>
      <c r="E462" s="42"/>
      <c r="F462" s="42"/>
      <c r="G462" s="43" t="str">
        <f t="array" ref="G462">IF(F462="","",IFERROR(INDEX(Lists!$R:$R,MATCH(F462,Lists!$Q:$Q,0)),"Check Format"))</f>
        <v/>
      </c>
      <c r="H462" s="42"/>
      <c r="I462" s="44"/>
      <c r="J462" s="44"/>
      <c r="K462" s="44"/>
      <c r="L462" s="44"/>
      <c r="M462" s="44"/>
      <c r="N462" s="44"/>
    </row>
    <row r="463" ht="15.75" customHeight="1">
      <c r="A463" s="41"/>
      <c r="B463" s="42"/>
      <c r="C463" s="42"/>
      <c r="D463" s="42"/>
      <c r="E463" s="42"/>
      <c r="F463" s="42"/>
      <c r="G463" s="43" t="str">
        <f t="array" ref="G463">IF(F463="","",IFERROR(INDEX(Lists!$R:$R,MATCH(F463,Lists!$Q:$Q,0)),"Check Format"))</f>
        <v/>
      </c>
      <c r="H463" s="42"/>
      <c r="I463" s="44"/>
      <c r="J463" s="44"/>
      <c r="K463" s="44"/>
      <c r="L463" s="44"/>
      <c r="M463" s="44"/>
      <c r="N463" s="44"/>
    </row>
    <row r="464" ht="15.75" customHeight="1">
      <c r="A464" s="41"/>
      <c r="B464" s="42"/>
      <c r="C464" s="42"/>
      <c r="D464" s="42"/>
      <c r="E464" s="42"/>
      <c r="F464" s="42"/>
      <c r="G464" s="43" t="str">
        <f t="array" ref="G464">IF(F464="","",IFERROR(INDEX(Lists!$R:$R,MATCH(F464,Lists!$Q:$Q,0)),"Check Format"))</f>
        <v/>
      </c>
      <c r="H464" s="42"/>
      <c r="I464" s="44"/>
      <c r="J464" s="44"/>
      <c r="K464" s="44"/>
      <c r="L464" s="44"/>
      <c r="M464" s="44"/>
      <c r="N464" s="44"/>
    </row>
    <row r="465" ht="15.75" customHeight="1">
      <c r="A465" s="41"/>
      <c r="B465" s="42"/>
      <c r="C465" s="42"/>
      <c r="D465" s="42"/>
      <c r="E465" s="42"/>
      <c r="F465" s="42"/>
      <c r="G465" s="43" t="str">
        <f t="array" ref="G465">IF(F465="","",IFERROR(INDEX(Lists!$R:$R,MATCH(F465,Lists!$Q:$Q,0)),"Check Format"))</f>
        <v/>
      </c>
      <c r="H465" s="42"/>
      <c r="I465" s="44"/>
      <c r="J465" s="44"/>
      <c r="K465" s="44"/>
      <c r="L465" s="44"/>
      <c r="M465" s="44"/>
      <c r="N465" s="44"/>
    </row>
    <row r="466" ht="15.75" customHeight="1">
      <c r="A466" s="41"/>
      <c r="B466" s="42"/>
      <c r="C466" s="42"/>
      <c r="D466" s="42"/>
      <c r="E466" s="42"/>
      <c r="F466" s="42"/>
      <c r="G466" s="43" t="str">
        <f t="array" ref="G466">IF(F466="","",IFERROR(INDEX(Lists!$R:$R,MATCH(F466,Lists!$Q:$Q,0)),"Check Format"))</f>
        <v/>
      </c>
      <c r="H466" s="42"/>
      <c r="I466" s="44"/>
      <c r="J466" s="44"/>
      <c r="K466" s="44"/>
      <c r="L466" s="44"/>
      <c r="M466" s="44"/>
      <c r="N466" s="44"/>
    </row>
    <row r="467" ht="15.75" customHeight="1">
      <c r="A467" s="41"/>
      <c r="B467" s="42"/>
      <c r="C467" s="42"/>
      <c r="D467" s="42"/>
      <c r="E467" s="42"/>
      <c r="F467" s="42"/>
      <c r="G467" s="43" t="str">
        <f t="array" ref="G467">IF(F467="","",IFERROR(INDEX(Lists!$R:$R,MATCH(F467,Lists!$Q:$Q,0)),"Check Format"))</f>
        <v/>
      </c>
      <c r="H467" s="42"/>
      <c r="I467" s="44"/>
      <c r="J467" s="44"/>
      <c r="K467" s="44"/>
      <c r="L467" s="44"/>
      <c r="M467" s="44"/>
      <c r="N467" s="44"/>
    </row>
    <row r="468" ht="15.75" customHeight="1">
      <c r="A468" s="41"/>
      <c r="B468" s="42"/>
      <c r="C468" s="42"/>
      <c r="D468" s="42"/>
      <c r="E468" s="42"/>
      <c r="F468" s="42"/>
      <c r="G468" s="43" t="str">
        <f t="array" ref="G468">IF(F468="","",IFERROR(INDEX(Lists!$R:$R,MATCH(F468,Lists!$Q:$Q,0)),"Check Format"))</f>
        <v/>
      </c>
      <c r="H468" s="42"/>
      <c r="I468" s="44"/>
      <c r="J468" s="44"/>
      <c r="K468" s="44"/>
      <c r="L468" s="44"/>
      <c r="M468" s="44"/>
      <c r="N468" s="44"/>
    </row>
    <row r="469" ht="15.75" customHeight="1">
      <c r="A469" s="41"/>
      <c r="B469" s="42"/>
      <c r="C469" s="42"/>
      <c r="D469" s="42"/>
      <c r="E469" s="42"/>
      <c r="F469" s="42"/>
      <c r="G469" s="43" t="str">
        <f t="array" ref="G469">IF(F469="","",IFERROR(INDEX(Lists!$R:$R,MATCH(F469,Lists!$Q:$Q,0)),"Check Format"))</f>
        <v/>
      </c>
      <c r="H469" s="42"/>
      <c r="I469" s="44"/>
      <c r="J469" s="44"/>
      <c r="K469" s="44"/>
      <c r="L469" s="44"/>
      <c r="M469" s="44"/>
      <c r="N469" s="44"/>
    </row>
    <row r="470" ht="15.75" customHeight="1">
      <c r="A470" s="41"/>
      <c r="B470" s="42"/>
      <c r="C470" s="42"/>
      <c r="D470" s="42"/>
      <c r="E470" s="42"/>
      <c r="F470" s="42"/>
      <c r="G470" s="43" t="str">
        <f t="array" ref="G470">IF(F470="","",IFERROR(INDEX(Lists!$R:$R,MATCH(F470,Lists!$Q:$Q,0)),"Check Format"))</f>
        <v/>
      </c>
      <c r="H470" s="42"/>
      <c r="I470" s="44"/>
      <c r="J470" s="44"/>
      <c r="K470" s="44"/>
      <c r="L470" s="44"/>
      <c r="M470" s="44"/>
      <c r="N470" s="44"/>
    </row>
    <row r="471" ht="15.75" customHeight="1">
      <c r="A471" s="41"/>
      <c r="B471" s="42"/>
      <c r="C471" s="42"/>
      <c r="D471" s="42"/>
      <c r="E471" s="42"/>
      <c r="F471" s="42"/>
      <c r="G471" s="43" t="str">
        <f t="array" ref="G471">IF(F471="","",IFERROR(INDEX(Lists!$R:$R,MATCH(F471,Lists!$Q:$Q,0)),"Check Format"))</f>
        <v/>
      </c>
      <c r="H471" s="42"/>
      <c r="I471" s="44"/>
      <c r="J471" s="44"/>
      <c r="K471" s="44"/>
      <c r="L471" s="44"/>
      <c r="M471" s="44"/>
      <c r="N471" s="44"/>
    </row>
    <row r="472" ht="15.75" customHeight="1">
      <c r="A472" s="41"/>
      <c r="B472" s="42"/>
      <c r="C472" s="42"/>
      <c r="D472" s="42"/>
      <c r="E472" s="42"/>
      <c r="F472" s="42"/>
      <c r="G472" s="43" t="str">
        <f t="array" ref="G472">IF(F472="","",IFERROR(INDEX(Lists!$R:$R,MATCH(F472,Lists!$Q:$Q,0)),"Check Format"))</f>
        <v/>
      </c>
      <c r="H472" s="42"/>
      <c r="I472" s="44"/>
      <c r="J472" s="44"/>
      <c r="K472" s="44"/>
      <c r="L472" s="44"/>
      <c r="M472" s="44"/>
      <c r="N472" s="44"/>
    </row>
    <row r="473" ht="15.75" customHeight="1">
      <c r="A473" s="41"/>
      <c r="B473" s="42"/>
      <c r="C473" s="42"/>
      <c r="D473" s="42"/>
      <c r="E473" s="42"/>
      <c r="F473" s="42"/>
      <c r="G473" s="43" t="str">
        <f t="array" ref="G473">IF(F473="","",IFERROR(INDEX(Lists!$R:$R,MATCH(F473,Lists!$Q:$Q,0)),"Check Format"))</f>
        <v/>
      </c>
      <c r="H473" s="42"/>
      <c r="I473" s="44"/>
      <c r="J473" s="44"/>
      <c r="K473" s="44"/>
      <c r="L473" s="44"/>
      <c r="M473" s="44"/>
      <c r="N473" s="44"/>
    </row>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dataValidations>
    <dataValidation type="list" allowBlank="1" showInputMessage="1" showErrorMessage="1" prompt="Invalid Avatar - Please select a valid Audience Avatar from the dropdown." sqref="H2:H473">
      <formula1>Avatars_List</formula1>
    </dataValidation>
    <dataValidation type="list" allowBlank="1" showInputMessage="1" showErrorMessage="1" prompt="Invalid Pillar - Please select a valid Content Pillar from the dropdown." sqref="D2:D473">
      <formula1>Pillars_List</formula1>
    </dataValidation>
    <dataValidation type="list" allowBlank="1" showInputMessage="1" showErrorMessage="1" prompt="Invalid Content Type - Please select a valid Content Type from the dropdown." sqref="E2:E473">
      <formula1>All_ContentTypes</formula1>
    </dataValidation>
    <dataValidation type="list" allowBlank="1" showInputMessage="1" showErrorMessage="1" prompt="Invalid Format - Please select a valid Format from the dropdown." sqref="F2:F473">
      <formula1>All_Formats</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sheetViews>
  <sheetFormatPr customHeight="1" defaultColWidth="14.43" defaultRowHeight="15.0"/>
  <cols>
    <col customWidth="1" min="1" max="1" width="22.0"/>
    <col customWidth="1" min="2" max="7" width="16.0"/>
    <col customWidth="1" min="8" max="26" width="8.71"/>
  </cols>
  <sheetData>
    <row r="1">
      <c r="A1" s="1" t="s">
        <v>123</v>
      </c>
    </row>
    <row r="2">
      <c r="A2" s="5" t="s">
        <v>124</v>
      </c>
    </row>
    <row r="4">
      <c r="A4" s="45" t="s">
        <v>13</v>
      </c>
      <c r="B4" s="45" t="s">
        <v>14</v>
      </c>
      <c r="C4" s="45" t="s">
        <v>15</v>
      </c>
      <c r="D4" s="45" t="s">
        <v>16</v>
      </c>
      <c r="E4" s="45" t="s">
        <v>125</v>
      </c>
    </row>
    <row r="5">
      <c r="A5" s="46">
        <f>COUNTA('Manual Entry'!B2:B473)</f>
        <v>36</v>
      </c>
      <c r="B5" s="46">
        <f>COUNTIF('Manual Entry'!G2:G473,"Reel")</f>
        <v>16</v>
      </c>
      <c r="C5" s="46">
        <f>COUNTIF('Manual Entry'!G2:G473,"Carousel")</f>
        <v>20</v>
      </c>
      <c r="D5" s="46">
        <f>SUM('Manual Entry'!I2:I473)</f>
        <v>3710594</v>
      </c>
      <c r="E5" s="46">
        <f>SUM('Manual Entry'!J2:J473)</f>
        <v>41996</v>
      </c>
    </row>
    <row r="7">
      <c r="A7" s="45" t="s">
        <v>126</v>
      </c>
      <c r="B7" s="45" t="s">
        <v>127</v>
      </c>
      <c r="C7" s="45" t="s">
        <v>128</v>
      </c>
      <c r="D7" s="45" t="s">
        <v>17</v>
      </c>
      <c r="E7" s="45" t="s">
        <v>18</v>
      </c>
    </row>
    <row r="8">
      <c r="A8" s="46">
        <f>SUM('Manual Entry'!K2:K473)</f>
        <v>769</v>
      </c>
      <c r="B8" s="46">
        <f>SUM('Manual Entry'!L2:L473)</f>
        <v>57607</v>
      </c>
      <c r="C8" s="46">
        <f>SUM('Manual Entry'!M2:M473)</f>
        <v>31875</v>
      </c>
      <c r="D8" s="46">
        <f>SUM('Manual Entry'!N2:N473)</f>
        <v>2985004</v>
      </c>
      <c r="E8" s="47">
        <f>IFERROR((SUM('Manual Entry'!J2:J473)+SUM('Manual Entry'!K2:K473)+SUM('Manual Entry'!L2:L473)+SUM('Manual Entry'!M2:M473))/SUM('Manual Entry'!N2:N473),0)</f>
        <v>0.04430379323</v>
      </c>
    </row>
    <row r="13" ht="21.75" customHeight="1">
      <c r="A13" s="2" t="s">
        <v>129</v>
      </c>
      <c r="B13" s="48"/>
      <c r="C13" s="48"/>
      <c r="D13" s="48"/>
      <c r="E13" s="48"/>
      <c r="F13" s="48"/>
      <c r="G13" s="48"/>
    </row>
    <row r="14">
      <c r="A14" s="49" t="s">
        <v>19</v>
      </c>
      <c r="B14" s="49" t="s">
        <v>13</v>
      </c>
      <c r="C14" s="49" t="s">
        <v>16</v>
      </c>
      <c r="D14" s="49" t="s">
        <v>125</v>
      </c>
      <c r="E14" s="49" t="s">
        <v>126</v>
      </c>
      <c r="F14" s="49" t="s">
        <v>127</v>
      </c>
      <c r="G14" s="49" t="s">
        <v>130</v>
      </c>
    </row>
    <row r="15">
      <c r="A15" s="50" t="s">
        <v>21</v>
      </c>
      <c r="B15" s="51">
        <f>COUNTIF('Manual Entry'!D2:D473,A15)</f>
        <v>2</v>
      </c>
      <c r="C15" s="51">
        <f>SUMIF('Manual Entry'!D2:D473,A15,'Manual Entry'!I2:I473)</f>
        <v>179771</v>
      </c>
      <c r="D15" s="51">
        <f>SUMIF('Manual Entry'!D2:D473,A15,'Manual Entry'!J2:J473)</f>
        <v>1165</v>
      </c>
      <c r="E15" s="51">
        <f>SUMIF('Manual Entry'!D2:D473,A15,'Manual Entry'!K2:K473)</f>
        <v>116</v>
      </c>
      <c r="F15" s="51">
        <f>SUMIF('Manual Entry'!D2:D473,A15,'Manual Entry'!L2:L473)</f>
        <v>1085</v>
      </c>
      <c r="G15" s="52">
        <f>IFERROR(AVERAGEIF(Calc!$D$2:$D$501,A15,Calc!$AJ$2:$AJ$501),0)</f>
        <v>0</v>
      </c>
    </row>
    <row r="16">
      <c r="A16" s="50" t="s">
        <v>22</v>
      </c>
      <c r="B16" s="51">
        <f>COUNTIF('Manual Entry'!D2:D473,A16)</f>
        <v>0</v>
      </c>
      <c r="C16" s="51">
        <f>SUMIF('Manual Entry'!D2:D473,A16,'Manual Entry'!I2:I473)</f>
        <v>0</v>
      </c>
      <c r="D16" s="51">
        <f>SUMIF('Manual Entry'!D2:D473,A16,'Manual Entry'!J2:J473)</f>
        <v>0</v>
      </c>
      <c r="E16" s="51">
        <f>SUMIF('Manual Entry'!D2:D473,A16,'Manual Entry'!K2:K473)</f>
        <v>0</v>
      </c>
      <c r="F16" s="51">
        <f>SUMIF('Manual Entry'!D2:D473,A16,'Manual Entry'!L2:L473)</f>
        <v>0</v>
      </c>
      <c r="G16" s="52">
        <f>IFERROR(AVERAGEIF(Calc!$D$2:$D$501,A16,Calc!$AJ$2:$AJ$501),0)</f>
        <v>0</v>
      </c>
    </row>
    <row r="17">
      <c r="A17" s="50" t="s">
        <v>24</v>
      </c>
      <c r="B17" s="51">
        <f>COUNTIF('Manual Entry'!D2:D473,A17)</f>
        <v>0</v>
      </c>
      <c r="C17" s="51">
        <f>SUMIF('Manual Entry'!D2:D473,A17,'Manual Entry'!I2:I473)</f>
        <v>0</v>
      </c>
      <c r="D17" s="51">
        <f>SUMIF('Manual Entry'!D2:D473,A17,'Manual Entry'!J2:J473)</f>
        <v>0</v>
      </c>
      <c r="E17" s="51">
        <f>SUMIF('Manual Entry'!D2:D473,A17,'Manual Entry'!K2:K473)</f>
        <v>0</v>
      </c>
      <c r="F17" s="51">
        <f>SUMIF('Manual Entry'!D2:D473,A17,'Manual Entry'!L2:L473)</f>
        <v>0</v>
      </c>
      <c r="G17" s="52">
        <f>IFERROR(AVERAGEIF(Calc!$D$2:$D$501,A17,Calc!$AJ$2:$AJ$501),0)</f>
        <v>0</v>
      </c>
    </row>
    <row r="18">
      <c r="A18" s="50" t="s">
        <v>29</v>
      </c>
      <c r="B18" s="51">
        <f>COUNTIF('Manual Entry'!D2:D473,A18)</f>
        <v>2</v>
      </c>
      <c r="C18" s="51">
        <f>SUMIF('Manual Entry'!D2:D473,A18,'Manual Entry'!I2:I473)</f>
        <v>87042</v>
      </c>
      <c r="D18" s="51">
        <f>SUMIF('Manual Entry'!D2:D473,A18,'Manual Entry'!J2:J473)</f>
        <v>1191</v>
      </c>
      <c r="E18" s="51">
        <f>SUMIF('Manual Entry'!D2:D473,A18,'Manual Entry'!K2:K473)</f>
        <v>39</v>
      </c>
      <c r="F18" s="51">
        <f>SUMIF('Manual Entry'!D2:D473,A18,'Manual Entry'!L2:L473)</f>
        <v>857</v>
      </c>
      <c r="G18" s="52">
        <f>IFERROR(AVERAGEIF(Calc!$D$2:$D$501,A18,Calc!$AJ$2:$AJ$501),0)</f>
        <v>0</v>
      </c>
    </row>
    <row r="19">
      <c r="A19" s="50" t="s">
        <v>30</v>
      </c>
      <c r="B19" s="51">
        <f>COUNTIF('Manual Entry'!D2:D473,A19)</f>
        <v>0</v>
      </c>
      <c r="C19" s="51">
        <f>SUMIF('Manual Entry'!D2:D473,A19,'Manual Entry'!I2:I473)</f>
        <v>0</v>
      </c>
      <c r="D19" s="51">
        <f>SUMIF('Manual Entry'!D2:D473,A19,'Manual Entry'!J2:J473)</f>
        <v>0</v>
      </c>
      <c r="E19" s="51">
        <f>SUMIF('Manual Entry'!D2:D473,A19,'Manual Entry'!K2:K473)</f>
        <v>0</v>
      </c>
      <c r="F19" s="51">
        <f>SUMIF('Manual Entry'!D2:D473,A19,'Manual Entry'!L2:L473)</f>
        <v>0</v>
      </c>
      <c r="G19" s="52">
        <f>IFERROR(AVERAGEIF(Calc!$D$2:$D$501,A19,Calc!$AJ$2:$AJ$501),0)</f>
        <v>0</v>
      </c>
    </row>
    <row r="21" ht="15.75" customHeight="1">
      <c r="A21" s="53" t="s">
        <v>131</v>
      </c>
      <c r="B21" s="54" t="str">
        <f t="array" ref="B21">IF(COUNTA('Manual Entry'!B2:B473)=0,"No data yet",INDEX(A15:A19,MATCH(MAX(G15:G19),G15:G19,0)))</f>
        <v>Diabetes</v>
      </c>
    </row>
    <row r="22" ht="15.75" customHeight="1"/>
    <row r="23" ht="15.75" customHeight="1"/>
    <row r="24" ht="21.75" customHeight="1">
      <c r="A24" s="2" t="s">
        <v>132</v>
      </c>
      <c r="B24" s="48"/>
      <c r="C24" s="48"/>
      <c r="D24" s="48"/>
      <c r="E24" s="48"/>
      <c r="F24" s="48"/>
      <c r="G24" s="48"/>
    </row>
    <row r="25" ht="15.75" customHeight="1">
      <c r="A25" s="49" t="s">
        <v>31</v>
      </c>
      <c r="B25" s="49" t="s">
        <v>13</v>
      </c>
      <c r="C25" s="49" t="s">
        <v>16</v>
      </c>
      <c r="D25" s="49" t="s">
        <v>125</v>
      </c>
      <c r="E25" s="49" t="s">
        <v>126</v>
      </c>
      <c r="F25" s="49" t="s">
        <v>127</v>
      </c>
      <c r="G25" s="49" t="s">
        <v>130</v>
      </c>
    </row>
    <row r="26" ht="15.75" customHeight="1">
      <c r="A26" s="50" t="s">
        <v>32</v>
      </c>
      <c r="B26" s="51">
        <f>COUNTIF('Manual Entry'!H2:H473,A26)</f>
        <v>0</v>
      </c>
      <c r="C26" s="51">
        <f>SUMIF('Manual Entry'!H2:H473,A26,'Manual Entry'!I2:I473)</f>
        <v>0</v>
      </c>
      <c r="D26" s="51">
        <f>SUMIF('Manual Entry'!H2:H473,A26,'Manual Entry'!J2:J473)</f>
        <v>0</v>
      </c>
      <c r="E26" s="51">
        <f>SUMIF('Manual Entry'!H2:H473,A26,'Manual Entry'!K2:K473)</f>
        <v>0</v>
      </c>
      <c r="F26" s="51">
        <f>SUMIF('Manual Entry'!H2:H473,A26,'Manual Entry'!L2:L473)</f>
        <v>0</v>
      </c>
      <c r="G26" s="52">
        <f>IFERROR(AVERAGEIF(Calc!$H$2:$H$501,A26,Calc!$AJ$2:$AJ$501),0)</f>
        <v>0</v>
      </c>
    </row>
    <row r="27" ht="15.75" customHeight="1">
      <c r="A27" s="50" t="s">
        <v>33</v>
      </c>
      <c r="B27" s="51">
        <f>COUNTIF('Manual Entry'!H2:H473,A27)</f>
        <v>0</v>
      </c>
      <c r="C27" s="51">
        <f>SUMIF('Manual Entry'!H2:H473,A27,'Manual Entry'!I2:I473)</f>
        <v>0</v>
      </c>
      <c r="D27" s="51">
        <f>SUMIF('Manual Entry'!H2:H473,A27,'Manual Entry'!J2:J473)</f>
        <v>0</v>
      </c>
      <c r="E27" s="51">
        <f>SUMIF('Manual Entry'!H2:H473,A27,'Manual Entry'!K2:K473)</f>
        <v>0</v>
      </c>
      <c r="F27" s="51">
        <f>SUMIF('Manual Entry'!H2:H473,A27,'Manual Entry'!L2:L473)</f>
        <v>0</v>
      </c>
      <c r="G27" s="52">
        <f>IFERROR(AVERAGEIF(Calc!$H$2:$H$501,A27,Calc!$AJ$2:$AJ$501),0)</f>
        <v>0</v>
      </c>
    </row>
    <row r="28" ht="15.75" customHeight="1">
      <c r="A28" s="50" t="s">
        <v>34</v>
      </c>
      <c r="B28" s="51">
        <f>COUNTIF('Manual Entry'!H2:H473,A28)</f>
        <v>0</v>
      </c>
      <c r="C28" s="51">
        <f>SUMIF('Manual Entry'!H2:H473,A28,'Manual Entry'!I2:I473)</f>
        <v>0</v>
      </c>
      <c r="D28" s="51">
        <f>SUMIF('Manual Entry'!H2:H473,A28,'Manual Entry'!J2:J473)</f>
        <v>0</v>
      </c>
      <c r="E28" s="51">
        <f>SUMIF('Manual Entry'!H2:H473,A28,'Manual Entry'!K2:K473)</f>
        <v>0</v>
      </c>
      <c r="F28" s="51">
        <f>SUMIF('Manual Entry'!H2:H473,A28,'Manual Entry'!L2:L473)</f>
        <v>0</v>
      </c>
      <c r="G28" s="52">
        <f>IFERROR(AVERAGEIF(Calc!$H$2:$H$501,A28,Calc!$AJ$2:$AJ$501),0)</f>
        <v>0</v>
      </c>
    </row>
    <row r="29" ht="15.75" customHeight="1">
      <c r="A29" s="50" t="s">
        <v>35</v>
      </c>
      <c r="B29" s="51">
        <f>COUNTIF('Manual Entry'!H2:H473,A29)</f>
        <v>0</v>
      </c>
      <c r="C29" s="51">
        <f>SUMIF('Manual Entry'!H2:H473,A29,'Manual Entry'!I2:I473)</f>
        <v>0</v>
      </c>
      <c r="D29" s="51">
        <f>SUMIF('Manual Entry'!H2:H473,A29,'Manual Entry'!J2:J473)</f>
        <v>0</v>
      </c>
      <c r="E29" s="51">
        <f>SUMIF('Manual Entry'!H2:H473,A29,'Manual Entry'!K2:K473)</f>
        <v>0</v>
      </c>
      <c r="F29" s="51">
        <f>SUMIF('Manual Entry'!H2:H473,A29,'Manual Entry'!L2:L473)</f>
        <v>0</v>
      </c>
      <c r="G29" s="52">
        <f>IFERROR(AVERAGEIF(Calc!$H$2:$H$501,A29,Calc!$AJ$2:$AJ$501),0)</f>
        <v>0</v>
      </c>
    </row>
    <row r="30" ht="15.75" customHeight="1">
      <c r="A30" s="50" t="s">
        <v>36</v>
      </c>
      <c r="B30" s="51">
        <f>COUNTIF('Manual Entry'!H2:H473,A30)</f>
        <v>0</v>
      </c>
      <c r="C30" s="51">
        <f>SUMIF('Manual Entry'!H2:H473,A30,'Manual Entry'!I2:I473)</f>
        <v>0</v>
      </c>
      <c r="D30" s="51">
        <f>SUMIF('Manual Entry'!H2:H473,A30,'Manual Entry'!J2:J473)</f>
        <v>0</v>
      </c>
      <c r="E30" s="51">
        <f>SUMIF('Manual Entry'!H2:H473,A30,'Manual Entry'!K2:K473)</f>
        <v>0</v>
      </c>
      <c r="F30" s="51">
        <f>SUMIF('Manual Entry'!H2:H473,A30,'Manual Entry'!L2:L473)</f>
        <v>0</v>
      </c>
      <c r="G30" s="52">
        <f>IFERROR(AVERAGEIF(Calc!$H$2:$H$501,A30,Calc!$AJ$2:$AJ$501),0)</f>
        <v>0</v>
      </c>
    </row>
    <row r="31" ht="15.75" customHeight="1">
      <c r="A31" s="50" t="s">
        <v>37</v>
      </c>
      <c r="B31" s="51">
        <f>COUNTIF('Manual Entry'!H2:H473,A31)</f>
        <v>0</v>
      </c>
      <c r="C31" s="51">
        <f>SUMIF('Manual Entry'!H2:H473,A31,'Manual Entry'!I2:I473)</f>
        <v>0</v>
      </c>
      <c r="D31" s="51">
        <f>SUMIF('Manual Entry'!H2:H473,A31,'Manual Entry'!J2:J473)</f>
        <v>0</v>
      </c>
      <c r="E31" s="51">
        <f>SUMIF('Manual Entry'!H2:H473,A31,'Manual Entry'!K2:K473)</f>
        <v>0</v>
      </c>
      <c r="F31" s="51">
        <f>SUMIF('Manual Entry'!H2:H473,A31,'Manual Entry'!L2:L473)</f>
        <v>0</v>
      </c>
      <c r="G31" s="52">
        <f>IFERROR(AVERAGEIF(Calc!$H$2:$H$501,A31,Calc!$AJ$2:$AJ$501),0)</f>
        <v>0</v>
      </c>
    </row>
    <row r="32" ht="15.75" customHeight="1">
      <c r="A32" s="50" t="s">
        <v>38</v>
      </c>
      <c r="B32" s="51">
        <f>COUNTIF('Manual Entry'!H2:H473,A32)</f>
        <v>0</v>
      </c>
      <c r="C32" s="51">
        <f>SUMIF('Manual Entry'!H2:H473,A32,'Manual Entry'!I2:I473)</f>
        <v>0</v>
      </c>
      <c r="D32" s="51">
        <f>SUMIF('Manual Entry'!H2:H473,A32,'Manual Entry'!J2:J473)</f>
        <v>0</v>
      </c>
      <c r="E32" s="51">
        <f>SUMIF('Manual Entry'!H2:H473,A32,'Manual Entry'!K2:K473)</f>
        <v>0</v>
      </c>
      <c r="F32" s="51">
        <f>SUMIF('Manual Entry'!H2:H473,A32,'Manual Entry'!L2:L473)</f>
        <v>0</v>
      </c>
      <c r="G32" s="52">
        <f>IFERROR(AVERAGEIF(Calc!$H$2:$H$501,A32,Calc!$AJ$2:$AJ$501),0)</f>
        <v>0</v>
      </c>
    </row>
    <row r="33" ht="15.75" customHeight="1"/>
    <row r="34" ht="15.75" customHeight="1">
      <c r="A34" s="53" t="s">
        <v>133</v>
      </c>
      <c r="B34" s="54" t="str">
        <f t="array" ref="B34">IF(COUNTA('Manual Entry'!B2:B473)=0,"No data yet",INDEX(A26:A32,MATCH(MAX(G26:G32),G26:G32,0)))</f>
        <v>Diabetes Patient</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showGridLines="0" workbookViewId="0"/>
  </sheetViews>
  <sheetFormatPr customHeight="1" defaultColWidth="14.43" defaultRowHeight="15.0"/>
  <cols>
    <col customWidth="1" min="1" max="1" width="13.0"/>
    <col customWidth="1" min="2" max="2" width="30.0"/>
    <col customWidth="1" min="3" max="3" width="16.0"/>
    <col customWidth="1" min="4" max="4" width="30.0"/>
    <col customWidth="1" min="5" max="5" width="18.0"/>
    <col customWidth="1" min="6" max="10" width="10.0"/>
    <col customWidth="1" min="11" max="11" width="12.0"/>
    <col customWidth="1" min="12" max="13" width="10.0"/>
    <col customWidth="1" min="14" max="26" width="8.71"/>
  </cols>
  <sheetData>
    <row r="1">
      <c r="A1" s="1" t="s">
        <v>134</v>
      </c>
    </row>
    <row r="2">
      <c r="A2" s="5" t="s">
        <v>124</v>
      </c>
    </row>
    <row r="4">
      <c r="A4" s="9" t="s">
        <v>135</v>
      </c>
      <c r="B4" s="22"/>
      <c r="C4" s="22"/>
      <c r="D4" s="7"/>
      <c r="F4" s="9" t="s">
        <v>136</v>
      </c>
      <c r="G4" s="22"/>
      <c r="H4" s="22"/>
      <c r="I4" s="7"/>
    </row>
    <row r="5">
      <c r="A5" s="55" t="str">
        <f t="array" ref="A5">IFERROR(INDEX(Calc!$E:$E,MATCH(TEXT(TODAY()-WEEKDAY(TODAY(),2)+1,"YYYYMMDD")&amp;"|Reel",Calc!$AL:$AL,0)),"No Reel posted this week yet")</f>
        <v>Not treating Diabetes, only managaing symptoms</v>
      </c>
      <c r="B5" s="22"/>
      <c r="C5" s="22"/>
      <c r="D5" s="7"/>
      <c r="F5" s="55" t="str">
        <f t="array" ref="F5">IFERROR(INDEX(Calc!$E:$E,MATCH(TEXT(TODAY(),"YYYY-MM")&amp;"|Reel",Calc!$AN:$AN,0)),"No Reel posted this month yet")</f>
        <v>Tips for Effective sleep</v>
      </c>
      <c r="G5" s="22"/>
      <c r="H5" s="22"/>
      <c r="I5" s="7"/>
    </row>
    <row r="6">
      <c r="A6" s="56" t="s">
        <v>137</v>
      </c>
      <c r="B6" s="56" t="s">
        <v>138</v>
      </c>
      <c r="C6" s="56" t="s">
        <v>139</v>
      </c>
      <c r="D6" s="56" t="s">
        <v>140</v>
      </c>
      <c r="E6" s="56" t="s">
        <v>141</v>
      </c>
      <c r="F6" s="56" t="s">
        <v>137</v>
      </c>
      <c r="G6" s="56" t="s">
        <v>138</v>
      </c>
      <c r="H6" s="56" t="s">
        <v>139</v>
      </c>
      <c r="I6" s="56" t="s">
        <v>140</v>
      </c>
    </row>
    <row r="7">
      <c r="A7" s="57">
        <f t="array" ref="A7">IFERROR(INDEX(Calc!$I:$I,MATCH(TEXT(TODAY()-WEEKDAY(TODAY(),2)+1,"YYYYMMDD")&amp;"|Reel",Calc!$AL:$AL,0)),"")</f>
        <v>15096</v>
      </c>
      <c r="B7" s="57">
        <f t="array" ref="B7">IFERROR(INDEX(Calc!$J:$J,MATCH(TEXT(TODAY()-WEEKDAY(TODAY(),2)+1,"YYYYMMDD")&amp;"|Reel",Calc!$AL:$AL,0)),"")</f>
        <v>99</v>
      </c>
      <c r="C7" s="57">
        <f t="array" ref="C7">IFERROR(INDEX(Calc!$K:$K,MATCH(TEXT(TODAY()-WEEKDAY(TODAY(),2)+1,"YYYYMMDD")&amp;"|Reel",Calc!$AL:$AL,0)),"")</f>
        <v>0</v>
      </c>
      <c r="D7" s="57">
        <f t="array" ref="D7">IFERROR(INDEX(Calc!$L:$L,MATCH(TEXT(TODAY()-WEEKDAY(TODAY(),2)+1,"YYYYMMDD")&amp;"|Reel",Calc!$AL:$AL,0)),"")</f>
        <v>20</v>
      </c>
      <c r="E7" s="57">
        <f t="array" ref="E7">IFERROR(INDEX(Calc!$M:$M,MATCH(TEXT(TODAY()-WEEKDAY(TODAY(),2)+1,"YYYYMMDD")&amp;"|Reel",Calc!$AL:$AL,0)),"")</f>
        <v>21</v>
      </c>
      <c r="F7" s="57" t="str">
        <f t="array" ref="F7">IFERROR(INDEX(Calc!$I:$I,MATCH(TEXT(TODAY(),"YYYY-MM")&amp;"|Reel",Calc!$AN:$AN,0)),"")</f>
        <v/>
      </c>
      <c r="G7" s="57">
        <f t="array" ref="G7">IFERROR(INDEX(Calc!$J:$J,MATCH(TEXT(TODAY(),"YYYY-MM")&amp;"|Reel",Calc!$AN:$AN,0)),"")</f>
        <v>418</v>
      </c>
      <c r="H7" s="57">
        <f t="array" ref="H7">IFERROR(INDEX(Calc!$K:$K,MATCH(TEXT(TODAY(),"YYYY-MM")&amp;"|Reel",Calc!$AN:$AN,0)),"")</f>
        <v>10</v>
      </c>
      <c r="I7" s="57">
        <f t="array" ref="I7">IFERROR(INDEX(Calc!$L:$L,MATCH(TEXT(TODAY(),"YYYY-MM")&amp;"|Reel",Calc!$AN:$AN,0)),"")</f>
        <v>379</v>
      </c>
    </row>
    <row r="10" ht="19.5" customHeight="1">
      <c r="A10" s="21" t="s">
        <v>142</v>
      </c>
      <c r="B10" s="22"/>
      <c r="C10" s="22"/>
      <c r="D10" s="22"/>
      <c r="E10" s="22"/>
      <c r="F10" s="22"/>
      <c r="G10" s="22"/>
      <c r="H10" s="22"/>
      <c r="I10" s="22"/>
      <c r="J10" s="22"/>
      <c r="K10" s="22"/>
      <c r="L10" s="22"/>
      <c r="M10" s="7"/>
    </row>
    <row r="11">
      <c r="A11" s="58" t="s">
        <v>143</v>
      </c>
      <c r="B11" s="58" t="s">
        <v>144</v>
      </c>
      <c r="C11" s="58" t="s">
        <v>19</v>
      </c>
      <c r="D11" s="58" t="s">
        <v>45</v>
      </c>
      <c r="E11" s="58" t="s">
        <v>31</v>
      </c>
      <c r="F11" s="58" t="s">
        <v>20</v>
      </c>
      <c r="G11" s="58" t="s">
        <v>48</v>
      </c>
      <c r="H11" s="58" t="s">
        <v>49</v>
      </c>
      <c r="I11" s="58" t="s">
        <v>50</v>
      </c>
      <c r="J11" s="58" t="s">
        <v>51</v>
      </c>
      <c r="K11" s="58" t="s">
        <v>145</v>
      </c>
      <c r="L11" s="58" t="s">
        <v>146</v>
      </c>
    </row>
    <row r="12">
      <c r="A12" s="59" t="str">
        <f>IFERROR(AGGREGATE(14,6,(Calc!$B$2:$B$501)/((Calc!$AK$2:$AK$501=1)*(Calc!$G$2:$G$501="Reel")),1),"")</f>
        <v/>
      </c>
      <c r="B12" s="60" t="str">
        <f t="array" ref="B12">IF(A12="","",IFERROR(INDEX(Calc!$E:$E,MATCH(IF(A12="","",TEXT(A12,"YYYYMMDD")&amp;"|Reel"),Calc!$AL:$AL,0)),""))</f>
        <v/>
      </c>
      <c r="C12" s="60" t="str">
        <f t="array" ref="C12">IF(A12="","",IFERROR(INDEX(Calc!$D:$D,MATCH(IF(A12="","",TEXT(A12,"YYYYMMDD")&amp;"|Reel"),Calc!$AL:$AL,0)),""))</f>
        <v/>
      </c>
      <c r="D12" s="60" t="str">
        <f t="array" ref="D12">IF(A12="","",IFERROR(INDEX(Calc!$F:$F,MATCH(IF(A12="","",TEXT(A12,"YYYYMMDD")&amp;"|Reel"),Calc!$AL:$AL,0)),""))</f>
        <v/>
      </c>
      <c r="E12" s="60" t="str">
        <f t="array" ref="E12">IF(A12="","",IFERROR(INDEX(Calc!$H:$H,MATCH(IF(A12="","",TEXT(A12,"YYYYMMDD")&amp;"|Reel"),Calc!$AL:$AL,0)),""))</f>
        <v/>
      </c>
      <c r="F12" s="61" t="str">
        <f t="array" ref="F12">IF(A12="","",IFERROR(INDEX(Calc!$I:$I,MATCH(IF(A12="","",TEXT(A12,"YYYYMMDD")&amp;"|Reel"),Calc!$AL:$AL,0)),""))</f>
        <v/>
      </c>
      <c r="G12" s="61" t="str">
        <f t="array" ref="G12">IF(A12="","",IFERROR(INDEX(Calc!$J:$J,MATCH(IF(A12="","",TEXT(A12,"YYYYMMDD")&amp;"|Reel"),Calc!$AL:$AL,0)),""))</f>
        <v/>
      </c>
      <c r="H12" s="61" t="str">
        <f t="array" ref="H12">IF(A12="","",IFERROR(INDEX(Calc!$K:$K,MATCH(IF(A12="","",TEXT(A12,"YYYYMMDD")&amp;"|Reel"),Calc!$AL:$AL,0)),""))</f>
        <v/>
      </c>
      <c r="I12" s="61" t="str">
        <f t="array" ref="I12">IF(A12="","",IFERROR(INDEX(Calc!$L:$L,MATCH(IF(A12="","",TEXT(A12,"YYYYMMDD")&amp;"|Reel"),Calc!$AL:$AL,0)),""))</f>
        <v/>
      </c>
      <c r="J12" s="61" t="str">
        <f t="array" ref="J12">IF(A12="","",IFERROR(INDEX(Calc!$M:$M,MATCH(IF(A12="","",TEXT(A12,"YYYYMMDD")&amp;"|Reel"),Calc!$AL:$AL,0)),""))</f>
        <v/>
      </c>
      <c r="K12" s="61" t="str">
        <f t="array" ref="K12">IF(A12="","",IFERROR(INDEX(Calc!$N:$N,MATCH(IF(A12="","",TEXT(A12,"YYYYMMDD")&amp;"|Reel"),Calc!$AL:$AL,0)),""))</f>
        <v/>
      </c>
      <c r="L12" s="62" t="str">
        <f t="array" ref="L12">IF(A12="","",IFERROR(INDEX(Calc!$AH:$AH,MATCH(IF(A12="","",TEXT(A12,"YYYYMMDD")&amp;"|Reel"),Calc!$AL:$AL,0)),""))</f>
        <v/>
      </c>
    </row>
    <row r="13">
      <c r="A13" s="59" t="str">
        <f>IFERROR(AGGREGATE(14,6,(Calc!$B$2:$B$501)/((Calc!$AK$2:$AK$501=1)*(Calc!$G$2:$G$501="Reel")),2),"")</f>
        <v/>
      </c>
      <c r="B13" s="60" t="str">
        <f t="array" ref="B13">IF(A13="","",IFERROR(INDEX(Calc!$E:$E,MATCH(IF(A13="","",TEXT(A13,"YYYYMMDD")&amp;"|Reel"),Calc!$AL:$AL,0)),""))</f>
        <v/>
      </c>
      <c r="C13" s="60" t="str">
        <f t="array" ref="C13">IF(A13="","",IFERROR(INDEX(Calc!$D:$D,MATCH(IF(A13="","",TEXT(A13,"YYYYMMDD")&amp;"|Reel"),Calc!$AL:$AL,0)),""))</f>
        <v/>
      </c>
      <c r="D13" s="60" t="str">
        <f t="array" ref="D13">IF(A13="","",IFERROR(INDEX(Calc!$F:$F,MATCH(IF(A13="","",TEXT(A13,"YYYYMMDD")&amp;"|Reel"),Calc!$AL:$AL,0)),""))</f>
        <v/>
      </c>
      <c r="E13" s="60" t="str">
        <f t="array" ref="E13">IF(A13="","",IFERROR(INDEX(Calc!$H:$H,MATCH(IF(A13="","",TEXT(A13,"YYYYMMDD")&amp;"|Reel"),Calc!$AL:$AL,0)),""))</f>
        <v/>
      </c>
      <c r="F13" s="61" t="str">
        <f t="array" ref="F13">IF(A13="","",IFERROR(INDEX(Calc!$I:$I,MATCH(IF(A13="","",TEXT(A13,"YYYYMMDD")&amp;"|Reel"),Calc!$AL:$AL,0)),""))</f>
        <v/>
      </c>
      <c r="G13" s="61" t="str">
        <f t="array" ref="G13">IF(A13="","",IFERROR(INDEX(Calc!$J:$J,MATCH(IF(A13="","",TEXT(A13,"YYYYMMDD")&amp;"|Reel"),Calc!$AL:$AL,0)),""))</f>
        <v/>
      </c>
      <c r="H13" s="61" t="str">
        <f t="array" ref="H13">IF(A13="","",IFERROR(INDEX(Calc!$K:$K,MATCH(IF(A13="","",TEXT(A13,"YYYYMMDD")&amp;"|Reel"),Calc!$AL:$AL,0)),""))</f>
        <v/>
      </c>
      <c r="I13" s="61" t="str">
        <f t="array" ref="I13">IF(A13="","",IFERROR(INDEX(Calc!$L:$L,MATCH(IF(A13="","",TEXT(A13,"YYYYMMDD")&amp;"|Reel"),Calc!$AL:$AL,0)),""))</f>
        <v/>
      </c>
      <c r="J13" s="61" t="str">
        <f t="array" ref="J13">IF(A13="","",IFERROR(INDEX(Calc!$M:$M,MATCH(IF(A13="","",TEXT(A13,"YYYYMMDD")&amp;"|Reel"),Calc!$AL:$AL,0)),""))</f>
        <v/>
      </c>
      <c r="K13" s="61" t="str">
        <f t="array" ref="K13">IF(A13="","",IFERROR(INDEX(Calc!$N:$N,MATCH(IF(A13="","",TEXT(A13,"YYYYMMDD")&amp;"|Reel"),Calc!$AL:$AL,0)),""))</f>
        <v/>
      </c>
      <c r="L13" s="62" t="str">
        <f t="array" ref="L13">IF(A13="","",IFERROR(INDEX(Calc!$AH:$AH,MATCH(IF(A13="","",TEXT(A13,"YYYYMMDD")&amp;"|Reel"),Calc!$AL:$AL,0)),""))</f>
        <v/>
      </c>
    </row>
    <row r="14">
      <c r="A14" s="59" t="str">
        <f>IFERROR(AGGREGATE(14,6,(Calc!$B$2:$B$501)/((Calc!$AK$2:$AK$501=1)*(Calc!$G$2:$G$501="Reel")),3),"")</f>
        <v/>
      </c>
      <c r="B14" s="60" t="str">
        <f t="array" ref="B14">IF(A14="","",IFERROR(INDEX(Calc!$E:$E,MATCH(IF(A14="","",TEXT(A14,"YYYYMMDD")&amp;"|Reel"),Calc!$AL:$AL,0)),""))</f>
        <v/>
      </c>
      <c r="C14" s="60" t="str">
        <f t="array" ref="C14">IF(A14="","",IFERROR(INDEX(Calc!$D:$D,MATCH(IF(A14="","",TEXT(A14,"YYYYMMDD")&amp;"|Reel"),Calc!$AL:$AL,0)),""))</f>
        <v/>
      </c>
      <c r="D14" s="60" t="str">
        <f t="array" ref="D14">IF(A14="","",IFERROR(INDEX(Calc!$F:$F,MATCH(IF(A14="","",TEXT(A14,"YYYYMMDD")&amp;"|Reel"),Calc!$AL:$AL,0)),""))</f>
        <v/>
      </c>
      <c r="E14" s="60" t="str">
        <f t="array" ref="E14">IF(A14="","",IFERROR(INDEX(Calc!$H:$H,MATCH(IF(A14="","",TEXT(A14,"YYYYMMDD")&amp;"|Reel"),Calc!$AL:$AL,0)),""))</f>
        <v/>
      </c>
      <c r="F14" s="61" t="str">
        <f t="array" ref="F14">IF(A14="","",IFERROR(INDEX(Calc!$I:$I,MATCH(IF(A14="","",TEXT(A14,"YYYYMMDD")&amp;"|Reel"),Calc!$AL:$AL,0)),""))</f>
        <v/>
      </c>
      <c r="G14" s="61" t="str">
        <f t="array" ref="G14">IF(A14="","",IFERROR(INDEX(Calc!$J:$J,MATCH(IF(A14="","",TEXT(A14,"YYYYMMDD")&amp;"|Reel"),Calc!$AL:$AL,0)),""))</f>
        <v/>
      </c>
      <c r="H14" s="61" t="str">
        <f t="array" ref="H14">IF(A14="","",IFERROR(INDEX(Calc!$K:$K,MATCH(IF(A14="","",TEXT(A14,"YYYYMMDD")&amp;"|Reel"),Calc!$AL:$AL,0)),""))</f>
        <v/>
      </c>
      <c r="I14" s="61" t="str">
        <f t="array" ref="I14">IF(A14="","",IFERROR(INDEX(Calc!$L:$L,MATCH(IF(A14="","",TEXT(A14,"YYYYMMDD")&amp;"|Reel"),Calc!$AL:$AL,0)),""))</f>
        <v/>
      </c>
      <c r="J14" s="61" t="str">
        <f t="array" ref="J14">IF(A14="","",IFERROR(INDEX(Calc!$M:$M,MATCH(IF(A14="","",TEXT(A14,"YYYYMMDD")&amp;"|Reel"),Calc!$AL:$AL,0)),""))</f>
        <v/>
      </c>
      <c r="K14" s="61" t="str">
        <f t="array" ref="K14">IF(A14="","",IFERROR(INDEX(Calc!$N:$N,MATCH(IF(A14="","",TEXT(A14,"YYYYMMDD")&amp;"|Reel"),Calc!$AL:$AL,0)),""))</f>
        <v/>
      </c>
      <c r="L14" s="62" t="str">
        <f t="array" ref="L14">IF(A14="","",IFERROR(INDEX(Calc!$AH:$AH,MATCH(IF(A14="","",TEXT(A14,"YYYYMMDD")&amp;"|Reel"),Calc!$AL:$AL,0)),""))</f>
        <v/>
      </c>
    </row>
    <row r="15">
      <c r="A15" s="59" t="str">
        <f>IFERROR(AGGREGATE(14,6,(Calc!$B$2:$B$501)/((Calc!$AK$2:$AK$501=1)*(Calc!$G$2:$G$501="Reel")),4),"")</f>
        <v/>
      </c>
      <c r="B15" s="60" t="str">
        <f t="array" ref="B15">IF(A15="","",IFERROR(INDEX(Calc!$E:$E,MATCH(IF(A15="","",TEXT(A15,"YYYYMMDD")&amp;"|Reel"),Calc!$AL:$AL,0)),""))</f>
        <v/>
      </c>
      <c r="C15" s="60" t="str">
        <f t="array" ref="C15">IF(A15="","",IFERROR(INDEX(Calc!$D:$D,MATCH(IF(A15="","",TEXT(A15,"YYYYMMDD")&amp;"|Reel"),Calc!$AL:$AL,0)),""))</f>
        <v/>
      </c>
      <c r="D15" s="60" t="str">
        <f t="array" ref="D15">IF(A15="","",IFERROR(INDEX(Calc!$F:$F,MATCH(IF(A15="","",TEXT(A15,"YYYYMMDD")&amp;"|Reel"),Calc!$AL:$AL,0)),""))</f>
        <v/>
      </c>
      <c r="E15" s="60" t="str">
        <f t="array" ref="E15">IF(A15="","",IFERROR(INDEX(Calc!$H:$H,MATCH(IF(A15="","",TEXT(A15,"YYYYMMDD")&amp;"|Reel"),Calc!$AL:$AL,0)),""))</f>
        <v/>
      </c>
      <c r="F15" s="61" t="str">
        <f t="array" ref="F15">IF(A15="","",IFERROR(INDEX(Calc!$I:$I,MATCH(IF(A15="","",TEXT(A15,"YYYYMMDD")&amp;"|Reel"),Calc!$AL:$AL,0)),""))</f>
        <v/>
      </c>
      <c r="G15" s="61" t="str">
        <f t="array" ref="G15">IF(A15="","",IFERROR(INDEX(Calc!$J:$J,MATCH(IF(A15="","",TEXT(A15,"YYYYMMDD")&amp;"|Reel"),Calc!$AL:$AL,0)),""))</f>
        <v/>
      </c>
      <c r="H15" s="61" t="str">
        <f t="array" ref="H15">IF(A15="","",IFERROR(INDEX(Calc!$K:$K,MATCH(IF(A15="","",TEXT(A15,"YYYYMMDD")&amp;"|Reel"),Calc!$AL:$AL,0)),""))</f>
        <v/>
      </c>
      <c r="I15" s="61" t="str">
        <f t="array" ref="I15">IF(A15="","",IFERROR(INDEX(Calc!$L:$L,MATCH(IF(A15="","",TEXT(A15,"YYYYMMDD")&amp;"|Reel"),Calc!$AL:$AL,0)),""))</f>
        <v/>
      </c>
      <c r="J15" s="61" t="str">
        <f t="array" ref="J15">IF(A15="","",IFERROR(INDEX(Calc!$M:$M,MATCH(IF(A15="","",TEXT(A15,"YYYYMMDD")&amp;"|Reel"),Calc!$AL:$AL,0)),""))</f>
        <v/>
      </c>
      <c r="K15" s="61" t="str">
        <f t="array" ref="K15">IF(A15="","",IFERROR(INDEX(Calc!$N:$N,MATCH(IF(A15="","",TEXT(A15,"YYYYMMDD")&amp;"|Reel"),Calc!$AL:$AL,0)),""))</f>
        <v/>
      </c>
      <c r="L15" s="62" t="str">
        <f t="array" ref="L15">IF(A15="","",IFERROR(INDEX(Calc!$AH:$AH,MATCH(IF(A15="","",TEXT(A15,"YYYYMMDD")&amp;"|Reel"),Calc!$AL:$AL,0)),""))</f>
        <v/>
      </c>
    </row>
    <row r="16">
      <c r="A16" s="59" t="str">
        <f>IFERROR(AGGREGATE(14,6,(Calc!$B$2:$B$501)/((Calc!$AK$2:$AK$501=1)*(Calc!$G$2:$G$501="Reel")),5),"")</f>
        <v/>
      </c>
      <c r="B16" s="60" t="str">
        <f t="array" ref="B16">IF(A16="","",IFERROR(INDEX(Calc!$E:$E,MATCH(IF(A16="","",TEXT(A16,"YYYYMMDD")&amp;"|Reel"),Calc!$AL:$AL,0)),""))</f>
        <v/>
      </c>
      <c r="C16" s="60" t="str">
        <f t="array" ref="C16">IF(A16="","",IFERROR(INDEX(Calc!$D:$D,MATCH(IF(A16="","",TEXT(A16,"YYYYMMDD")&amp;"|Reel"),Calc!$AL:$AL,0)),""))</f>
        <v/>
      </c>
      <c r="D16" s="60" t="str">
        <f t="array" ref="D16">IF(A16="","",IFERROR(INDEX(Calc!$F:$F,MATCH(IF(A16="","",TEXT(A16,"YYYYMMDD")&amp;"|Reel"),Calc!$AL:$AL,0)),""))</f>
        <v/>
      </c>
      <c r="E16" s="60" t="str">
        <f t="array" ref="E16">IF(A16="","",IFERROR(INDEX(Calc!$H:$H,MATCH(IF(A16="","",TEXT(A16,"YYYYMMDD")&amp;"|Reel"),Calc!$AL:$AL,0)),""))</f>
        <v/>
      </c>
      <c r="F16" s="61" t="str">
        <f t="array" ref="F16">IF(A16="","",IFERROR(INDEX(Calc!$I:$I,MATCH(IF(A16="","",TEXT(A16,"YYYYMMDD")&amp;"|Reel"),Calc!$AL:$AL,0)),""))</f>
        <v/>
      </c>
      <c r="G16" s="61" t="str">
        <f t="array" ref="G16">IF(A16="","",IFERROR(INDEX(Calc!$J:$J,MATCH(IF(A16="","",TEXT(A16,"YYYYMMDD")&amp;"|Reel"),Calc!$AL:$AL,0)),""))</f>
        <v/>
      </c>
      <c r="H16" s="61" t="str">
        <f t="array" ref="H16">IF(A16="","",IFERROR(INDEX(Calc!$K:$K,MATCH(IF(A16="","",TEXT(A16,"YYYYMMDD")&amp;"|Reel"),Calc!$AL:$AL,0)),""))</f>
        <v/>
      </c>
      <c r="I16" s="61" t="str">
        <f t="array" ref="I16">IF(A16="","",IFERROR(INDEX(Calc!$L:$L,MATCH(IF(A16="","",TEXT(A16,"YYYYMMDD")&amp;"|Reel"),Calc!$AL:$AL,0)),""))</f>
        <v/>
      </c>
      <c r="J16" s="61" t="str">
        <f t="array" ref="J16">IF(A16="","",IFERROR(INDEX(Calc!$M:$M,MATCH(IF(A16="","",TEXT(A16,"YYYYMMDD")&amp;"|Reel"),Calc!$AL:$AL,0)),""))</f>
        <v/>
      </c>
      <c r="K16" s="61" t="str">
        <f t="array" ref="K16">IF(A16="","",IFERROR(INDEX(Calc!$N:$N,MATCH(IF(A16="","",TEXT(A16,"YYYYMMDD")&amp;"|Reel"),Calc!$AL:$AL,0)),""))</f>
        <v/>
      </c>
      <c r="L16" s="62" t="str">
        <f t="array" ref="L16">IF(A16="","",IFERROR(INDEX(Calc!$AH:$AH,MATCH(IF(A16="","",TEXT(A16,"YYYYMMDD")&amp;"|Reel"),Calc!$AL:$AL,0)),""))</f>
        <v/>
      </c>
    </row>
    <row r="17">
      <c r="A17" s="59" t="str">
        <f>IFERROR(AGGREGATE(14,6,(Calc!$B$2:$B$501)/((Calc!$AK$2:$AK$501=1)*(Calc!$G$2:$G$501="Reel")),6),"")</f>
        <v/>
      </c>
      <c r="B17" s="60" t="str">
        <f t="array" ref="B17">IF(A17="","",IFERROR(INDEX(Calc!$E:$E,MATCH(IF(A17="","",TEXT(A17,"YYYYMMDD")&amp;"|Reel"),Calc!$AL:$AL,0)),""))</f>
        <v/>
      </c>
      <c r="C17" s="60" t="str">
        <f t="array" ref="C17">IF(A17="","",IFERROR(INDEX(Calc!$D:$D,MATCH(IF(A17="","",TEXT(A17,"YYYYMMDD")&amp;"|Reel"),Calc!$AL:$AL,0)),""))</f>
        <v/>
      </c>
      <c r="D17" s="60" t="str">
        <f t="array" ref="D17">IF(A17="","",IFERROR(INDEX(Calc!$F:$F,MATCH(IF(A17="","",TEXT(A17,"YYYYMMDD")&amp;"|Reel"),Calc!$AL:$AL,0)),""))</f>
        <v/>
      </c>
      <c r="E17" s="60" t="str">
        <f t="array" ref="E17">IF(A17="","",IFERROR(INDEX(Calc!$H:$H,MATCH(IF(A17="","",TEXT(A17,"YYYYMMDD")&amp;"|Reel"),Calc!$AL:$AL,0)),""))</f>
        <v/>
      </c>
      <c r="F17" s="61" t="str">
        <f t="array" ref="F17">IF(A17="","",IFERROR(INDEX(Calc!$I:$I,MATCH(IF(A17="","",TEXT(A17,"YYYYMMDD")&amp;"|Reel"),Calc!$AL:$AL,0)),""))</f>
        <v/>
      </c>
      <c r="G17" s="61" t="str">
        <f t="array" ref="G17">IF(A17="","",IFERROR(INDEX(Calc!$J:$J,MATCH(IF(A17="","",TEXT(A17,"YYYYMMDD")&amp;"|Reel"),Calc!$AL:$AL,0)),""))</f>
        <v/>
      </c>
      <c r="H17" s="61" t="str">
        <f t="array" ref="H17">IF(A17="","",IFERROR(INDEX(Calc!$K:$K,MATCH(IF(A17="","",TEXT(A17,"YYYYMMDD")&amp;"|Reel"),Calc!$AL:$AL,0)),""))</f>
        <v/>
      </c>
      <c r="I17" s="61" t="str">
        <f t="array" ref="I17">IF(A17="","",IFERROR(INDEX(Calc!$L:$L,MATCH(IF(A17="","",TEXT(A17,"YYYYMMDD")&amp;"|Reel"),Calc!$AL:$AL,0)),""))</f>
        <v/>
      </c>
      <c r="J17" s="61" t="str">
        <f t="array" ref="J17">IF(A17="","",IFERROR(INDEX(Calc!$M:$M,MATCH(IF(A17="","",TEXT(A17,"YYYYMMDD")&amp;"|Reel"),Calc!$AL:$AL,0)),""))</f>
        <v/>
      </c>
      <c r="K17" s="61" t="str">
        <f t="array" ref="K17">IF(A17="","",IFERROR(INDEX(Calc!$N:$N,MATCH(IF(A17="","",TEXT(A17,"YYYYMMDD")&amp;"|Reel"),Calc!$AL:$AL,0)),""))</f>
        <v/>
      </c>
      <c r="L17" s="62" t="str">
        <f t="array" ref="L17">IF(A17="","",IFERROR(INDEX(Calc!$AH:$AH,MATCH(IF(A17="","",TEXT(A17,"YYYYMMDD")&amp;"|Reel"),Calc!$AL:$AL,0)),""))</f>
        <v/>
      </c>
    </row>
    <row r="18">
      <c r="A18" s="59" t="str">
        <f>IFERROR(AGGREGATE(14,6,(Calc!$B$2:$B$501)/((Calc!$AK$2:$AK$501=1)*(Calc!$G$2:$G$501="Reel")),7),"")</f>
        <v/>
      </c>
      <c r="B18" s="60" t="str">
        <f t="array" ref="B18">IF(A18="","",IFERROR(INDEX(Calc!$E:$E,MATCH(IF(A18="","",TEXT(A18,"YYYYMMDD")&amp;"|Reel"),Calc!$AL:$AL,0)),""))</f>
        <v/>
      </c>
      <c r="C18" s="60" t="str">
        <f t="array" ref="C18">IF(A18="","",IFERROR(INDEX(Calc!$D:$D,MATCH(IF(A18="","",TEXT(A18,"YYYYMMDD")&amp;"|Reel"),Calc!$AL:$AL,0)),""))</f>
        <v/>
      </c>
      <c r="D18" s="60" t="str">
        <f t="array" ref="D18">IF(A18="","",IFERROR(INDEX(Calc!$F:$F,MATCH(IF(A18="","",TEXT(A18,"YYYYMMDD")&amp;"|Reel"),Calc!$AL:$AL,0)),""))</f>
        <v/>
      </c>
      <c r="E18" s="60" t="str">
        <f t="array" ref="E18">IF(A18="","",IFERROR(INDEX(Calc!$H:$H,MATCH(IF(A18="","",TEXT(A18,"YYYYMMDD")&amp;"|Reel"),Calc!$AL:$AL,0)),""))</f>
        <v/>
      </c>
      <c r="F18" s="61" t="str">
        <f t="array" ref="F18">IF(A18="","",IFERROR(INDEX(Calc!$I:$I,MATCH(IF(A18="","",TEXT(A18,"YYYYMMDD")&amp;"|Reel"),Calc!$AL:$AL,0)),""))</f>
        <v/>
      </c>
      <c r="G18" s="61" t="str">
        <f t="array" ref="G18">IF(A18="","",IFERROR(INDEX(Calc!$J:$J,MATCH(IF(A18="","",TEXT(A18,"YYYYMMDD")&amp;"|Reel"),Calc!$AL:$AL,0)),""))</f>
        <v/>
      </c>
      <c r="H18" s="61" t="str">
        <f t="array" ref="H18">IF(A18="","",IFERROR(INDEX(Calc!$K:$K,MATCH(IF(A18="","",TEXT(A18,"YYYYMMDD")&amp;"|Reel"),Calc!$AL:$AL,0)),""))</f>
        <v/>
      </c>
      <c r="I18" s="61" t="str">
        <f t="array" ref="I18">IF(A18="","",IFERROR(INDEX(Calc!$L:$L,MATCH(IF(A18="","",TEXT(A18,"YYYYMMDD")&amp;"|Reel"),Calc!$AL:$AL,0)),""))</f>
        <v/>
      </c>
      <c r="J18" s="61" t="str">
        <f t="array" ref="J18">IF(A18="","",IFERROR(INDEX(Calc!$M:$M,MATCH(IF(A18="","",TEXT(A18,"YYYYMMDD")&amp;"|Reel"),Calc!$AL:$AL,0)),""))</f>
        <v/>
      </c>
      <c r="K18" s="61" t="str">
        <f t="array" ref="K18">IF(A18="","",IFERROR(INDEX(Calc!$N:$N,MATCH(IF(A18="","",TEXT(A18,"YYYYMMDD")&amp;"|Reel"),Calc!$AL:$AL,0)),""))</f>
        <v/>
      </c>
      <c r="L18" s="62" t="str">
        <f t="array" ref="L18">IF(A18="","",IFERROR(INDEX(Calc!$AH:$AH,MATCH(IF(A18="","",TEXT(A18,"YYYYMMDD")&amp;"|Reel"),Calc!$AL:$AL,0)),""))</f>
        <v/>
      </c>
    </row>
    <row r="19">
      <c r="A19" s="59" t="str">
        <f>IFERROR(AGGREGATE(14,6,(Calc!$B$2:$B$501)/((Calc!$AK$2:$AK$501=1)*(Calc!$G$2:$G$501="Reel")),8),"")</f>
        <v/>
      </c>
      <c r="B19" s="60" t="str">
        <f t="array" ref="B19">IF(A19="","",IFERROR(INDEX(Calc!$E:$E,MATCH(IF(A19="","",TEXT(A19,"YYYYMMDD")&amp;"|Reel"),Calc!$AL:$AL,0)),""))</f>
        <v/>
      </c>
      <c r="C19" s="60" t="str">
        <f t="array" ref="C19">IF(A19="","",IFERROR(INDEX(Calc!$D:$D,MATCH(IF(A19="","",TEXT(A19,"YYYYMMDD")&amp;"|Reel"),Calc!$AL:$AL,0)),""))</f>
        <v/>
      </c>
      <c r="D19" s="60" t="str">
        <f t="array" ref="D19">IF(A19="","",IFERROR(INDEX(Calc!$F:$F,MATCH(IF(A19="","",TEXT(A19,"YYYYMMDD")&amp;"|Reel"),Calc!$AL:$AL,0)),""))</f>
        <v/>
      </c>
      <c r="E19" s="60" t="str">
        <f t="array" ref="E19">IF(A19="","",IFERROR(INDEX(Calc!$H:$H,MATCH(IF(A19="","",TEXT(A19,"YYYYMMDD")&amp;"|Reel"),Calc!$AL:$AL,0)),""))</f>
        <v/>
      </c>
      <c r="F19" s="61" t="str">
        <f t="array" ref="F19">IF(A19="","",IFERROR(INDEX(Calc!$I:$I,MATCH(IF(A19="","",TEXT(A19,"YYYYMMDD")&amp;"|Reel"),Calc!$AL:$AL,0)),""))</f>
        <v/>
      </c>
      <c r="G19" s="61" t="str">
        <f t="array" ref="G19">IF(A19="","",IFERROR(INDEX(Calc!$J:$J,MATCH(IF(A19="","",TEXT(A19,"YYYYMMDD")&amp;"|Reel"),Calc!$AL:$AL,0)),""))</f>
        <v/>
      </c>
      <c r="H19" s="61" t="str">
        <f t="array" ref="H19">IF(A19="","",IFERROR(INDEX(Calc!$K:$K,MATCH(IF(A19="","",TEXT(A19,"YYYYMMDD")&amp;"|Reel"),Calc!$AL:$AL,0)),""))</f>
        <v/>
      </c>
      <c r="I19" s="61" t="str">
        <f t="array" ref="I19">IF(A19="","",IFERROR(INDEX(Calc!$L:$L,MATCH(IF(A19="","",TEXT(A19,"YYYYMMDD")&amp;"|Reel"),Calc!$AL:$AL,0)),""))</f>
        <v/>
      </c>
      <c r="J19" s="61" t="str">
        <f t="array" ref="J19">IF(A19="","",IFERROR(INDEX(Calc!$M:$M,MATCH(IF(A19="","",TEXT(A19,"YYYYMMDD")&amp;"|Reel"),Calc!$AL:$AL,0)),""))</f>
        <v/>
      </c>
      <c r="K19" s="61" t="str">
        <f t="array" ref="K19">IF(A19="","",IFERROR(INDEX(Calc!$N:$N,MATCH(IF(A19="","",TEXT(A19,"YYYYMMDD")&amp;"|Reel"),Calc!$AL:$AL,0)),""))</f>
        <v/>
      </c>
      <c r="L19" s="62" t="str">
        <f t="array" ref="L19">IF(A19="","",IFERROR(INDEX(Calc!$AH:$AH,MATCH(IF(A19="","",TEXT(A19,"YYYYMMDD")&amp;"|Reel"),Calc!$AL:$AL,0)),""))</f>
        <v/>
      </c>
    </row>
    <row r="20">
      <c r="A20" s="59" t="str">
        <f>IFERROR(AGGREGATE(14,6,(Calc!$B$2:$B$501)/((Calc!$AK$2:$AK$501=1)*(Calc!$G$2:$G$501="Reel")),9),"")</f>
        <v/>
      </c>
      <c r="B20" s="60" t="str">
        <f t="array" ref="B20">IF(A20="","",IFERROR(INDEX(Calc!$E:$E,MATCH(IF(A20="","",TEXT(A20,"YYYYMMDD")&amp;"|Reel"),Calc!$AL:$AL,0)),""))</f>
        <v/>
      </c>
      <c r="C20" s="60" t="str">
        <f t="array" ref="C20">IF(A20="","",IFERROR(INDEX(Calc!$D:$D,MATCH(IF(A20="","",TEXT(A20,"YYYYMMDD")&amp;"|Reel"),Calc!$AL:$AL,0)),""))</f>
        <v/>
      </c>
      <c r="D20" s="60" t="str">
        <f t="array" ref="D20">IF(A20="","",IFERROR(INDEX(Calc!$F:$F,MATCH(IF(A20="","",TEXT(A20,"YYYYMMDD")&amp;"|Reel"),Calc!$AL:$AL,0)),""))</f>
        <v/>
      </c>
      <c r="E20" s="60" t="str">
        <f t="array" ref="E20">IF(A20="","",IFERROR(INDEX(Calc!$H:$H,MATCH(IF(A20="","",TEXT(A20,"YYYYMMDD")&amp;"|Reel"),Calc!$AL:$AL,0)),""))</f>
        <v/>
      </c>
      <c r="F20" s="61" t="str">
        <f t="array" ref="F20">IF(A20="","",IFERROR(INDEX(Calc!$I:$I,MATCH(IF(A20="","",TEXT(A20,"YYYYMMDD")&amp;"|Reel"),Calc!$AL:$AL,0)),""))</f>
        <v/>
      </c>
      <c r="G20" s="61" t="str">
        <f t="array" ref="G20">IF(A20="","",IFERROR(INDEX(Calc!$J:$J,MATCH(IF(A20="","",TEXT(A20,"YYYYMMDD")&amp;"|Reel"),Calc!$AL:$AL,0)),""))</f>
        <v/>
      </c>
      <c r="H20" s="61" t="str">
        <f t="array" ref="H20">IF(A20="","",IFERROR(INDEX(Calc!$K:$K,MATCH(IF(A20="","",TEXT(A20,"YYYYMMDD")&amp;"|Reel"),Calc!$AL:$AL,0)),""))</f>
        <v/>
      </c>
      <c r="I20" s="61" t="str">
        <f t="array" ref="I20">IF(A20="","",IFERROR(INDEX(Calc!$L:$L,MATCH(IF(A20="","",TEXT(A20,"YYYYMMDD")&amp;"|Reel"),Calc!$AL:$AL,0)),""))</f>
        <v/>
      </c>
      <c r="J20" s="61" t="str">
        <f t="array" ref="J20">IF(A20="","",IFERROR(INDEX(Calc!$M:$M,MATCH(IF(A20="","",TEXT(A20,"YYYYMMDD")&amp;"|Reel"),Calc!$AL:$AL,0)),""))</f>
        <v/>
      </c>
      <c r="K20" s="61" t="str">
        <f t="array" ref="K20">IF(A20="","",IFERROR(INDEX(Calc!$N:$N,MATCH(IF(A20="","",TEXT(A20,"YYYYMMDD")&amp;"|Reel"),Calc!$AL:$AL,0)),""))</f>
        <v/>
      </c>
      <c r="L20" s="62" t="str">
        <f t="array" ref="L20">IF(A20="","",IFERROR(INDEX(Calc!$AH:$AH,MATCH(IF(A20="","",TEXT(A20,"YYYYMMDD")&amp;"|Reel"),Calc!$AL:$AL,0)),""))</f>
        <v/>
      </c>
    </row>
    <row r="21" ht="15.75" customHeight="1">
      <c r="A21" s="59" t="str">
        <f>IFERROR(AGGREGATE(14,6,(Calc!$B$2:$B$501)/((Calc!$AK$2:$AK$501=1)*(Calc!$G$2:$G$501="Reel")),10),"")</f>
        <v/>
      </c>
      <c r="B21" s="60" t="str">
        <f t="array" ref="B21">IF(A21="","",IFERROR(INDEX(Calc!$E:$E,MATCH(IF(A21="","",TEXT(A21,"YYYYMMDD")&amp;"|Reel"),Calc!$AL:$AL,0)),""))</f>
        <v/>
      </c>
      <c r="C21" s="60" t="str">
        <f t="array" ref="C21">IF(A21="","",IFERROR(INDEX(Calc!$D:$D,MATCH(IF(A21="","",TEXT(A21,"YYYYMMDD")&amp;"|Reel"),Calc!$AL:$AL,0)),""))</f>
        <v/>
      </c>
      <c r="D21" s="60" t="str">
        <f t="array" ref="D21">IF(A21="","",IFERROR(INDEX(Calc!$F:$F,MATCH(IF(A21="","",TEXT(A21,"YYYYMMDD")&amp;"|Reel"),Calc!$AL:$AL,0)),""))</f>
        <v/>
      </c>
      <c r="E21" s="60" t="str">
        <f t="array" ref="E21">IF(A21="","",IFERROR(INDEX(Calc!$H:$H,MATCH(IF(A21="","",TEXT(A21,"YYYYMMDD")&amp;"|Reel"),Calc!$AL:$AL,0)),""))</f>
        <v/>
      </c>
      <c r="F21" s="61" t="str">
        <f t="array" ref="F21">IF(A21="","",IFERROR(INDEX(Calc!$I:$I,MATCH(IF(A21="","",TEXT(A21,"YYYYMMDD")&amp;"|Reel"),Calc!$AL:$AL,0)),""))</f>
        <v/>
      </c>
      <c r="G21" s="61" t="str">
        <f t="array" ref="G21">IF(A21="","",IFERROR(INDEX(Calc!$J:$J,MATCH(IF(A21="","",TEXT(A21,"YYYYMMDD")&amp;"|Reel"),Calc!$AL:$AL,0)),""))</f>
        <v/>
      </c>
      <c r="H21" s="61" t="str">
        <f t="array" ref="H21">IF(A21="","",IFERROR(INDEX(Calc!$K:$K,MATCH(IF(A21="","",TEXT(A21,"YYYYMMDD")&amp;"|Reel"),Calc!$AL:$AL,0)),""))</f>
        <v/>
      </c>
      <c r="I21" s="61" t="str">
        <f t="array" ref="I21">IF(A21="","",IFERROR(INDEX(Calc!$L:$L,MATCH(IF(A21="","",TEXT(A21,"YYYYMMDD")&amp;"|Reel"),Calc!$AL:$AL,0)),""))</f>
        <v/>
      </c>
      <c r="J21" s="61" t="str">
        <f t="array" ref="J21">IF(A21="","",IFERROR(INDEX(Calc!$M:$M,MATCH(IF(A21="","",TEXT(A21,"YYYYMMDD")&amp;"|Reel"),Calc!$AL:$AL,0)),""))</f>
        <v/>
      </c>
      <c r="K21" s="61" t="str">
        <f t="array" ref="K21">IF(A21="","",IFERROR(INDEX(Calc!$N:$N,MATCH(IF(A21="","",TEXT(A21,"YYYYMMDD")&amp;"|Reel"),Calc!$AL:$AL,0)),""))</f>
        <v/>
      </c>
      <c r="L21" s="62" t="str">
        <f t="array" ref="L21">IF(A21="","",IFERROR(INDEX(Calc!$AH:$AH,MATCH(IF(A21="","",TEXT(A21,"YYYYMMDD")&amp;"|Reel"),Calc!$AL:$AL,0)),""))</f>
        <v/>
      </c>
    </row>
    <row r="22" ht="15.75" customHeight="1">
      <c r="A22" s="59" t="str">
        <f>IFERROR(AGGREGATE(14,6,(Calc!$B$2:$B$501)/((Calc!$AK$2:$AK$501=1)*(Calc!$G$2:$G$501="Reel")),11),"")</f>
        <v/>
      </c>
      <c r="B22" s="60" t="str">
        <f t="array" ref="B22">IF(A22="","",IFERROR(INDEX(Calc!$E:$E,MATCH(IF(A22="","",TEXT(A22,"YYYYMMDD")&amp;"|Reel"),Calc!$AL:$AL,0)),""))</f>
        <v/>
      </c>
      <c r="C22" s="60" t="str">
        <f t="array" ref="C22">IF(A22="","",IFERROR(INDEX(Calc!$D:$D,MATCH(IF(A22="","",TEXT(A22,"YYYYMMDD")&amp;"|Reel"),Calc!$AL:$AL,0)),""))</f>
        <v/>
      </c>
      <c r="D22" s="60" t="str">
        <f t="array" ref="D22">IF(A22="","",IFERROR(INDEX(Calc!$F:$F,MATCH(IF(A22="","",TEXT(A22,"YYYYMMDD")&amp;"|Reel"),Calc!$AL:$AL,0)),""))</f>
        <v/>
      </c>
      <c r="E22" s="60" t="str">
        <f t="array" ref="E22">IF(A22="","",IFERROR(INDEX(Calc!$H:$H,MATCH(IF(A22="","",TEXT(A22,"YYYYMMDD")&amp;"|Reel"),Calc!$AL:$AL,0)),""))</f>
        <v/>
      </c>
      <c r="F22" s="61" t="str">
        <f t="array" ref="F22">IF(A22="","",IFERROR(INDEX(Calc!$I:$I,MATCH(IF(A22="","",TEXT(A22,"YYYYMMDD")&amp;"|Reel"),Calc!$AL:$AL,0)),""))</f>
        <v/>
      </c>
      <c r="G22" s="61" t="str">
        <f t="array" ref="G22">IF(A22="","",IFERROR(INDEX(Calc!$J:$J,MATCH(IF(A22="","",TEXT(A22,"YYYYMMDD")&amp;"|Reel"),Calc!$AL:$AL,0)),""))</f>
        <v/>
      </c>
      <c r="H22" s="61" t="str">
        <f t="array" ref="H22">IF(A22="","",IFERROR(INDEX(Calc!$K:$K,MATCH(IF(A22="","",TEXT(A22,"YYYYMMDD")&amp;"|Reel"),Calc!$AL:$AL,0)),""))</f>
        <v/>
      </c>
      <c r="I22" s="61" t="str">
        <f t="array" ref="I22">IF(A22="","",IFERROR(INDEX(Calc!$L:$L,MATCH(IF(A22="","",TEXT(A22,"YYYYMMDD")&amp;"|Reel"),Calc!$AL:$AL,0)),""))</f>
        <v/>
      </c>
      <c r="J22" s="61" t="str">
        <f t="array" ref="J22">IF(A22="","",IFERROR(INDEX(Calc!$M:$M,MATCH(IF(A22="","",TEXT(A22,"YYYYMMDD")&amp;"|Reel"),Calc!$AL:$AL,0)),""))</f>
        <v/>
      </c>
      <c r="K22" s="61" t="str">
        <f t="array" ref="K22">IF(A22="","",IFERROR(INDEX(Calc!$N:$N,MATCH(IF(A22="","",TEXT(A22,"YYYYMMDD")&amp;"|Reel"),Calc!$AL:$AL,0)),""))</f>
        <v/>
      </c>
      <c r="L22" s="62" t="str">
        <f t="array" ref="L22">IF(A22="","",IFERROR(INDEX(Calc!$AH:$AH,MATCH(IF(A22="","",TEXT(A22,"YYYYMMDD")&amp;"|Reel"),Calc!$AL:$AL,0)),""))</f>
        <v/>
      </c>
    </row>
    <row r="23" ht="15.75" customHeight="1">
      <c r="A23" s="59" t="str">
        <f>IFERROR(AGGREGATE(14,6,(Calc!$B$2:$B$501)/((Calc!$AK$2:$AK$501=1)*(Calc!$G$2:$G$501="Reel")),12),"")</f>
        <v/>
      </c>
      <c r="B23" s="60" t="str">
        <f t="array" ref="B23">IF(A23="","",IFERROR(INDEX(Calc!$E:$E,MATCH(IF(A23="","",TEXT(A23,"YYYYMMDD")&amp;"|Reel"),Calc!$AL:$AL,0)),""))</f>
        <v/>
      </c>
      <c r="C23" s="60" t="str">
        <f t="array" ref="C23">IF(A23="","",IFERROR(INDEX(Calc!$D:$D,MATCH(IF(A23="","",TEXT(A23,"YYYYMMDD")&amp;"|Reel"),Calc!$AL:$AL,0)),""))</f>
        <v/>
      </c>
      <c r="D23" s="60" t="str">
        <f t="array" ref="D23">IF(A23="","",IFERROR(INDEX(Calc!$F:$F,MATCH(IF(A23="","",TEXT(A23,"YYYYMMDD")&amp;"|Reel"),Calc!$AL:$AL,0)),""))</f>
        <v/>
      </c>
      <c r="E23" s="60" t="str">
        <f t="array" ref="E23">IF(A23="","",IFERROR(INDEX(Calc!$H:$H,MATCH(IF(A23="","",TEXT(A23,"YYYYMMDD")&amp;"|Reel"),Calc!$AL:$AL,0)),""))</f>
        <v/>
      </c>
      <c r="F23" s="61" t="str">
        <f t="array" ref="F23">IF(A23="","",IFERROR(INDEX(Calc!$I:$I,MATCH(IF(A23="","",TEXT(A23,"YYYYMMDD")&amp;"|Reel"),Calc!$AL:$AL,0)),""))</f>
        <v/>
      </c>
      <c r="G23" s="61" t="str">
        <f t="array" ref="G23">IF(A23="","",IFERROR(INDEX(Calc!$J:$J,MATCH(IF(A23="","",TEXT(A23,"YYYYMMDD")&amp;"|Reel"),Calc!$AL:$AL,0)),""))</f>
        <v/>
      </c>
      <c r="H23" s="61" t="str">
        <f t="array" ref="H23">IF(A23="","",IFERROR(INDEX(Calc!$K:$K,MATCH(IF(A23="","",TEXT(A23,"YYYYMMDD")&amp;"|Reel"),Calc!$AL:$AL,0)),""))</f>
        <v/>
      </c>
      <c r="I23" s="61" t="str">
        <f t="array" ref="I23">IF(A23="","",IFERROR(INDEX(Calc!$L:$L,MATCH(IF(A23="","",TEXT(A23,"YYYYMMDD")&amp;"|Reel"),Calc!$AL:$AL,0)),""))</f>
        <v/>
      </c>
      <c r="J23" s="61" t="str">
        <f t="array" ref="J23">IF(A23="","",IFERROR(INDEX(Calc!$M:$M,MATCH(IF(A23="","",TEXT(A23,"YYYYMMDD")&amp;"|Reel"),Calc!$AL:$AL,0)),""))</f>
        <v/>
      </c>
      <c r="K23" s="61" t="str">
        <f t="array" ref="K23">IF(A23="","",IFERROR(INDEX(Calc!$N:$N,MATCH(IF(A23="","",TEXT(A23,"YYYYMMDD")&amp;"|Reel"),Calc!$AL:$AL,0)),""))</f>
        <v/>
      </c>
      <c r="L23" s="62" t="str">
        <f t="array" ref="L23">IF(A23="","",IFERROR(INDEX(Calc!$AH:$AH,MATCH(IF(A23="","",TEXT(A23,"YYYYMMDD")&amp;"|Reel"),Calc!$AL:$AL,0)),""))</f>
        <v/>
      </c>
    </row>
    <row r="24" ht="15.75" customHeight="1">
      <c r="A24" s="59" t="str">
        <f>IFERROR(AGGREGATE(14,6,(Calc!$B$2:$B$501)/((Calc!$AK$2:$AK$501=1)*(Calc!$G$2:$G$501="Reel")),13),"")</f>
        <v/>
      </c>
      <c r="B24" s="60" t="str">
        <f t="array" ref="B24">IF(A24="","",IFERROR(INDEX(Calc!$E:$E,MATCH(IF(A24="","",TEXT(A24,"YYYYMMDD")&amp;"|Reel"),Calc!$AL:$AL,0)),""))</f>
        <v/>
      </c>
      <c r="C24" s="60" t="str">
        <f t="array" ref="C24">IF(A24="","",IFERROR(INDEX(Calc!$D:$D,MATCH(IF(A24="","",TEXT(A24,"YYYYMMDD")&amp;"|Reel"),Calc!$AL:$AL,0)),""))</f>
        <v/>
      </c>
      <c r="D24" s="60" t="str">
        <f t="array" ref="D24">IF(A24="","",IFERROR(INDEX(Calc!$F:$F,MATCH(IF(A24="","",TEXT(A24,"YYYYMMDD")&amp;"|Reel"),Calc!$AL:$AL,0)),""))</f>
        <v/>
      </c>
      <c r="E24" s="60" t="str">
        <f t="array" ref="E24">IF(A24="","",IFERROR(INDEX(Calc!$H:$H,MATCH(IF(A24="","",TEXT(A24,"YYYYMMDD")&amp;"|Reel"),Calc!$AL:$AL,0)),""))</f>
        <v/>
      </c>
      <c r="F24" s="61" t="str">
        <f t="array" ref="F24">IF(A24="","",IFERROR(INDEX(Calc!$I:$I,MATCH(IF(A24="","",TEXT(A24,"YYYYMMDD")&amp;"|Reel"),Calc!$AL:$AL,0)),""))</f>
        <v/>
      </c>
      <c r="G24" s="61" t="str">
        <f t="array" ref="G24">IF(A24="","",IFERROR(INDEX(Calc!$J:$J,MATCH(IF(A24="","",TEXT(A24,"YYYYMMDD")&amp;"|Reel"),Calc!$AL:$AL,0)),""))</f>
        <v/>
      </c>
      <c r="H24" s="61" t="str">
        <f t="array" ref="H24">IF(A24="","",IFERROR(INDEX(Calc!$K:$K,MATCH(IF(A24="","",TEXT(A24,"YYYYMMDD")&amp;"|Reel"),Calc!$AL:$AL,0)),""))</f>
        <v/>
      </c>
      <c r="I24" s="61" t="str">
        <f t="array" ref="I24">IF(A24="","",IFERROR(INDEX(Calc!$L:$L,MATCH(IF(A24="","",TEXT(A24,"YYYYMMDD")&amp;"|Reel"),Calc!$AL:$AL,0)),""))</f>
        <v/>
      </c>
      <c r="J24" s="61" t="str">
        <f t="array" ref="J24">IF(A24="","",IFERROR(INDEX(Calc!$M:$M,MATCH(IF(A24="","",TEXT(A24,"YYYYMMDD")&amp;"|Reel"),Calc!$AL:$AL,0)),""))</f>
        <v/>
      </c>
      <c r="K24" s="61" t="str">
        <f t="array" ref="K24">IF(A24="","",IFERROR(INDEX(Calc!$N:$N,MATCH(IF(A24="","",TEXT(A24,"YYYYMMDD")&amp;"|Reel"),Calc!$AL:$AL,0)),""))</f>
        <v/>
      </c>
      <c r="L24" s="62" t="str">
        <f t="array" ref="L24">IF(A24="","",IFERROR(INDEX(Calc!$AH:$AH,MATCH(IF(A24="","",TEXT(A24,"YYYYMMDD")&amp;"|Reel"),Calc!$AL:$AL,0)),""))</f>
        <v/>
      </c>
    </row>
    <row r="25" ht="15.75" customHeight="1">
      <c r="A25" s="59" t="str">
        <f>IFERROR(AGGREGATE(14,6,(Calc!$B$2:$B$501)/((Calc!$AK$2:$AK$501=1)*(Calc!$G$2:$G$501="Reel")),14),"")</f>
        <v/>
      </c>
      <c r="B25" s="60" t="str">
        <f t="array" ref="B25">IF(A25="","",IFERROR(INDEX(Calc!$E:$E,MATCH(IF(A25="","",TEXT(A25,"YYYYMMDD")&amp;"|Reel"),Calc!$AL:$AL,0)),""))</f>
        <v/>
      </c>
      <c r="C25" s="60" t="str">
        <f t="array" ref="C25">IF(A25="","",IFERROR(INDEX(Calc!$D:$D,MATCH(IF(A25="","",TEXT(A25,"YYYYMMDD")&amp;"|Reel"),Calc!$AL:$AL,0)),""))</f>
        <v/>
      </c>
      <c r="D25" s="60" t="str">
        <f t="array" ref="D25">IF(A25="","",IFERROR(INDEX(Calc!$F:$F,MATCH(IF(A25="","",TEXT(A25,"YYYYMMDD")&amp;"|Reel"),Calc!$AL:$AL,0)),""))</f>
        <v/>
      </c>
      <c r="E25" s="60" t="str">
        <f t="array" ref="E25">IF(A25="","",IFERROR(INDEX(Calc!$H:$H,MATCH(IF(A25="","",TEXT(A25,"YYYYMMDD")&amp;"|Reel"),Calc!$AL:$AL,0)),""))</f>
        <v/>
      </c>
      <c r="F25" s="61" t="str">
        <f t="array" ref="F25">IF(A25="","",IFERROR(INDEX(Calc!$I:$I,MATCH(IF(A25="","",TEXT(A25,"YYYYMMDD")&amp;"|Reel"),Calc!$AL:$AL,0)),""))</f>
        <v/>
      </c>
      <c r="G25" s="61" t="str">
        <f t="array" ref="G25">IF(A25="","",IFERROR(INDEX(Calc!$J:$J,MATCH(IF(A25="","",TEXT(A25,"YYYYMMDD")&amp;"|Reel"),Calc!$AL:$AL,0)),""))</f>
        <v/>
      </c>
      <c r="H25" s="61" t="str">
        <f t="array" ref="H25">IF(A25="","",IFERROR(INDEX(Calc!$K:$K,MATCH(IF(A25="","",TEXT(A25,"YYYYMMDD")&amp;"|Reel"),Calc!$AL:$AL,0)),""))</f>
        <v/>
      </c>
      <c r="I25" s="61" t="str">
        <f t="array" ref="I25">IF(A25="","",IFERROR(INDEX(Calc!$L:$L,MATCH(IF(A25="","",TEXT(A25,"YYYYMMDD")&amp;"|Reel"),Calc!$AL:$AL,0)),""))</f>
        <v/>
      </c>
      <c r="J25" s="61" t="str">
        <f t="array" ref="J25">IF(A25="","",IFERROR(INDEX(Calc!$M:$M,MATCH(IF(A25="","",TEXT(A25,"YYYYMMDD")&amp;"|Reel"),Calc!$AL:$AL,0)),""))</f>
        <v/>
      </c>
      <c r="K25" s="61" t="str">
        <f t="array" ref="K25">IF(A25="","",IFERROR(INDEX(Calc!$N:$N,MATCH(IF(A25="","",TEXT(A25,"YYYYMMDD")&amp;"|Reel"),Calc!$AL:$AL,0)),""))</f>
        <v/>
      </c>
      <c r="L25" s="62" t="str">
        <f t="array" ref="L25">IF(A25="","",IFERROR(INDEX(Calc!$AH:$AH,MATCH(IF(A25="","",TEXT(A25,"YYYYMMDD")&amp;"|Reel"),Calc!$AL:$AL,0)),""))</f>
        <v/>
      </c>
    </row>
    <row r="26" ht="15.75" customHeight="1">
      <c r="A26" s="59" t="str">
        <f>IFERROR(AGGREGATE(14,6,(Calc!$B$2:$B$501)/((Calc!$AK$2:$AK$501=1)*(Calc!$G$2:$G$501="Reel")),15),"")</f>
        <v/>
      </c>
      <c r="B26" s="60" t="str">
        <f t="array" ref="B26">IF(A26="","",IFERROR(INDEX(Calc!$E:$E,MATCH(IF(A26="","",TEXT(A26,"YYYYMMDD")&amp;"|Reel"),Calc!$AL:$AL,0)),""))</f>
        <v/>
      </c>
      <c r="C26" s="60" t="str">
        <f t="array" ref="C26">IF(A26="","",IFERROR(INDEX(Calc!$D:$D,MATCH(IF(A26="","",TEXT(A26,"YYYYMMDD")&amp;"|Reel"),Calc!$AL:$AL,0)),""))</f>
        <v/>
      </c>
      <c r="D26" s="60" t="str">
        <f t="array" ref="D26">IF(A26="","",IFERROR(INDEX(Calc!$F:$F,MATCH(IF(A26="","",TEXT(A26,"YYYYMMDD")&amp;"|Reel"),Calc!$AL:$AL,0)),""))</f>
        <v/>
      </c>
      <c r="E26" s="60" t="str">
        <f t="array" ref="E26">IF(A26="","",IFERROR(INDEX(Calc!$H:$H,MATCH(IF(A26="","",TEXT(A26,"YYYYMMDD")&amp;"|Reel"),Calc!$AL:$AL,0)),""))</f>
        <v/>
      </c>
      <c r="F26" s="61" t="str">
        <f t="array" ref="F26">IF(A26="","",IFERROR(INDEX(Calc!$I:$I,MATCH(IF(A26="","",TEXT(A26,"YYYYMMDD")&amp;"|Reel"),Calc!$AL:$AL,0)),""))</f>
        <v/>
      </c>
      <c r="G26" s="61" t="str">
        <f t="array" ref="G26">IF(A26="","",IFERROR(INDEX(Calc!$J:$J,MATCH(IF(A26="","",TEXT(A26,"YYYYMMDD")&amp;"|Reel"),Calc!$AL:$AL,0)),""))</f>
        <v/>
      </c>
      <c r="H26" s="61" t="str">
        <f t="array" ref="H26">IF(A26="","",IFERROR(INDEX(Calc!$K:$K,MATCH(IF(A26="","",TEXT(A26,"YYYYMMDD")&amp;"|Reel"),Calc!$AL:$AL,0)),""))</f>
        <v/>
      </c>
      <c r="I26" s="61" t="str">
        <f t="array" ref="I26">IF(A26="","",IFERROR(INDEX(Calc!$L:$L,MATCH(IF(A26="","",TEXT(A26,"YYYYMMDD")&amp;"|Reel"),Calc!$AL:$AL,0)),""))</f>
        <v/>
      </c>
      <c r="J26" s="61" t="str">
        <f t="array" ref="J26">IF(A26="","",IFERROR(INDEX(Calc!$M:$M,MATCH(IF(A26="","",TEXT(A26,"YYYYMMDD")&amp;"|Reel"),Calc!$AL:$AL,0)),""))</f>
        <v/>
      </c>
      <c r="K26" s="61" t="str">
        <f t="array" ref="K26">IF(A26="","",IFERROR(INDEX(Calc!$N:$N,MATCH(IF(A26="","",TEXT(A26,"YYYYMMDD")&amp;"|Reel"),Calc!$AL:$AL,0)),""))</f>
        <v/>
      </c>
      <c r="L26" s="62" t="str">
        <f t="array" ref="L26">IF(A26="","",IFERROR(INDEX(Calc!$AH:$AH,MATCH(IF(A26="","",TEXT(A26,"YYYYMMDD")&amp;"|Reel"),Calc!$AL:$AL,0)),""))</f>
        <v/>
      </c>
    </row>
    <row r="27" ht="15.75" customHeight="1">
      <c r="A27" s="59" t="str">
        <f>IFERROR(AGGREGATE(14,6,(Calc!$B$2:$B$501)/((Calc!$AK$2:$AK$501=1)*(Calc!$G$2:$G$501="Reel")),16),"")</f>
        <v/>
      </c>
      <c r="B27" s="60" t="str">
        <f t="array" ref="B27">IF(A27="","",IFERROR(INDEX(Calc!$E:$E,MATCH(IF(A27="","",TEXT(A27,"YYYYMMDD")&amp;"|Reel"),Calc!$AL:$AL,0)),""))</f>
        <v/>
      </c>
      <c r="C27" s="60" t="str">
        <f t="array" ref="C27">IF(A27="","",IFERROR(INDEX(Calc!$D:$D,MATCH(IF(A27="","",TEXT(A27,"YYYYMMDD")&amp;"|Reel"),Calc!$AL:$AL,0)),""))</f>
        <v/>
      </c>
      <c r="D27" s="60" t="str">
        <f t="array" ref="D27">IF(A27="","",IFERROR(INDEX(Calc!$F:$F,MATCH(IF(A27="","",TEXT(A27,"YYYYMMDD")&amp;"|Reel"),Calc!$AL:$AL,0)),""))</f>
        <v/>
      </c>
      <c r="E27" s="60" t="str">
        <f t="array" ref="E27">IF(A27="","",IFERROR(INDEX(Calc!$H:$H,MATCH(IF(A27="","",TEXT(A27,"YYYYMMDD")&amp;"|Reel"),Calc!$AL:$AL,0)),""))</f>
        <v/>
      </c>
      <c r="F27" s="61" t="str">
        <f t="array" ref="F27">IF(A27="","",IFERROR(INDEX(Calc!$I:$I,MATCH(IF(A27="","",TEXT(A27,"YYYYMMDD")&amp;"|Reel"),Calc!$AL:$AL,0)),""))</f>
        <v/>
      </c>
      <c r="G27" s="61" t="str">
        <f t="array" ref="G27">IF(A27="","",IFERROR(INDEX(Calc!$J:$J,MATCH(IF(A27="","",TEXT(A27,"YYYYMMDD")&amp;"|Reel"),Calc!$AL:$AL,0)),""))</f>
        <v/>
      </c>
      <c r="H27" s="61" t="str">
        <f t="array" ref="H27">IF(A27="","",IFERROR(INDEX(Calc!$K:$K,MATCH(IF(A27="","",TEXT(A27,"YYYYMMDD")&amp;"|Reel"),Calc!$AL:$AL,0)),""))</f>
        <v/>
      </c>
      <c r="I27" s="61" t="str">
        <f t="array" ref="I27">IF(A27="","",IFERROR(INDEX(Calc!$L:$L,MATCH(IF(A27="","",TEXT(A27,"YYYYMMDD")&amp;"|Reel"),Calc!$AL:$AL,0)),""))</f>
        <v/>
      </c>
      <c r="J27" s="61" t="str">
        <f t="array" ref="J27">IF(A27="","",IFERROR(INDEX(Calc!$M:$M,MATCH(IF(A27="","",TEXT(A27,"YYYYMMDD")&amp;"|Reel"),Calc!$AL:$AL,0)),""))</f>
        <v/>
      </c>
      <c r="K27" s="61" t="str">
        <f t="array" ref="K27">IF(A27="","",IFERROR(INDEX(Calc!$N:$N,MATCH(IF(A27="","",TEXT(A27,"YYYYMMDD")&amp;"|Reel"),Calc!$AL:$AL,0)),""))</f>
        <v/>
      </c>
      <c r="L27" s="62" t="str">
        <f t="array" ref="L27">IF(A27="","",IFERROR(INDEX(Calc!$AH:$AH,MATCH(IF(A27="","",TEXT(A27,"YYYYMMDD")&amp;"|Reel"),Calc!$AL:$AL,0)),""))</f>
        <v/>
      </c>
    </row>
    <row r="28" ht="15.75" customHeight="1">
      <c r="A28" s="59" t="str">
        <f>IFERROR(AGGREGATE(14,6,(Calc!$B$2:$B$501)/((Calc!$AK$2:$AK$501=1)*(Calc!$G$2:$G$501="Reel")),17),"")</f>
        <v/>
      </c>
      <c r="B28" s="60" t="str">
        <f t="array" ref="B28">IF(A28="","",IFERROR(INDEX(Calc!$E:$E,MATCH(IF(A28="","",TEXT(A28,"YYYYMMDD")&amp;"|Reel"),Calc!$AL:$AL,0)),""))</f>
        <v/>
      </c>
      <c r="C28" s="60" t="str">
        <f t="array" ref="C28">IF(A28="","",IFERROR(INDEX(Calc!$D:$D,MATCH(IF(A28="","",TEXT(A28,"YYYYMMDD")&amp;"|Reel"),Calc!$AL:$AL,0)),""))</f>
        <v/>
      </c>
      <c r="D28" s="60" t="str">
        <f t="array" ref="D28">IF(A28="","",IFERROR(INDEX(Calc!$F:$F,MATCH(IF(A28="","",TEXT(A28,"YYYYMMDD")&amp;"|Reel"),Calc!$AL:$AL,0)),""))</f>
        <v/>
      </c>
      <c r="E28" s="60" t="str">
        <f t="array" ref="E28">IF(A28="","",IFERROR(INDEX(Calc!$H:$H,MATCH(IF(A28="","",TEXT(A28,"YYYYMMDD")&amp;"|Reel"),Calc!$AL:$AL,0)),""))</f>
        <v/>
      </c>
      <c r="F28" s="61" t="str">
        <f t="array" ref="F28">IF(A28="","",IFERROR(INDEX(Calc!$I:$I,MATCH(IF(A28="","",TEXT(A28,"YYYYMMDD")&amp;"|Reel"),Calc!$AL:$AL,0)),""))</f>
        <v/>
      </c>
      <c r="G28" s="61" t="str">
        <f t="array" ref="G28">IF(A28="","",IFERROR(INDEX(Calc!$J:$J,MATCH(IF(A28="","",TEXT(A28,"YYYYMMDD")&amp;"|Reel"),Calc!$AL:$AL,0)),""))</f>
        <v/>
      </c>
      <c r="H28" s="61" t="str">
        <f t="array" ref="H28">IF(A28="","",IFERROR(INDEX(Calc!$K:$K,MATCH(IF(A28="","",TEXT(A28,"YYYYMMDD")&amp;"|Reel"),Calc!$AL:$AL,0)),""))</f>
        <v/>
      </c>
      <c r="I28" s="61" t="str">
        <f t="array" ref="I28">IF(A28="","",IFERROR(INDEX(Calc!$L:$L,MATCH(IF(A28="","",TEXT(A28,"YYYYMMDD")&amp;"|Reel"),Calc!$AL:$AL,0)),""))</f>
        <v/>
      </c>
      <c r="J28" s="61" t="str">
        <f t="array" ref="J28">IF(A28="","",IFERROR(INDEX(Calc!$M:$M,MATCH(IF(A28="","",TEXT(A28,"YYYYMMDD")&amp;"|Reel"),Calc!$AL:$AL,0)),""))</f>
        <v/>
      </c>
      <c r="K28" s="61" t="str">
        <f t="array" ref="K28">IF(A28="","",IFERROR(INDEX(Calc!$N:$N,MATCH(IF(A28="","",TEXT(A28,"YYYYMMDD")&amp;"|Reel"),Calc!$AL:$AL,0)),""))</f>
        <v/>
      </c>
      <c r="L28" s="62" t="str">
        <f t="array" ref="L28">IF(A28="","",IFERROR(INDEX(Calc!$AH:$AH,MATCH(IF(A28="","",TEXT(A28,"YYYYMMDD")&amp;"|Reel"),Calc!$AL:$AL,0)),""))</f>
        <v/>
      </c>
    </row>
    <row r="29" ht="15.75" customHeight="1">
      <c r="A29" s="59" t="str">
        <f>IFERROR(AGGREGATE(14,6,(Calc!$B$2:$B$501)/((Calc!$AK$2:$AK$501=1)*(Calc!$G$2:$G$501="Reel")),18),"")</f>
        <v/>
      </c>
      <c r="B29" s="60" t="str">
        <f t="array" ref="B29">IF(A29="","",IFERROR(INDEX(Calc!$E:$E,MATCH(IF(A29="","",TEXT(A29,"YYYYMMDD")&amp;"|Reel"),Calc!$AL:$AL,0)),""))</f>
        <v/>
      </c>
      <c r="C29" s="60" t="str">
        <f t="array" ref="C29">IF(A29="","",IFERROR(INDEX(Calc!$D:$D,MATCH(IF(A29="","",TEXT(A29,"YYYYMMDD")&amp;"|Reel"),Calc!$AL:$AL,0)),""))</f>
        <v/>
      </c>
      <c r="D29" s="60" t="str">
        <f t="array" ref="D29">IF(A29="","",IFERROR(INDEX(Calc!$F:$F,MATCH(IF(A29="","",TEXT(A29,"YYYYMMDD")&amp;"|Reel"),Calc!$AL:$AL,0)),""))</f>
        <v/>
      </c>
      <c r="E29" s="60" t="str">
        <f t="array" ref="E29">IF(A29="","",IFERROR(INDEX(Calc!$H:$H,MATCH(IF(A29="","",TEXT(A29,"YYYYMMDD")&amp;"|Reel"),Calc!$AL:$AL,0)),""))</f>
        <v/>
      </c>
      <c r="F29" s="61" t="str">
        <f t="array" ref="F29">IF(A29="","",IFERROR(INDEX(Calc!$I:$I,MATCH(IF(A29="","",TEXT(A29,"YYYYMMDD")&amp;"|Reel"),Calc!$AL:$AL,0)),""))</f>
        <v/>
      </c>
      <c r="G29" s="61" t="str">
        <f t="array" ref="G29">IF(A29="","",IFERROR(INDEX(Calc!$J:$J,MATCH(IF(A29="","",TEXT(A29,"YYYYMMDD")&amp;"|Reel"),Calc!$AL:$AL,0)),""))</f>
        <v/>
      </c>
      <c r="H29" s="61" t="str">
        <f t="array" ref="H29">IF(A29="","",IFERROR(INDEX(Calc!$K:$K,MATCH(IF(A29="","",TEXT(A29,"YYYYMMDD")&amp;"|Reel"),Calc!$AL:$AL,0)),""))</f>
        <v/>
      </c>
      <c r="I29" s="61" t="str">
        <f t="array" ref="I29">IF(A29="","",IFERROR(INDEX(Calc!$L:$L,MATCH(IF(A29="","",TEXT(A29,"YYYYMMDD")&amp;"|Reel"),Calc!$AL:$AL,0)),""))</f>
        <v/>
      </c>
      <c r="J29" s="61" t="str">
        <f t="array" ref="J29">IF(A29="","",IFERROR(INDEX(Calc!$M:$M,MATCH(IF(A29="","",TEXT(A29,"YYYYMMDD")&amp;"|Reel"),Calc!$AL:$AL,0)),""))</f>
        <v/>
      </c>
      <c r="K29" s="61" t="str">
        <f t="array" ref="K29">IF(A29="","",IFERROR(INDEX(Calc!$N:$N,MATCH(IF(A29="","",TEXT(A29,"YYYYMMDD")&amp;"|Reel"),Calc!$AL:$AL,0)),""))</f>
        <v/>
      </c>
      <c r="L29" s="62" t="str">
        <f t="array" ref="L29">IF(A29="","",IFERROR(INDEX(Calc!$AH:$AH,MATCH(IF(A29="","",TEXT(A29,"YYYYMMDD")&amp;"|Reel"),Calc!$AL:$AL,0)),""))</f>
        <v/>
      </c>
    </row>
    <row r="30" ht="15.75" customHeight="1">
      <c r="A30" s="59" t="str">
        <f>IFERROR(AGGREGATE(14,6,(Calc!$B$2:$B$501)/((Calc!$AK$2:$AK$501=1)*(Calc!$G$2:$G$501="Reel")),19),"")</f>
        <v/>
      </c>
      <c r="B30" s="60" t="str">
        <f t="array" ref="B30">IF(A30="","",IFERROR(INDEX(Calc!$E:$E,MATCH(IF(A30="","",TEXT(A30,"YYYYMMDD")&amp;"|Reel"),Calc!$AL:$AL,0)),""))</f>
        <v/>
      </c>
      <c r="C30" s="60" t="str">
        <f t="array" ref="C30">IF(A30="","",IFERROR(INDEX(Calc!$D:$D,MATCH(IF(A30="","",TEXT(A30,"YYYYMMDD")&amp;"|Reel"),Calc!$AL:$AL,0)),""))</f>
        <v/>
      </c>
      <c r="D30" s="60" t="str">
        <f t="array" ref="D30">IF(A30="","",IFERROR(INDEX(Calc!$F:$F,MATCH(IF(A30="","",TEXT(A30,"YYYYMMDD")&amp;"|Reel"),Calc!$AL:$AL,0)),""))</f>
        <v/>
      </c>
      <c r="E30" s="60" t="str">
        <f t="array" ref="E30">IF(A30="","",IFERROR(INDEX(Calc!$H:$H,MATCH(IF(A30="","",TEXT(A30,"YYYYMMDD")&amp;"|Reel"),Calc!$AL:$AL,0)),""))</f>
        <v/>
      </c>
      <c r="F30" s="61" t="str">
        <f t="array" ref="F30">IF(A30="","",IFERROR(INDEX(Calc!$I:$I,MATCH(IF(A30="","",TEXT(A30,"YYYYMMDD")&amp;"|Reel"),Calc!$AL:$AL,0)),""))</f>
        <v/>
      </c>
      <c r="G30" s="61" t="str">
        <f t="array" ref="G30">IF(A30="","",IFERROR(INDEX(Calc!$J:$J,MATCH(IF(A30="","",TEXT(A30,"YYYYMMDD")&amp;"|Reel"),Calc!$AL:$AL,0)),""))</f>
        <v/>
      </c>
      <c r="H30" s="61" t="str">
        <f t="array" ref="H30">IF(A30="","",IFERROR(INDEX(Calc!$K:$K,MATCH(IF(A30="","",TEXT(A30,"YYYYMMDD")&amp;"|Reel"),Calc!$AL:$AL,0)),""))</f>
        <v/>
      </c>
      <c r="I30" s="61" t="str">
        <f t="array" ref="I30">IF(A30="","",IFERROR(INDEX(Calc!$L:$L,MATCH(IF(A30="","",TEXT(A30,"YYYYMMDD")&amp;"|Reel"),Calc!$AL:$AL,0)),""))</f>
        <v/>
      </c>
      <c r="J30" s="61" t="str">
        <f t="array" ref="J30">IF(A30="","",IFERROR(INDEX(Calc!$M:$M,MATCH(IF(A30="","",TEXT(A30,"YYYYMMDD")&amp;"|Reel"),Calc!$AL:$AL,0)),""))</f>
        <v/>
      </c>
      <c r="K30" s="61" t="str">
        <f t="array" ref="K30">IF(A30="","",IFERROR(INDEX(Calc!$N:$N,MATCH(IF(A30="","",TEXT(A30,"YYYYMMDD")&amp;"|Reel"),Calc!$AL:$AL,0)),""))</f>
        <v/>
      </c>
      <c r="L30" s="62" t="str">
        <f t="array" ref="L30">IF(A30="","",IFERROR(INDEX(Calc!$AH:$AH,MATCH(IF(A30="","",TEXT(A30,"YYYYMMDD")&amp;"|Reel"),Calc!$AL:$AL,0)),""))</f>
        <v/>
      </c>
    </row>
    <row r="31" ht="15.75" customHeight="1">
      <c r="A31" s="59" t="str">
        <f>IFERROR(AGGREGATE(14,6,(Calc!$B$2:$B$501)/((Calc!$AK$2:$AK$501=1)*(Calc!$G$2:$G$501="Reel")),20),"")</f>
        <v/>
      </c>
      <c r="B31" s="60" t="str">
        <f t="array" ref="B31">IF(A31="","",IFERROR(INDEX(Calc!$E:$E,MATCH(IF(A31="","",TEXT(A31,"YYYYMMDD")&amp;"|Reel"),Calc!$AL:$AL,0)),""))</f>
        <v/>
      </c>
      <c r="C31" s="60" t="str">
        <f t="array" ref="C31">IF(A31="","",IFERROR(INDEX(Calc!$D:$D,MATCH(IF(A31="","",TEXT(A31,"YYYYMMDD")&amp;"|Reel"),Calc!$AL:$AL,0)),""))</f>
        <v/>
      </c>
      <c r="D31" s="60" t="str">
        <f t="array" ref="D31">IF(A31="","",IFERROR(INDEX(Calc!$F:$F,MATCH(IF(A31="","",TEXT(A31,"YYYYMMDD")&amp;"|Reel"),Calc!$AL:$AL,0)),""))</f>
        <v/>
      </c>
      <c r="E31" s="60" t="str">
        <f t="array" ref="E31">IF(A31="","",IFERROR(INDEX(Calc!$H:$H,MATCH(IF(A31="","",TEXT(A31,"YYYYMMDD")&amp;"|Reel"),Calc!$AL:$AL,0)),""))</f>
        <v/>
      </c>
      <c r="F31" s="61" t="str">
        <f t="array" ref="F31">IF(A31="","",IFERROR(INDEX(Calc!$I:$I,MATCH(IF(A31="","",TEXT(A31,"YYYYMMDD")&amp;"|Reel"),Calc!$AL:$AL,0)),""))</f>
        <v/>
      </c>
      <c r="G31" s="61" t="str">
        <f t="array" ref="G31">IF(A31="","",IFERROR(INDEX(Calc!$J:$J,MATCH(IF(A31="","",TEXT(A31,"YYYYMMDD")&amp;"|Reel"),Calc!$AL:$AL,0)),""))</f>
        <v/>
      </c>
      <c r="H31" s="61" t="str">
        <f t="array" ref="H31">IF(A31="","",IFERROR(INDEX(Calc!$K:$K,MATCH(IF(A31="","",TEXT(A31,"YYYYMMDD")&amp;"|Reel"),Calc!$AL:$AL,0)),""))</f>
        <v/>
      </c>
      <c r="I31" s="61" t="str">
        <f t="array" ref="I31">IF(A31="","",IFERROR(INDEX(Calc!$L:$L,MATCH(IF(A31="","",TEXT(A31,"YYYYMMDD")&amp;"|Reel"),Calc!$AL:$AL,0)),""))</f>
        <v/>
      </c>
      <c r="J31" s="61" t="str">
        <f t="array" ref="J31">IF(A31="","",IFERROR(INDEX(Calc!$M:$M,MATCH(IF(A31="","",TEXT(A31,"YYYYMMDD")&amp;"|Reel"),Calc!$AL:$AL,0)),""))</f>
        <v/>
      </c>
      <c r="K31" s="61" t="str">
        <f t="array" ref="K31">IF(A31="","",IFERROR(INDEX(Calc!$N:$N,MATCH(IF(A31="","",TEXT(A31,"YYYYMMDD")&amp;"|Reel"),Calc!$AL:$AL,0)),""))</f>
        <v/>
      </c>
      <c r="L31" s="62" t="str">
        <f t="array" ref="L31">IF(A31="","",IFERROR(INDEX(Calc!$AH:$AH,MATCH(IF(A31="","",TEXT(A31,"YYYYMMDD")&amp;"|Reel"),Calc!$AL:$AL,0)),""))</f>
        <v/>
      </c>
    </row>
    <row r="32" ht="15.75" customHeight="1">
      <c r="A32" s="59" t="str">
        <f>IFERROR(AGGREGATE(14,6,(Calc!$B$2:$B$501)/((Calc!$AK$2:$AK$501=1)*(Calc!$G$2:$G$501="Reel")),21),"")</f>
        <v/>
      </c>
      <c r="B32" s="60" t="str">
        <f t="array" ref="B32">IF(A32="","",IFERROR(INDEX(Calc!$E:$E,MATCH(IF(A32="","",TEXT(A32,"YYYYMMDD")&amp;"|Reel"),Calc!$AL:$AL,0)),""))</f>
        <v/>
      </c>
      <c r="C32" s="60" t="str">
        <f t="array" ref="C32">IF(A32="","",IFERROR(INDEX(Calc!$D:$D,MATCH(IF(A32="","",TEXT(A32,"YYYYMMDD")&amp;"|Reel"),Calc!$AL:$AL,0)),""))</f>
        <v/>
      </c>
      <c r="D32" s="60" t="str">
        <f t="array" ref="D32">IF(A32="","",IFERROR(INDEX(Calc!$F:$F,MATCH(IF(A32="","",TEXT(A32,"YYYYMMDD")&amp;"|Reel"),Calc!$AL:$AL,0)),""))</f>
        <v/>
      </c>
      <c r="E32" s="60" t="str">
        <f t="array" ref="E32">IF(A32="","",IFERROR(INDEX(Calc!$H:$H,MATCH(IF(A32="","",TEXT(A32,"YYYYMMDD")&amp;"|Reel"),Calc!$AL:$AL,0)),""))</f>
        <v/>
      </c>
      <c r="F32" s="61" t="str">
        <f t="array" ref="F32">IF(A32="","",IFERROR(INDEX(Calc!$I:$I,MATCH(IF(A32="","",TEXT(A32,"YYYYMMDD")&amp;"|Reel"),Calc!$AL:$AL,0)),""))</f>
        <v/>
      </c>
      <c r="G32" s="61" t="str">
        <f t="array" ref="G32">IF(A32="","",IFERROR(INDEX(Calc!$J:$J,MATCH(IF(A32="","",TEXT(A32,"YYYYMMDD")&amp;"|Reel"),Calc!$AL:$AL,0)),""))</f>
        <v/>
      </c>
      <c r="H32" s="61" t="str">
        <f t="array" ref="H32">IF(A32="","",IFERROR(INDEX(Calc!$K:$K,MATCH(IF(A32="","",TEXT(A32,"YYYYMMDD")&amp;"|Reel"),Calc!$AL:$AL,0)),""))</f>
        <v/>
      </c>
      <c r="I32" s="61" t="str">
        <f t="array" ref="I32">IF(A32="","",IFERROR(INDEX(Calc!$L:$L,MATCH(IF(A32="","",TEXT(A32,"YYYYMMDD")&amp;"|Reel"),Calc!$AL:$AL,0)),""))</f>
        <v/>
      </c>
      <c r="J32" s="61" t="str">
        <f t="array" ref="J32">IF(A32="","",IFERROR(INDEX(Calc!$M:$M,MATCH(IF(A32="","",TEXT(A32,"YYYYMMDD")&amp;"|Reel"),Calc!$AL:$AL,0)),""))</f>
        <v/>
      </c>
      <c r="K32" s="61" t="str">
        <f t="array" ref="K32">IF(A32="","",IFERROR(INDEX(Calc!$N:$N,MATCH(IF(A32="","",TEXT(A32,"YYYYMMDD")&amp;"|Reel"),Calc!$AL:$AL,0)),""))</f>
        <v/>
      </c>
      <c r="L32" s="62" t="str">
        <f t="array" ref="L32">IF(A32="","",IFERROR(INDEX(Calc!$AH:$AH,MATCH(IF(A32="","",TEXT(A32,"YYYYMMDD")&amp;"|Reel"),Calc!$AL:$AL,0)),""))</f>
        <v/>
      </c>
    </row>
    <row r="33" ht="15.75" customHeight="1">
      <c r="A33" s="59" t="str">
        <f>IFERROR(AGGREGATE(14,6,(Calc!$B$2:$B$501)/((Calc!$AK$2:$AK$501=1)*(Calc!$G$2:$G$501="Reel")),22),"")</f>
        <v/>
      </c>
      <c r="B33" s="60" t="str">
        <f t="array" ref="B33">IF(A33="","",IFERROR(INDEX(Calc!$E:$E,MATCH(IF(A33="","",TEXT(A33,"YYYYMMDD")&amp;"|Reel"),Calc!$AL:$AL,0)),""))</f>
        <v/>
      </c>
      <c r="C33" s="60" t="str">
        <f t="array" ref="C33">IF(A33="","",IFERROR(INDEX(Calc!$D:$D,MATCH(IF(A33="","",TEXT(A33,"YYYYMMDD")&amp;"|Reel"),Calc!$AL:$AL,0)),""))</f>
        <v/>
      </c>
      <c r="D33" s="60" t="str">
        <f t="array" ref="D33">IF(A33="","",IFERROR(INDEX(Calc!$F:$F,MATCH(IF(A33="","",TEXT(A33,"YYYYMMDD")&amp;"|Reel"),Calc!$AL:$AL,0)),""))</f>
        <v/>
      </c>
      <c r="E33" s="60" t="str">
        <f t="array" ref="E33">IF(A33="","",IFERROR(INDEX(Calc!$H:$H,MATCH(IF(A33="","",TEXT(A33,"YYYYMMDD")&amp;"|Reel"),Calc!$AL:$AL,0)),""))</f>
        <v/>
      </c>
      <c r="F33" s="61" t="str">
        <f t="array" ref="F33">IF(A33="","",IFERROR(INDEX(Calc!$I:$I,MATCH(IF(A33="","",TEXT(A33,"YYYYMMDD")&amp;"|Reel"),Calc!$AL:$AL,0)),""))</f>
        <v/>
      </c>
      <c r="G33" s="61" t="str">
        <f t="array" ref="G33">IF(A33="","",IFERROR(INDEX(Calc!$J:$J,MATCH(IF(A33="","",TEXT(A33,"YYYYMMDD")&amp;"|Reel"),Calc!$AL:$AL,0)),""))</f>
        <v/>
      </c>
      <c r="H33" s="61" t="str">
        <f t="array" ref="H33">IF(A33="","",IFERROR(INDEX(Calc!$K:$K,MATCH(IF(A33="","",TEXT(A33,"YYYYMMDD")&amp;"|Reel"),Calc!$AL:$AL,0)),""))</f>
        <v/>
      </c>
      <c r="I33" s="61" t="str">
        <f t="array" ref="I33">IF(A33="","",IFERROR(INDEX(Calc!$L:$L,MATCH(IF(A33="","",TEXT(A33,"YYYYMMDD")&amp;"|Reel"),Calc!$AL:$AL,0)),""))</f>
        <v/>
      </c>
      <c r="J33" s="61" t="str">
        <f t="array" ref="J33">IF(A33="","",IFERROR(INDEX(Calc!$M:$M,MATCH(IF(A33="","",TEXT(A33,"YYYYMMDD")&amp;"|Reel"),Calc!$AL:$AL,0)),""))</f>
        <v/>
      </c>
      <c r="K33" s="61" t="str">
        <f t="array" ref="K33">IF(A33="","",IFERROR(INDEX(Calc!$N:$N,MATCH(IF(A33="","",TEXT(A33,"YYYYMMDD")&amp;"|Reel"),Calc!$AL:$AL,0)),""))</f>
        <v/>
      </c>
      <c r="L33" s="62" t="str">
        <f t="array" ref="L33">IF(A33="","",IFERROR(INDEX(Calc!$AH:$AH,MATCH(IF(A33="","",TEXT(A33,"YYYYMMDD")&amp;"|Reel"),Calc!$AL:$AL,0)),""))</f>
        <v/>
      </c>
    </row>
    <row r="34" ht="15.75" customHeight="1">
      <c r="A34" s="59" t="str">
        <f>IFERROR(AGGREGATE(14,6,(Calc!$B$2:$B$501)/((Calc!$AK$2:$AK$501=1)*(Calc!$G$2:$G$501="Reel")),23),"")</f>
        <v/>
      </c>
      <c r="B34" s="60" t="str">
        <f t="array" ref="B34">IF(A34="","",IFERROR(INDEX(Calc!$E:$E,MATCH(IF(A34="","",TEXT(A34,"YYYYMMDD")&amp;"|Reel"),Calc!$AL:$AL,0)),""))</f>
        <v/>
      </c>
      <c r="C34" s="60" t="str">
        <f t="array" ref="C34">IF(A34="","",IFERROR(INDEX(Calc!$D:$D,MATCH(IF(A34="","",TEXT(A34,"YYYYMMDD")&amp;"|Reel"),Calc!$AL:$AL,0)),""))</f>
        <v/>
      </c>
      <c r="D34" s="60" t="str">
        <f t="array" ref="D34">IF(A34="","",IFERROR(INDEX(Calc!$F:$F,MATCH(IF(A34="","",TEXT(A34,"YYYYMMDD")&amp;"|Reel"),Calc!$AL:$AL,0)),""))</f>
        <v/>
      </c>
      <c r="E34" s="60" t="str">
        <f t="array" ref="E34">IF(A34="","",IFERROR(INDEX(Calc!$H:$H,MATCH(IF(A34="","",TEXT(A34,"YYYYMMDD")&amp;"|Reel"),Calc!$AL:$AL,0)),""))</f>
        <v/>
      </c>
      <c r="F34" s="61" t="str">
        <f t="array" ref="F34">IF(A34="","",IFERROR(INDEX(Calc!$I:$I,MATCH(IF(A34="","",TEXT(A34,"YYYYMMDD")&amp;"|Reel"),Calc!$AL:$AL,0)),""))</f>
        <v/>
      </c>
      <c r="G34" s="61" t="str">
        <f t="array" ref="G34">IF(A34="","",IFERROR(INDEX(Calc!$J:$J,MATCH(IF(A34="","",TEXT(A34,"YYYYMMDD")&amp;"|Reel"),Calc!$AL:$AL,0)),""))</f>
        <v/>
      </c>
      <c r="H34" s="61" t="str">
        <f t="array" ref="H34">IF(A34="","",IFERROR(INDEX(Calc!$K:$K,MATCH(IF(A34="","",TEXT(A34,"YYYYMMDD")&amp;"|Reel"),Calc!$AL:$AL,0)),""))</f>
        <v/>
      </c>
      <c r="I34" s="61" t="str">
        <f t="array" ref="I34">IF(A34="","",IFERROR(INDEX(Calc!$L:$L,MATCH(IF(A34="","",TEXT(A34,"YYYYMMDD")&amp;"|Reel"),Calc!$AL:$AL,0)),""))</f>
        <v/>
      </c>
      <c r="J34" s="61" t="str">
        <f t="array" ref="J34">IF(A34="","",IFERROR(INDEX(Calc!$M:$M,MATCH(IF(A34="","",TEXT(A34,"YYYYMMDD")&amp;"|Reel"),Calc!$AL:$AL,0)),""))</f>
        <v/>
      </c>
      <c r="K34" s="61" t="str">
        <f t="array" ref="K34">IF(A34="","",IFERROR(INDEX(Calc!$N:$N,MATCH(IF(A34="","",TEXT(A34,"YYYYMMDD")&amp;"|Reel"),Calc!$AL:$AL,0)),""))</f>
        <v/>
      </c>
      <c r="L34" s="62" t="str">
        <f t="array" ref="L34">IF(A34="","",IFERROR(INDEX(Calc!$AH:$AH,MATCH(IF(A34="","",TEXT(A34,"YYYYMMDD")&amp;"|Reel"),Calc!$AL:$AL,0)),""))</f>
        <v/>
      </c>
    </row>
    <row r="35" ht="15.75" customHeight="1">
      <c r="A35" s="59" t="str">
        <f>IFERROR(AGGREGATE(14,6,(Calc!$B$2:$B$501)/((Calc!$AK$2:$AK$501=1)*(Calc!$G$2:$G$501="Reel")),24),"")</f>
        <v/>
      </c>
      <c r="B35" s="60" t="str">
        <f t="array" ref="B35">IF(A35="","",IFERROR(INDEX(Calc!$E:$E,MATCH(IF(A35="","",TEXT(A35,"YYYYMMDD")&amp;"|Reel"),Calc!$AL:$AL,0)),""))</f>
        <v/>
      </c>
      <c r="C35" s="60" t="str">
        <f t="array" ref="C35">IF(A35="","",IFERROR(INDEX(Calc!$D:$D,MATCH(IF(A35="","",TEXT(A35,"YYYYMMDD")&amp;"|Reel"),Calc!$AL:$AL,0)),""))</f>
        <v/>
      </c>
      <c r="D35" s="60" t="str">
        <f t="array" ref="D35">IF(A35="","",IFERROR(INDEX(Calc!$F:$F,MATCH(IF(A35="","",TEXT(A35,"YYYYMMDD")&amp;"|Reel"),Calc!$AL:$AL,0)),""))</f>
        <v/>
      </c>
      <c r="E35" s="60" t="str">
        <f t="array" ref="E35">IF(A35="","",IFERROR(INDEX(Calc!$H:$H,MATCH(IF(A35="","",TEXT(A35,"YYYYMMDD")&amp;"|Reel"),Calc!$AL:$AL,0)),""))</f>
        <v/>
      </c>
      <c r="F35" s="61" t="str">
        <f t="array" ref="F35">IF(A35="","",IFERROR(INDEX(Calc!$I:$I,MATCH(IF(A35="","",TEXT(A35,"YYYYMMDD")&amp;"|Reel"),Calc!$AL:$AL,0)),""))</f>
        <v/>
      </c>
      <c r="G35" s="61" t="str">
        <f t="array" ref="G35">IF(A35="","",IFERROR(INDEX(Calc!$J:$J,MATCH(IF(A35="","",TEXT(A35,"YYYYMMDD")&amp;"|Reel"),Calc!$AL:$AL,0)),""))</f>
        <v/>
      </c>
      <c r="H35" s="61" t="str">
        <f t="array" ref="H35">IF(A35="","",IFERROR(INDEX(Calc!$K:$K,MATCH(IF(A35="","",TEXT(A35,"YYYYMMDD")&amp;"|Reel"),Calc!$AL:$AL,0)),""))</f>
        <v/>
      </c>
      <c r="I35" s="61" t="str">
        <f t="array" ref="I35">IF(A35="","",IFERROR(INDEX(Calc!$L:$L,MATCH(IF(A35="","",TEXT(A35,"YYYYMMDD")&amp;"|Reel"),Calc!$AL:$AL,0)),""))</f>
        <v/>
      </c>
      <c r="J35" s="61" t="str">
        <f t="array" ref="J35">IF(A35="","",IFERROR(INDEX(Calc!$M:$M,MATCH(IF(A35="","",TEXT(A35,"YYYYMMDD")&amp;"|Reel"),Calc!$AL:$AL,0)),""))</f>
        <v/>
      </c>
      <c r="K35" s="61" t="str">
        <f t="array" ref="K35">IF(A35="","",IFERROR(INDEX(Calc!$N:$N,MATCH(IF(A35="","",TEXT(A35,"YYYYMMDD")&amp;"|Reel"),Calc!$AL:$AL,0)),""))</f>
        <v/>
      </c>
      <c r="L35" s="62" t="str">
        <f t="array" ref="L35">IF(A35="","",IFERROR(INDEX(Calc!$AH:$AH,MATCH(IF(A35="","",TEXT(A35,"YYYYMMDD")&amp;"|Reel"),Calc!$AL:$AL,0)),""))</f>
        <v/>
      </c>
    </row>
    <row r="36" ht="15.75" customHeight="1">
      <c r="A36" s="59" t="str">
        <f>IFERROR(AGGREGATE(14,6,(Calc!$B$2:$B$501)/((Calc!$AK$2:$AK$501=1)*(Calc!$G$2:$G$501="Reel")),25),"")</f>
        <v/>
      </c>
      <c r="B36" s="60" t="str">
        <f t="array" ref="B36">IF(A36="","",IFERROR(INDEX(Calc!$E:$E,MATCH(IF(A36="","",TEXT(A36,"YYYYMMDD")&amp;"|Reel"),Calc!$AL:$AL,0)),""))</f>
        <v/>
      </c>
      <c r="C36" s="60" t="str">
        <f t="array" ref="C36">IF(A36="","",IFERROR(INDEX(Calc!$D:$D,MATCH(IF(A36="","",TEXT(A36,"YYYYMMDD")&amp;"|Reel"),Calc!$AL:$AL,0)),""))</f>
        <v/>
      </c>
      <c r="D36" s="60" t="str">
        <f t="array" ref="D36">IF(A36="","",IFERROR(INDEX(Calc!$F:$F,MATCH(IF(A36="","",TEXT(A36,"YYYYMMDD")&amp;"|Reel"),Calc!$AL:$AL,0)),""))</f>
        <v/>
      </c>
      <c r="E36" s="60" t="str">
        <f t="array" ref="E36">IF(A36="","",IFERROR(INDEX(Calc!$H:$H,MATCH(IF(A36="","",TEXT(A36,"YYYYMMDD")&amp;"|Reel"),Calc!$AL:$AL,0)),""))</f>
        <v/>
      </c>
      <c r="F36" s="61" t="str">
        <f t="array" ref="F36">IF(A36="","",IFERROR(INDEX(Calc!$I:$I,MATCH(IF(A36="","",TEXT(A36,"YYYYMMDD")&amp;"|Reel"),Calc!$AL:$AL,0)),""))</f>
        <v/>
      </c>
      <c r="G36" s="61" t="str">
        <f t="array" ref="G36">IF(A36="","",IFERROR(INDEX(Calc!$J:$J,MATCH(IF(A36="","",TEXT(A36,"YYYYMMDD")&amp;"|Reel"),Calc!$AL:$AL,0)),""))</f>
        <v/>
      </c>
      <c r="H36" s="61" t="str">
        <f t="array" ref="H36">IF(A36="","",IFERROR(INDEX(Calc!$K:$K,MATCH(IF(A36="","",TEXT(A36,"YYYYMMDD")&amp;"|Reel"),Calc!$AL:$AL,0)),""))</f>
        <v/>
      </c>
      <c r="I36" s="61" t="str">
        <f t="array" ref="I36">IF(A36="","",IFERROR(INDEX(Calc!$L:$L,MATCH(IF(A36="","",TEXT(A36,"YYYYMMDD")&amp;"|Reel"),Calc!$AL:$AL,0)),""))</f>
        <v/>
      </c>
      <c r="J36" s="61" t="str">
        <f t="array" ref="J36">IF(A36="","",IFERROR(INDEX(Calc!$M:$M,MATCH(IF(A36="","",TEXT(A36,"YYYYMMDD")&amp;"|Reel"),Calc!$AL:$AL,0)),""))</f>
        <v/>
      </c>
      <c r="K36" s="61" t="str">
        <f t="array" ref="K36">IF(A36="","",IFERROR(INDEX(Calc!$N:$N,MATCH(IF(A36="","",TEXT(A36,"YYYYMMDD")&amp;"|Reel"),Calc!$AL:$AL,0)),""))</f>
        <v/>
      </c>
      <c r="L36" s="62" t="str">
        <f t="array" ref="L36">IF(A36="","",IFERROR(INDEX(Calc!$AH:$AH,MATCH(IF(A36="","",TEXT(A36,"YYYYMMDD")&amp;"|Reel"),Calc!$AL:$AL,0)),""))</f>
        <v/>
      </c>
    </row>
    <row r="37" ht="15.75" customHeight="1">
      <c r="A37" s="59" t="str">
        <f>IFERROR(AGGREGATE(14,6,(Calc!$B$2:$B$501)/((Calc!$AK$2:$AK$501=1)*(Calc!$G$2:$G$501="Reel")),26),"")</f>
        <v/>
      </c>
      <c r="B37" s="60" t="str">
        <f t="array" ref="B37">IF(A37="","",IFERROR(INDEX(Calc!$E:$E,MATCH(IF(A37="","",TEXT(A37,"YYYYMMDD")&amp;"|Reel"),Calc!$AL:$AL,0)),""))</f>
        <v/>
      </c>
      <c r="C37" s="60" t="str">
        <f t="array" ref="C37">IF(A37="","",IFERROR(INDEX(Calc!$D:$D,MATCH(IF(A37="","",TEXT(A37,"YYYYMMDD")&amp;"|Reel"),Calc!$AL:$AL,0)),""))</f>
        <v/>
      </c>
      <c r="D37" s="60" t="str">
        <f t="array" ref="D37">IF(A37="","",IFERROR(INDEX(Calc!$F:$F,MATCH(IF(A37="","",TEXT(A37,"YYYYMMDD")&amp;"|Reel"),Calc!$AL:$AL,0)),""))</f>
        <v/>
      </c>
      <c r="E37" s="60" t="str">
        <f t="array" ref="E37">IF(A37="","",IFERROR(INDEX(Calc!$H:$H,MATCH(IF(A37="","",TEXT(A37,"YYYYMMDD")&amp;"|Reel"),Calc!$AL:$AL,0)),""))</f>
        <v/>
      </c>
      <c r="F37" s="61" t="str">
        <f t="array" ref="F37">IF(A37="","",IFERROR(INDEX(Calc!$I:$I,MATCH(IF(A37="","",TEXT(A37,"YYYYMMDD")&amp;"|Reel"),Calc!$AL:$AL,0)),""))</f>
        <v/>
      </c>
      <c r="G37" s="61" t="str">
        <f t="array" ref="G37">IF(A37="","",IFERROR(INDEX(Calc!$J:$J,MATCH(IF(A37="","",TEXT(A37,"YYYYMMDD")&amp;"|Reel"),Calc!$AL:$AL,0)),""))</f>
        <v/>
      </c>
      <c r="H37" s="61" t="str">
        <f t="array" ref="H37">IF(A37="","",IFERROR(INDEX(Calc!$K:$K,MATCH(IF(A37="","",TEXT(A37,"YYYYMMDD")&amp;"|Reel"),Calc!$AL:$AL,0)),""))</f>
        <v/>
      </c>
      <c r="I37" s="61" t="str">
        <f t="array" ref="I37">IF(A37="","",IFERROR(INDEX(Calc!$L:$L,MATCH(IF(A37="","",TEXT(A37,"YYYYMMDD")&amp;"|Reel"),Calc!$AL:$AL,0)),""))</f>
        <v/>
      </c>
      <c r="J37" s="61" t="str">
        <f t="array" ref="J37">IF(A37="","",IFERROR(INDEX(Calc!$M:$M,MATCH(IF(A37="","",TEXT(A37,"YYYYMMDD")&amp;"|Reel"),Calc!$AL:$AL,0)),""))</f>
        <v/>
      </c>
      <c r="K37" s="61" t="str">
        <f t="array" ref="K37">IF(A37="","",IFERROR(INDEX(Calc!$N:$N,MATCH(IF(A37="","",TEXT(A37,"YYYYMMDD")&amp;"|Reel"),Calc!$AL:$AL,0)),""))</f>
        <v/>
      </c>
      <c r="L37" s="62" t="str">
        <f t="array" ref="L37">IF(A37="","",IFERROR(INDEX(Calc!$AH:$AH,MATCH(IF(A37="","",TEXT(A37,"YYYYMMDD")&amp;"|Reel"),Calc!$AL:$AL,0)),""))</f>
        <v/>
      </c>
    </row>
    <row r="38" ht="15.75" customHeight="1">
      <c r="A38" s="59" t="str">
        <f>IFERROR(AGGREGATE(14,6,(Calc!$B$2:$B$501)/((Calc!$AK$2:$AK$501=1)*(Calc!$G$2:$G$501="Reel")),27),"")</f>
        <v/>
      </c>
      <c r="B38" s="60" t="str">
        <f t="array" ref="B38">IF(A38="","",IFERROR(INDEX(Calc!$E:$E,MATCH(IF(A38="","",TEXT(A38,"YYYYMMDD")&amp;"|Reel"),Calc!$AL:$AL,0)),""))</f>
        <v/>
      </c>
      <c r="C38" s="60" t="str">
        <f t="array" ref="C38">IF(A38="","",IFERROR(INDEX(Calc!$D:$D,MATCH(IF(A38="","",TEXT(A38,"YYYYMMDD")&amp;"|Reel"),Calc!$AL:$AL,0)),""))</f>
        <v/>
      </c>
      <c r="D38" s="60" t="str">
        <f t="array" ref="D38">IF(A38="","",IFERROR(INDEX(Calc!$F:$F,MATCH(IF(A38="","",TEXT(A38,"YYYYMMDD")&amp;"|Reel"),Calc!$AL:$AL,0)),""))</f>
        <v/>
      </c>
      <c r="E38" s="60" t="str">
        <f t="array" ref="E38">IF(A38="","",IFERROR(INDEX(Calc!$H:$H,MATCH(IF(A38="","",TEXT(A38,"YYYYMMDD")&amp;"|Reel"),Calc!$AL:$AL,0)),""))</f>
        <v/>
      </c>
      <c r="F38" s="61" t="str">
        <f t="array" ref="F38">IF(A38="","",IFERROR(INDEX(Calc!$I:$I,MATCH(IF(A38="","",TEXT(A38,"YYYYMMDD")&amp;"|Reel"),Calc!$AL:$AL,0)),""))</f>
        <v/>
      </c>
      <c r="G38" s="61" t="str">
        <f t="array" ref="G38">IF(A38="","",IFERROR(INDEX(Calc!$J:$J,MATCH(IF(A38="","",TEXT(A38,"YYYYMMDD")&amp;"|Reel"),Calc!$AL:$AL,0)),""))</f>
        <v/>
      </c>
      <c r="H38" s="61" t="str">
        <f t="array" ref="H38">IF(A38="","",IFERROR(INDEX(Calc!$K:$K,MATCH(IF(A38="","",TEXT(A38,"YYYYMMDD")&amp;"|Reel"),Calc!$AL:$AL,0)),""))</f>
        <v/>
      </c>
      <c r="I38" s="61" t="str">
        <f t="array" ref="I38">IF(A38="","",IFERROR(INDEX(Calc!$L:$L,MATCH(IF(A38="","",TEXT(A38,"YYYYMMDD")&amp;"|Reel"),Calc!$AL:$AL,0)),""))</f>
        <v/>
      </c>
      <c r="J38" s="61" t="str">
        <f t="array" ref="J38">IF(A38="","",IFERROR(INDEX(Calc!$M:$M,MATCH(IF(A38="","",TEXT(A38,"YYYYMMDD")&amp;"|Reel"),Calc!$AL:$AL,0)),""))</f>
        <v/>
      </c>
      <c r="K38" s="61" t="str">
        <f t="array" ref="K38">IF(A38="","",IFERROR(INDEX(Calc!$N:$N,MATCH(IF(A38="","",TEXT(A38,"YYYYMMDD")&amp;"|Reel"),Calc!$AL:$AL,0)),""))</f>
        <v/>
      </c>
      <c r="L38" s="62" t="str">
        <f t="array" ref="L38">IF(A38="","",IFERROR(INDEX(Calc!$AH:$AH,MATCH(IF(A38="","",TEXT(A38,"YYYYMMDD")&amp;"|Reel"),Calc!$AL:$AL,0)),""))</f>
        <v/>
      </c>
    </row>
    <row r="39" ht="15.75" customHeight="1">
      <c r="A39" s="59" t="str">
        <f>IFERROR(AGGREGATE(14,6,(Calc!$B$2:$B$501)/((Calc!$AK$2:$AK$501=1)*(Calc!$G$2:$G$501="Reel")),28),"")</f>
        <v/>
      </c>
      <c r="B39" s="60" t="str">
        <f t="array" ref="B39">IF(A39="","",IFERROR(INDEX(Calc!$E:$E,MATCH(IF(A39="","",TEXT(A39,"YYYYMMDD")&amp;"|Reel"),Calc!$AL:$AL,0)),""))</f>
        <v/>
      </c>
      <c r="C39" s="60" t="str">
        <f t="array" ref="C39">IF(A39="","",IFERROR(INDEX(Calc!$D:$D,MATCH(IF(A39="","",TEXT(A39,"YYYYMMDD")&amp;"|Reel"),Calc!$AL:$AL,0)),""))</f>
        <v/>
      </c>
      <c r="D39" s="60" t="str">
        <f t="array" ref="D39">IF(A39="","",IFERROR(INDEX(Calc!$F:$F,MATCH(IF(A39="","",TEXT(A39,"YYYYMMDD")&amp;"|Reel"),Calc!$AL:$AL,0)),""))</f>
        <v/>
      </c>
      <c r="E39" s="60" t="str">
        <f t="array" ref="E39">IF(A39="","",IFERROR(INDEX(Calc!$H:$H,MATCH(IF(A39="","",TEXT(A39,"YYYYMMDD")&amp;"|Reel"),Calc!$AL:$AL,0)),""))</f>
        <v/>
      </c>
      <c r="F39" s="61" t="str">
        <f t="array" ref="F39">IF(A39="","",IFERROR(INDEX(Calc!$I:$I,MATCH(IF(A39="","",TEXT(A39,"YYYYMMDD")&amp;"|Reel"),Calc!$AL:$AL,0)),""))</f>
        <v/>
      </c>
      <c r="G39" s="61" t="str">
        <f t="array" ref="G39">IF(A39="","",IFERROR(INDEX(Calc!$J:$J,MATCH(IF(A39="","",TEXT(A39,"YYYYMMDD")&amp;"|Reel"),Calc!$AL:$AL,0)),""))</f>
        <v/>
      </c>
      <c r="H39" s="61" t="str">
        <f t="array" ref="H39">IF(A39="","",IFERROR(INDEX(Calc!$K:$K,MATCH(IF(A39="","",TEXT(A39,"YYYYMMDD")&amp;"|Reel"),Calc!$AL:$AL,0)),""))</f>
        <v/>
      </c>
      <c r="I39" s="61" t="str">
        <f t="array" ref="I39">IF(A39="","",IFERROR(INDEX(Calc!$L:$L,MATCH(IF(A39="","",TEXT(A39,"YYYYMMDD")&amp;"|Reel"),Calc!$AL:$AL,0)),""))</f>
        <v/>
      </c>
      <c r="J39" s="61" t="str">
        <f t="array" ref="J39">IF(A39="","",IFERROR(INDEX(Calc!$M:$M,MATCH(IF(A39="","",TEXT(A39,"YYYYMMDD")&amp;"|Reel"),Calc!$AL:$AL,0)),""))</f>
        <v/>
      </c>
      <c r="K39" s="61" t="str">
        <f t="array" ref="K39">IF(A39="","",IFERROR(INDEX(Calc!$N:$N,MATCH(IF(A39="","",TEXT(A39,"YYYYMMDD")&amp;"|Reel"),Calc!$AL:$AL,0)),""))</f>
        <v/>
      </c>
      <c r="L39" s="62" t="str">
        <f t="array" ref="L39">IF(A39="","",IFERROR(INDEX(Calc!$AH:$AH,MATCH(IF(A39="","",TEXT(A39,"YYYYMMDD")&amp;"|Reel"),Calc!$AL:$AL,0)),""))</f>
        <v/>
      </c>
    </row>
    <row r="40" ht="15.75" customHeight="1">
      <c r="A40" s="59" t="str">
        <f>IFERROR(AGGREGATE(14,6,(Calc!$B$2:$B$501)/((Calc!$AK$2:$AK$501=1)*(Calc!$G$2:$G$501="Reel")),29),"")</f>
        <v/>
      </c>
      <c r="B40" s="60" t="str">
        <f t="array" ref="B40">IF(A40="","",IFERROR(INDEX(Calc!$E:$E,MATCH(IF(A40="","",TEXT(A40,"YYYYMMDD")&amp;"|Reel"),Calc!$AL:$AL,0)),""))</f>
        <v/>
      </c>
      <c r="C40" s="60" t="str">
        <f t="array" ref="C40">IF(A40="","",IFERROR(INDEX(Calc!$D:$D,MATCH(IF(A40="","",TEXT(A40,"YYYYMMDD")&amp;"|Reel"),Calc!$AL:$AL,0)),""))</f>
        <v/>
      </c>
      <c r="D40" s="60" t="str">
        <f t="array" ref="D40">IF(A40="","",IFERROR(INDEX(Calc!$F:$F,MATCH(IF(A40="","",TEXT(A40,"YYYYMMDD")&amp;"|Reel"),Calc!$AL:$AL,0)),""))</f>
        <v/>
      </c>
      <c r="E40" s="60" t="str">
        <f t="array" ref="E40">IF(A40="","",IFERROR(INDEX(Calc!$H:$H,MATCH(IF(A40="","",TEXT(A40,"YYYYMMDD")&amp;"|Reel"),Calc!$AL:$AL,0)),""))</f>
        <v/>
      </c>
      <c r="F40" s="61" t="str">
        <f t="array" ref="F40">IF(A40="","",IFERROR(INDEX(Calc!$I:$I,MATCH(IF(A40="","",TEXT(A40,"YYYYMMDD")&amp;"|Reel"),Calc!$AL:$AL,0)),""))</f>
        <v/>
      </c>
      <c r="G40" s="61" t="str">
        <f t="array" ref="G40">IF(A40="","",IFERROR(INDEX(Calc!$J:$J,MATCH(IF(A40="","",TEXT(A40,"YYYYMMDD")&amp;"|Reel"),Calc!$AL:$AL,0)),""))</f>
        <v/>
      </c>
      <c r="H40" s="61" t="str">
        <f t="array" ref="H40">IF(A40="","",IFERROR(INDEX(Calc!$K:$K,MATCH(IF(A40="","",TEXT(A40,"YYYYMMDD")&amp;"|Reel"),Calc!$AL:$AL,0)),""))</f>
        <v/>
      </c>
      <c r="I40" s="61" t="str">
        <f t="array" ref="I40">IF(A40="","",IFERROR(INDEX(Calc!$L:$L,MATCH(IF(A40="","",TEXT(A40,"YYYYMMDD")&amp;"|Reel"),Calc!$AL:$AL,0)),""))</f>
        <v/>
      </c>
      <c r="J40" s="61" t="str">
        <f t="array" ref="J40">IF(A40="","",IFERROR(INDEX(Calc!$M:$M,MATCH(IF(A40="","",TEXT(A40,"YYYYMMDD")&amp;"|Reel"),Calc!$AL:$AL,0)),""))</f>
        <v/>
      </c>
      <c r="K40" s="61" t="str">
        <f t="array" ref="K40">IF(A40="","",IFERROR(INDEX(Calc!$N:$N,MATCH(IF(A40="","",TEXT(A40,"YYYYMMDD")&amp;"|Reel"),Calc!$AL:$AL,0)),""))</f>
        <v/>
      </c>
      <c r="L40" s="62" t="str">
        <f t="array" ref="L40">IF(A40="","",IFERROR(INDEX(Calc!$AH:$AH,MATCH(IF(A40="","",TEXT(A40,"YYYYMMDD")&amp;"|Reel"),Calc!$AL:$AL,0)),""))</f>
        <v/>
      </c>
    </row>
    <row r="41" ht="15.75" customHeight="1">
      <c r="A41" s="59" t="str">
        <f>IFERROR(AGGREGATE(14,6,(Calc!$B$2:$B$501)/((Calc!$AK$2:$AK$501=1)*(Calc!$G$2:$G$501="Reel")),30),"")</f>
        <v/>
      </c>
      <c r="B41" s="60" t="str">
        <f t="array" ref="B41">IF(A41="","",IFERROR(INDEX(Calc!$E:$E,MATCH(IF(A41="","",TEXT(A41,"YYYYMMDD")&amp;"|Reel"),Calc!$AL:$AL,0)),""))</f>
        <v/>
      </c>
      <c r="C41" s="60" t="str">
        <f t="array" ref="C41">IF(A41="","",IFERROR(INDEX(Calc!$D:$D,MATCH(IF(A41="","",TEXT(A41,"YYYYMMDD")&amp;"|Reel"),Calc!$AL:$AL,0)),""))</f>
        <v/>
      </c>
      <c r="D41" s="60" t="str">
        <f t="array" ref="D41">IF(A41="","",IFERROR(INDEX(Calc!$F:$F,MATCH(IF(A41="","",TEXT(A41,"YYYYMMDD")&amp;"|Reel"),Calc!$AL:$AL,0)),""))</f>
        <v/>
      </c>
      <c r="E41" s="60" t="str">
        <f t="array" ref="E41">IF(A41="","",IFERROR(INDEX(Calc!$H:$H,MATCH(IF(A41="","",TEXT(A41,"YYYYMMDD")&amp;"|Reel"),Calc!$AL:$AL,0)),""))</f>
        <v/>
      </c>
      <c r="F41" s="61" t="str">
        <f t="array" ref="F41">IF(A41="","",IFERROR(INDEX(Calc!$I:$I,MATCH(IF(A41="","",TEXT(A41,"YYYYMMDD")&amp;"|Reel"),Calc!$AL:$AL,0)),""))</f>
        <v/>
      </c>
      <c r="G41" s="61" t="str">
        <f t="array" ref="G41">IF(A41="","",IFERROR(INDEX(Calc!$J:$J,MATCH(IF(A41="","",TEXT(A41,"YYYYMMDD")&amp;"|Reel"),Calc!$AL:$AL,0)),""))</f>
        <v/>
      </c>
      <c r="H41" s="61" t="str">
        <f t="array" ref="H41">IF(A41="","",IFERROR(INDEX(Calc!$K:$K,MATCH(IF(A41="","",TEXT(A41,"YYYYMMDD")&amp;"|Reel"),Calc!$AL:$AL,0)),""))</f>
        <v/>
      </c>
      <c r="I41" s="61" t="str">
        <f t="array" ref="I41">IF(A41="","",IFERROR(INDEX(Calc!$L:$L,MATCH(IF(A41="","",TEXT(A41,"YYYYMMDD")&amp;"|Reel"),Calc!$AL:$AL,0)),""))</f>
        <v/>
      </c>
      <c r="J41" s="61" t="str">
        <f t="array" ref="J41">IF(A41="","",IFERROR(INDEX(Calc!$M:$M,MATCH(IF(A41="","",TEXT(A41,"YYYYMMDD")&amp;"|Reel"),Calc!$AL:$AL,0)),""))</f>
        <v/>
      </c>
      <c r="K41" s="61" t="str">
        <f t="array" ref="K41">IF(A41="","",IFERROR(INDEX(Calc!$N:$N,MATCH(IF(A41="","",TEXT(A41,"YYYYMMDD")&amp;"|Reel"),Calc!$AL:$AL,0)),""))</f>
        <v/>
      </c>
      <c r="L41" s="62" t="str">
        <f t="array" ref="L41">IF(A41="","",IFERROR(INDEX(Calc!$AH:$AH,MATCH(IF(A41="","",TEXT(A41,"YYYYMMDD")&amp;"|Reel"),Calc!$AL:$AL,0)),""))</f>
        <v/>
      </c>
    </row>
    <row r="42" ht="15.75" customHeight="1">
      <c r="A42" s="59" t="str">
        <f>IFERROR(AGGREGATE(14,6,(Calc!$B$2:$B$501)/((Calc!$AK$2:$AK$501=1)*(Calc!$G$2:$G$501="Reel")),31),"")</f>
        <v/>
      </c>
      <c r="B42" s="60" t="str">
        <f t="array" ref="B42">IF(A42="","",IFERROR(INDEX(Calc!$E:$E,MATCH(IF(A42="","",TEXT(A42,"YYYYMMDD")&amp;"|Reel"),Calc!$AL:$AL,0)),""))</f>
        <v/>
      </c>
      <c r="C42" s="60" t="str">
        <f t="array" ref="C42">IF(A42="","",IFERROR(INDEX(Calc!$D:$D,MATCH(IF(A42="","",TEXT(A42,"YYYYMMDD")&amp;"|Reel"),Calc!$AL:$AL,0)),""))</f>
        <v/>
      </c>
      <c r="D42" s="60" t="str">
        <f t="array" ref="D42">IF(A42="","",IFERROR(INDEX(Calc!$F:$F,MATCH(IF(A42="","",TEXT(A42,"YYYYMMDD")&amp;"|Reel"),Calc!$AL:$AL,0)),""))</f>
        <v/>
      </c>
      <c r="E42" s="60" t="str">
        <f t="array" ref="E42">IF(A42="","",IFERROR(INDEX(Calc!$H:$H,MATCH(IF(A42="","",TEXT(A42,"YYYYMMDD")&amp;"|Reel"),Calc!$AL:$AL,0)),""))</f>
        <v/>
      </c>
      <c r="F42" s="61" t="str">
        <f t="array" ref="F42">IF(A42="","",IFERROR(INDEX(Calc!$I:$I,MATCH(IF(A42="","",TEXT(A42,"YYYYMMDD")&amp;"|Reel"),Calc!$AL:$AL,0)),""))</f>
        <v/>
      </c>
      <c r="G42" s="61" t="str">
        <f t="array" ref="G42">IF(A42="","",IFERROR(INDEX(Calc!$J:$J,MATCH(IF(A42="","",TEXT(A42,"YYYYMMDD")&amp;"|Reel"),Calc!$AL:$AL,0)),""))</f>
        <v/>
      </c>
      <c r="H42" s="61" t="str">
        <f t="array" ref="H42">IF(A42="","",IFERROR(INDEX(Calc!$K:$K,MATCH(IF(A42="","",TEXT(A42,"YYYYMMDD")&amp;"|Reel"),Calc!$AL:$AL,0)),""))</f>
        <v/>
      </c>
      <c r="I42" s="61" t="str">
        <f t="array" ref="I42">IF(A42="","",IFERROR(INDEX(Calc!$L:$L,MATCH(IF(A42="","",TEXT(A42,"YYYYMMDD")&amp;"|Reel"),Calc!$AL:$AL,0)),""))</f>
        <v/>
      </c>
      <c r="J42" s="61" t="str">
        <f t="array" ref="J42">IF(A42="","",IFERROR(INDEX(Calc!$M:$M,MATCH(IF(A42="","",TEXT(A42,"YYYYMMDD")&amp;"|Reel"),Calc!$AL:$AL,0)),""))</f>
        <v/>
      </c>
      <c r="K42" s="61" t="str">
        <f t="array" ref="K42">IF(A42="","",IFERROR(INDEX(Calc!$N:$N,MATCH(IF(A42="","",TEXT(A42,"YYYYMMDD")&amp;"|Reel"),Calc!$AL:$AL,0)),""))</f>
        <v/>
      </c>
      <c r="L42" s="62" t="str">
        <f t="array" ref="L42">IF(A42="","",IFERROR(INDEX(Calc!$AH:$AH,MATCH(IF(A42="","",TEXT(A42,"YYYYMMDD")&amp;"|Reel"),Calc!$AL:$AL,0)),""))</f>
        <v/>
      </c>
    </row>
    <row r="43" ht="15.75" customHeight="1">
      <c r="A43" s="59" t="str">
        <f>IFERROR(AGGREGATE(14,6,(Calc!$B$2:$B$501)/((Calc!$AK$2:$AK$501=1)*(Calc!$G$2:$G$501="Reel")),32),"")</f>
        <v/>
      </c>
      <c r="B43" s="60" t="str">
        <f t="array" ref="B43">IF(A43="","",IFERROR(INDEX(Calc!$E:$E,MATCH(IF(A43="","",TEXT(A43,"YYYYMMDD")&amp;"|Reel"),Calc!$AL:$AL,0)),""))</f>
        <v/>
      </c>
      <c r="C43" s="60" t="str">
        <f t="array" ref="C43">IF(A43="","",IFERROR(INDEX(Calc!$D:$D,MATCH(IF(A43="","",TEXT(A43,"YYYYMMDD")&amp;"|Reel"),Calc!$AL:$AL,0)),""))</f>
        <v/>
      </c>
      <c r="D43" s="60" t="str">
        <f t="array" ref="D43">IF(A43="","",IFERROR(INDEX(Calc!$F:$F,MATCH(IF(A43="","",TEXT(A43,"YYYYMMDD")&amp;"|Reel"),Calc!$AL:$AL,0)),""))</f>
        <v/>
      </c>
      <c r="E43" s="60" t="str">
        <f t="array" ref="E43">IF(A43="","",IFERROR(INDEX(Calc!$H:$H,MATCH(IF(A43="","",TEXT(A43,"YYYYMMDD")&amp;"|Reel"),Calc!$AL:$AL,0)),""))</f>
        <v/>
      </c>
      <c r="F43" s="61" t="str">
        <f t="array" ref="F43">IF(A43="","",IFERROR(INDEX(Calc!$I:$I,MATCH(IF(A43="","",TEXT(A43,"YYYYMMDD")&amp;"|Reel"),Calc!$AL:$AL,0)),""))</f>
        <v/>
      </c>
      <c r="G43" s="61" t="str">
        <f t="array" ref="G43">IF(A43="","",IFERROR(INDEX(Calc!$J:$J,MATCH(IF(A43="","",TEXT(A43,"YYYYMMDD")&amp;"|Reel"),Calc!$AL:$AL,0)),""))</f>
        <v/>
      </c>
      <c r="H43" s="61" t="str">
        <f t="array" ref="H43">IF(A43="","",IFERROR(INDEX(Calc!$K:$K,MATCH(IF(A43="","",TEXT(A43,"YYYYMMDD")&amp;"|Reel"),Calc!$AL:$AL,0)),""))</f>
        <v/>
      </c>
      <c r="I43" s="61" t="str">
        <f t="array" ref="I43">IF(A43="","",IFERROR(INDEX(Calc!$L:$L,MATCH(IF(A43="","",TEXT(A43,"YYYYMMDD")&amp;"|Reel"),Calc!$AL:$AL,0)),""))</f>
        <v/>
      </c>
      <c r="J43" s="61" t="str">
        <f t="array" ref="J43">IF(A43="","",IFERROR(INDEX(Calc!$M:$M,MATCH(IF(A43="","",TEXT(A43,"YYYYMMDD")&amp;"|Reel"),Calc!$AL:$AL,0)),""))</f>
        <v/>
      </c>
      <c r="K43" s="61" t="str">
        <f t="array" ref="K43">IF(A43="","",IFERROR(INDEX(Calc!$N:$N,MATCH(IF(A43="","",TEXT(A43,"YYYYMMDD")&amp;"|Reel"),Calc!$AL:$AL,0)),""))</f>
        <v/>
      </c>
      <c r="L43" s="62" t="str">
        <f t="array" ref="L43">IF(A43="","",IFERROR(INDEX(Calc!$AH:$AH,MATCH(IF(A43="","",TEXT(A43,"YYYYMMDD")&amp;"|Reel"),Calc!$AL:$AL,0)),""))</f>
        <v/>
      </c>
    </row>
    <row r="44" ht="15.75" customHeight="1">
      <c r="A44" s="59" t="str">
        <f>IFERROR(AGGREGATE(14,6,(Calc!$B$2:$B$501)/((Calc!$AK$2:$AK$501=1)*(Calc!$G$2:$G$501="Reel")),33),"")</f>
        <v/>
      </c>
      <c r="B44" s="60" t="str">
        <f t="array" ref="B44">IF(A44="","",IFERROR(INDEX(Calc!$E:$E,MATCH(IF(A44="","",TEXT(A44,"YYYYMMDD")&amp;"|Reel"),Calc!$AL:$AL,0)),""))</f>
        <v/>
      </c>
      <c r="C44" s="60" t="str">
        <f t="array" ref="C44">IF(A44="","",IFERROR(INDEX(Calc!$D:$D,MATCH(IF(A44="","",TEXT(A44,"YYYYMMDD")&amp;"|Reel"),Calc!$AL:$AL,0)),""))</f>
        <v/>
      </c>
      <c r="D44" s="60" t="str">
        <f t="array" ref="D44">IF(A44="","",IFERROR(INDEX(Calc!$F:$F,MATCH(IF(A44="","",TEXT(A44,"YYYYMMDD")&amp;"|Reel"),Calc!$AL:$AL,0)),""))</f>
        <v/>
      </c>
      <c r="E44" s="60" t="str">
        <f t="array" ref="E44">IF(A44="","",IFERROR(INDEX(Calc!$H:$H,MATCH(IF(A44="","",TEXT(A44,"YYYYMMDD")&amp;"|Reel"),Calc!$AL:$AL,0)),""))</f>
        <v/>
      </c>
      <c r="F44" s="61" t="str">
        <f t="array" ref="F44">IF(A44="","",IFERROR(INDEX(Calc!$I:$I,MATCH(IF(A44="","",TEXT(A44,"YYYYMMDD")&amp;"|Reel"),Calc!$AL:$AL,0)),""))</f>
        <v/>
      </c>
      <c r="G44" s="61" t="str">
        <f t="array" ref="G44">IF(A44="","",IFERROR(INDEX(Calc!$J:$J,MATCH(IF(A44="","",TEXT(A44,"YYYYMMDD")&amp;"|Reel"),Calc!$AL:$AL,0)),""))</f>
        <v/>
      </c>
      <c r="H44" s="61" t="str">
        <f t="array" ref="H44">IF(A44="","",IFERROR(INDEX(Calc!$K:$K,MATCH(IF(A44="","",TEXT(A44,"YYYYMMDD")&amp;"|Reel"),Calc!$AL:$AL,0)),""))</f>
        <v/>
      </c>
      <c r="I44" s="61" t="str">
        <f t="array" ref="I44">IF(A44="","",IFERROR(INDEX(Calc!$L:$L,MATCH(IF(A44="","",TEXT(A44,"YYYYMMDD")&amp;"|Reel"),Calc!$AL:$AL,0)),""))</f>
        <v/>
      </c>
      <c r="J44" s="61" t="str">
        <f t="array" ref="J44">IF(A44="","",IFERROR(INDEX(Calc!$M:$M,MATCH(IF(A44="","",TEXT(A44,"YYYYMMDD")&amp;"|Reel"),Calc!$AL:$AL,0)),""))</f>
        <v/>
      </c>
      <c r="K44" s="61" t="str">
        <f t="array" ref="K44">IF(A44="","",IFERROR(INDEX(Calc!$N:$N,MATCH(IF(A44="","",TEXT(A44,"YYYYMMDD")&amp;"|Reel"),Calc!$AL:$AL,0)),""))</f>
        <v/>
      </c>
      <c r="L44" s="62" t="str">
        <f t="array" ref="L44">IF(A44="","",IFERROR(INDEX(Calc!$AH:$AH,MATCH(IF(A44="","",TEXT(A44,"YYYYMMDD")&amp;"|Reel"),Calc!$AL:$AL,0)),""))</f>
        <v/>
      </c>
    </row>
    <row r="45" ht="15.75" customHeight="1">
      <c r="A45" s="59" t="str">
        <f>IFERROR(AGGREGATE(14,6,(Calc!$B$2:$B$501)/((Calc!$AK$2:$AK$501=1)*(Calc!$G$2:$G$501="Reel")),34),"")</f>
        <v/>
      </c>
      <c r="B45" s="60" t="str">
        <f t="array" ref="B45">IF(A45="","",IFERROR(INDEX(Calc!$E:$E,MATCH(IF(A45="","",TEXT(A45,"YYYYMMDD")&amp;"|Reel"),Calc!$AL:$AL,0)),""))</f>
        <v/>
      </c>
      <c r="C45" s="60" t="str">
        <f t="array" ref="C45">IF(A45="","",IFERROR(INDEX(Calc!$D:$D,MATCH(IF(A45="","",TEXT(A45,"YYYYMMDD")&amp;"|Reel"),Calc!$AL:$AL,0)),""))</f>
        <v/>
      </c>
      <c r="D45" s="60" t="str">
        <f t="array" ref="D45">IF(A45="","",IFERROR(INDEX(Calc!$F:$F,MATCH(IF(A45="","",TEXT(A45,"YYYYMMDD")&amp;"|Reel"),Calc!$AL:$AL,0)),""))</f>
        <v/>
      </c>
      <c r="E45" s="60" t="str">
        <f t="array" ref="E45">IF(A45="","",IFERROR(INDEX(Calc!$H:$H,MATCH(IF(A45="","",TEXT(A45,"YYYYMMDD")&amp;"|Reel"),Calc!$AL:$AL,0)),""))</f>
        <v/>
      </c>
      <c r="F45" s="61" t="str">
        <f t="array" ref="F45">IF(A45="","",IFERROR(INDEX(Calc!$I:$I,MATCH(IF(A45="","",TEXT(A45,"YYYYMMDD")&amp;"|Reel"),Calc!$AL:$AL,0)),""))</f>
        <v/>
      </c>
      <c r="G45" s="61" t="str">
        <f t="array" ref="G45">IF(A45="","",IFERROR(INDEX(Calc!$J:$J,MATCH(IF(A45="","",TEXT(A45,"YYYYMMDD")&amp;"|Reel"),Calc!$AL:$AL,0)),""))</f>
        <v/>
      </c>
      <c r="H45" s="61" t="str">
        <f t="array" ref="H45">IF(A45="","",IFERROR(INDEX(Calc!$K:$K,MATCH(IF(A45="","",TEXT(A45,"YYYYMMDD")&amp;"|Reel"),Calc!$AL:$AL,0)),""))</f>
        <v/>
      </c>
      <c r="I45" s="61" t="str">
        <f t="array" ref="I45">IF(A45="","",IFERROR(INDEX(Calc!$L:$L,MATCH(IF(A45="","",TEXT(A45,"YYYYMMDD")&amp;"|Reel"),Calc!$AL:$AL,0)),""))</f>
        <v/>
      </c>
      <c r="J45" s="61" t="str">
        <f t="array" ref="J45">IF(A45="","",IFERROR(INDEX(Calc!$M:$M,MATCH(IF(A45="","",TEXT(A45,"YYYYMMDD")&amp;"|Reel"),Calc!$AL:$AL,0)),""))</f>
        <v/>
      </c>
      <c r="K45" s="61" t="str">
        <f t="array" ref="K45">IF(A45="","",IFERROR(INDEX(Calc!$N:$N,MATCH(IF(A45="","",TEXT(A45,"YYYYMMDD")&amp;"|Reel"),Calc!$AL:$AL,0)),""))</f>
        <v/>
      </c>
      <c r="L45" s="62" t="str">
        <f t="array" ref="L45">IF(A45="","",IFERROR(INDEX(Calc!$AH:$AH,MATCH(IF(A45="","",TEXT(A45,"YYYYMMDD")&amp;"|Reel"),Calc!$AL:$AL,0)),""))</f>
        <v/>
      </c>
    </row>
    <row r="46" ht="15.75" customHeight="1">
      <c r="A46" s="59" t="str">
        <f>IFERROR(AGGREGATE(14,6,(Calc!$B$2:$B$501)/((Calc!$AK$2:$AK$501=1)*(Calc!$G$2:$G$501="Reel")),35),"")</f>
        <v/>
      </c>
      <c r="B46" s="60" t="str">
        <f t="array" ref="B46">IF(A46="","",IFERROR(INDEX(Calc!$E:$E,MATCH(IF(A46="","",TEXT(A46,"YYYYMMDD")&amp;"|Reel"),Calc!$AL:$AL,0)),""))</f>
        <v/>
      </c>
      <c r="C46" s="60" t="str">
        <f t="array" ref="C46">IF(A46="","",IFERROR(INDEX(Calc!$D:$D,MATCH(IF(A46="","",TEXT(A46,"YYYYMMDD")&amp;"|Reel"),Calc!$AL:$AL,0)),""))</f>
        <v/>
      </c>
      <c r="D46" s="60" t="str">
        <f t="array" ref="D46">IF(A46="","",IFERROR(INDEX(Calc!$F:$F,MATCH(IF(A46="","",TEXT(A46,"YYYYMMDD")&amp;"|Reel"),Calc!$AL:$AL,0)),""))</f>
        <v/>
      </c>
      <c r="E46" s="60" t="str">
        <f t="array" ref="E46">IF(A46="","",IFERROR(INDEX(Calc!$H:$H,MATCH(IF(A46="","",TEXT(A46,"YYYYMMDD")&amp;"|Reel"),Calc!$AL:$AL,0)),""))</f>
        <v/>
      </c>
      <c r="F46" s="61" t="str">
        <f t="array" ref="F46">IF(A46="","",IFERROR(INDEX(Calc!$I:$I,MATCH(IF(A46="","",TEXT(A46,"YYYYMMDD")&amp;"|Reel"),Calc!$AL:$AL,0)),""))</f>
        <v/>
      </c>
      <c r="G46" s="61" t="str">
        <f t="array" ref="G46">IF(A46="","",IFERROR(INDEX(Calc!$J:$J,MATCH(IF(A46="","",TEXT(A46,"YYYYMMDD")&amp;"|Reel"),Calc!$AL:$AL,0)),""))</f>
        <v/>
      </c>
      <c r="H46" s="61" t="str">
        <f t="array" ref="H46">IF(A46="","",IFERROR(INDEX(Calc!$K:$K,MATCH(IF(A46="","",TEXT(A46,"YYYYMMDD")&amp;"|Reel"),Calc!$AL:$AL,0)),""))</f>
        <v/>
      </c>
      <c r="I46" s="61" t="str">
        <f t="array" ref="I46">IF(A46="","",IFERROR(INDEX(Calc!$L:$L,MATCH(IF(A46="","",TEXT(A46,"YYYYMMDD")&amp;"|Reel"),Calc!$AL:$AL,0)),""))</f>
        <v/>
      </c>
      <c r="J46" s="61" t="str">
        <f t="array" ref="J46">IF(A46="","",IFERROR(INDEX(Calc!$M:$M,MATCH(IF(A46="","",TEXT(A46,"YYYYMMDD")&amp;"|Reel"),Calc!$AL:$AL,0)),""))</f>
        <v/>
      </c>
      <c r="K46" s="61" t="str">
        <f t="array" ref="K46">IF(A46="","",IFERROR(INDEX(Calc!$N:$N,MATCH(IF(A46="","",TEXT(A46,"YYYYMMDD")&amp;"|Reel"),Calc!$AL:$AL,0)),""))</f>
        <v/>
      </c>
      <c r="L46" s="62" t="str">
        <f t="array" ref="L46">IF(A46="","",IFERROR(INDEX(Calc!$AH:$AH,MATCH(IF(A46="","",TEXT(A46,"YYYYMMDD")&amp;"|Reel"),Calc!$AL:$AL,0)),""))</f>
        <v/>
      </c>
    </row>
    <row r="47" ht="15.75" customHeight="1">
      <c r="A47" s="59" t="str">
        <f>IFERROR(AGGREGATE(14,6,(Calc!$B$2:$B$501)/((Calc!$AK$2:$AK$501=1)*(Calc!$G$2:$G$501="Reel")),36),"")</f>
        <v/>
      </c>
      <c r="B47" s="60" t="str">
        <f t="array" ref="B47">IF(A47="","",IFERROR(INDEX(Calc!$E:$E,MATCH(IF(A47="","",TEXT(A47,"YYYYMMDD")&amp;"|Reel"),Calc!$AL:$AL,0)),""))</f>
        <v/>
      </c>
      <c r="C47" s="60" t="str">
        <f t="array" ref="C47">IF(A47="","",IFERROR(INDEX(Calc!$D:$D,MATCH(IF(A47="","",TEXT(A47,"YYYYMMDD")&amp;"|Reel"),Calc!$AL:$AL,0)),""))</f>
        <v/>
      </c>
      <c r="D47" s="60" t="str">
        <f t="array" ref="D47">IF(A47="","",IFERROR(INDEX(Calc!$F:$F,MATCH(IF(A47="","",TEXT(A47,"YYYYMMDD")&amp;"|Reel"),Calc!$AL:$AL,0)),""))</f>
        <v/>
      </c>
      <c r="E47" s="60" t="str">
        <f t="array" ref="E47">IF(A47="","",IFERROR(INDEX(Calc!$H:$H,MATCH(IF(A47="","",TEXT(A47,"YYYYMMDD")&amp;"|Reel"),Calc!$AL:$AL,0)),""))</f>
        <v/>
      </c>
      <c r="F47" s="61" t="str">
        <f t="array" ref="F47">IF(A47="","",IFERROR(INDEX(Calc!$I:$I,MATCH(IF(A47="","",TEXT(A47,"YYYYMMDD")&amp;"|Reel"),Calc!$AL:$AL,0)),""))</f>
        <v/>
      </c>
      <c r="G47" s="61" t="str">
        <f t="array" ref="G47">IF(A47="","",IFERROR(INDEX(Calc!$J:$J,MATCH(IF(A47="","",TEXT(A47,"YYYYMMDD")&amp;"|Reel"),Calc!$AL:$AL,0)),""))</f>
        <v/>
      </c>
      <c r="H47" s="61" t="str">
        <f t="array" ref="H47">IF(A47="","",IFERROR(INDEX(Calc!$K:$K,MATCH(IF(A47="","",TEXT(A47,"YYYYMMDD")&amp;"|Reel"),Calc!$AL:$AL,0)),""))</f>
        <v/>
      </c>
      <c r="I47" s="61" t="str">
        <f t="array" ref="I47">IF(A47="","",IFERROR(INDEX(Calc!$L:$L,MATCH(IF(A47="","",TEXT(A47,"YYYYMMDD")&amp;"|Reel"),Calc!$AL:$AL,0)),""))</f>
        <v/>
      </c>
      <c r="J47" s="61" t="str">
        <f t="array" ref="J47">IF(A47="","",IFERROR(INDEX(Calc!$M:$M,MATCH(IF(A47="","",TEXT(A47,"YYYYMMDD")&amp;"|Reel"),Calc!$AL:$AL,0)),""))</f>
        <v/>
      </c>
      <c r="K47" s="61" t="str">
        <f t="array" ref="K47">IF(A47="","",IFERROR(INDEX(Calc!$N:$N,MATCH(IF(A47="","",TEXT(A47,"YYYYMMDD")&amp;"|Reel"),Calc!$AL:$AL,0)),""))</f>
        <v/>
      </c>
      <c r="L47" s="62" t="str">
        <f t="array" ref="L47">IF(A47="","",IFERROR(INDEX(Calc!$AH:$AH,MATCH(IF(A47="","",TEXT(A47,"YYYYMMDD")&amp;"|Reel"),Calc!$AL:$AL,0)),""))</f>
        <v/>
      </c>
    </row>
    <row r="48" ht="15.75" customHeight="1">
      <c r="A48" s="59" t="str">
        <f>IFERROR(AGGREGATE(14,6,(Calc!$B$2:$B$501)/((Calc!$AK$2:$AK$501=1)*(Calc!$G$2:$G$501="Reel")),37),"")</f>
        <v/>
      </c>
      <c r="B48" s="60" t="str">
        <f t="array" ref="B48">IF(A48="","",IFERROR(INDEX(Calc!$E:$E,MATCH(IF(A48="","",TEXT(A48,"YYYYMMDD")&amp;"|Reel"),Calc!$AL:$AL,0)),""))</f>
        <v/>
      </c>
      <c r="C48" s="60" t="str">
        <f t="array" ref="C48">IF(A48="","",IFERROR(INDEX(Calc!$D:$D,MATCH(IF(A48="","",TEXT(A48,"YYYYMMDD")&amp;"|Reel"),Calc!$AL:$AL,0)),""))</f>
        <v/>
      </c>
      <c r="D48" s="60" t="str">
        <f t="array" ref="D48">IF(A48="","",IFERROR(INDEX(Calc!$F:$F,MATCH(IF(A48="","",TEXT(A48,"YYYYMMDD")&amp;"|Reel"),Calc!$AL:$AL,0)),""))</f>
        <v/>
      </c>
      <c r="E48" s="60" t="str">
        <f t="array" ref="E48">IF(A48="","",IFERROR(INDEX(Calc!$H:$H,MATCH(IF(A48="","",TEXT(A48,"YYYYMMDD")&amp;"|Reel"),Calc!$AL:$AL,0)),""))</f>
        <v/>
      </c>
      <c r="F48" s="61" t="str">
        <f t="array" ref="F48">IF(A48="","",IFERROR(INDEX(Calc!$I:$I,MATCH(IF(A48="","",TEXT(A48,"YYYYMMDD")&amp;"|Reel"),Calc!$AL:$AL,0)),""))</f>
        <v/>
      </c>
      <c r="G48" s="61" t="str">
        <f t="array" ref="G48">IF(A48="","",IFERROR(INDEX(Calc!$J:$J,MATCH(IF(A48="","",TEXT(A48,"YYYYMMDD")&amp;"|Reel"),Calc!$AL:$AL,0)),""))</f>
        <v/>
      </c>
      <c r="H48" s="61" t="str">
        <f t="array" ref="H48">IF(A48="","",IFERROR(INDEX(Calc!$K:$K,MATCH(IF(A48="","",TEXT(A48,"YYYYMMDD")&amp;"|Reel"),Calc!$AL:$AL,0)),""))</f>
        <v/>
      </c>
      <c r="I48" s="61" t="str">
        <f t="array" ref="I48">IF(A48="","",IFERROR(INDEX(Calc!$L:$L,MATCH(IF(A48="","",TEXT(A48,"YYYYMMDD")&amp;"|Reel"),Calc!$AL:$AL,0)),""))</f>
        <v/>
      </c>
      <c r="J48" s="61" t="str">
        <f t="array" ref="J48">IF(A48="","",IFERROR(INDEX(Calc!$M:$M,MATCH(IF(A48="","",TEXT(A48,"YYYYMMDD")&amp;"|Reel"),Calc!$AL:$AL,0)),""))</f>
        <v/>
      </c>
      <c r="K48" s="61" t="str">
        <f t="array" ref="K48">IF(A48="","",IFERROR(INDEX(Calc!$N:$N,MATCH(IF(A48="","",TEXT(A48,"YYYYMMDD")&amp;"|Reel"),Calc!$AL:$AL,0)),""))</f>
        <v/>
      </c>
      <c r="L48" s="62" t="str">
        <f t="array" ref="L48">IF(A48="","",IFERROR(INDEX(Calc!$AH:$AH,MATCH(IF(A48="","",TEXT(A48,"YYYYMMDD")&amp;"|Reel"),Calc!$AL:$AL,0)),""))</f>
        <v/>
      </c>
    </row>
    <row r="49" ht="15.75" customHeight="1">
      <c r="A49" s="59" t="str">
        <f>IFERROR(AGGREGATE(14,6,(Calc!$B$2:$B$501)/((Calc!$AK$2:$AK$501=1)*(Calc!$G$2:$G$501="Reel")),38),"")</f>
        <v/>
      </c>
      <c r="B49" s="60" t="str">
        <f t="array" ref="B49">IF(A49="","",IFERROR(INDEX(Calc!$E:$E,MATCH(IF(A49="","",TEXT(A49,"YYYYMMDD")&amp;"|Reel"),Calc!$AL:$AL,0)),""))</f>
        <v/>
      </c>
      <c r="C49" s="60" t="str">
        <f t="array" ref="C49">IF(A49="","",IFERROR(INDEX(Calc!$D:$D,MATCH(IF(A49="","",TEXT(A49,"YYYYMMDD")&amp;"|Reel"),Calc!$AL:$AL,0)),""))</f>
        <v/>
      </c>
      <c r="D49" s="60" t="str">
        <f t="array" ref="D49">IF(A49="","",IFERROR(INDEX(Calc!$F:$F,MATCH(IF(A49="","",TEXT(A49,"YYYYMMDD")&amp;"|Reel"),Calc!$AL:$AL,0)),""))</f>
        <v/>
      </c>
      <c r="E49" s="60" t="str">
        <f t="array" ref="E49">IF(A49="","",IFERROR(INDEX(Calc!$H:$H,MATCH(IF(A49="","",TEXT(A49,"YYYYMMDD")&amp;"|Reel"),Calc!$AL:$AL,0)),""))</f>
        <v/>
      </c>
      <c r="F49" s="61" t="str">
        <f t="array" ref="F49">IF(A49="","",IFERROR(INDEX(Calc!$I:$I,MATCH(IF(A49="","",TEXT(A49,"YYYYMMDD")&amp;"|Reel"),Calc!$AL:$AL,0)),""))</f>
        <v/>
      </c>
      <c r="G49" s="61" t="str">
        <f t="array" ref="G49">IF(A49="","",IFERROR(INDEX(Calc!$J:$J,MATCH(IF(A49="","",TEXT(A49,"YYYYMMDD")&amp;"|Reel"),Calc!$AL:$AL,0)),""))</f>
        <v/>
      </c>
      <c r="H49" s="61" t="str">
        <f t="array" ref="H49">IF(A49="","",IFERROR(INDEX(Calc!$K:$K,MATCH(IF(A49="","",TEXT(A49,"YYYYMMDD")&amp;"|Reel"),Calc!$AL:$AL,0)),""))</f>
        <v/>
      </c>
      <c r="I49" s="61" t="str">
        <f t="array" ref="I49">IF(A49="","",IFERROR(INDEX(Calc!$L:$L,MATCH(IF(A49="","",TEXT(A49,"YYYYMMDD")&amp;"|Reel"),Calc!$AL:$AL,0)),""))</f>
        <v/>
      </c>
      <c r="J49" s="61" t="str">
        <f t="array" ref="J49">IF(A49="","",IFERROR(INDEX(Calc!$M:$M,MATCH(IF(A49="","",TEXT(A49,"YYYYMMDD")&amp;"|Reel"),Calc!$AL:$AL,0)),""))</f>
        <v/>
      </c>
      <c r="K49" s="61" t="str">
        <f t="array" ref="K49">IF(A49="","",IFERROR(INDEX(Calc!$N:$N,MATCH(IF(A49="","",TEXT(A49,"YYYYMMDD")&amp;"|Reel"),Calc!$AL:$AL,0)),""))</f>
        <v/>
      </c>
      <c r="L49" s="62" t="str">
        <f t="array" ref="L49">IF(A49="","",IFERROR(INDEX(Calc!$AH:$AH,MATCH(IF(A49="","",TEXT(A49,"YYYYMMDD")&amp;"|Reel"),Calc!$AL:$AL,0)),""))</f>
        <v/>
      </c>
    </row>
    <row r="50" ht="15.75" customHeight="1">
      <c r="A50" s="59" t="str">
        <f>IFERROR(AGGREGATE(14,6,(Calc!$B$2:$B$501)/((Calc!$AK$2:$AK$501=1)*(Calc!$G$2:$G$501="Reel")),39),"")</f>
        <v/>
      </c>
      <c r="B50" s="60" t="str">
        <f t="array" ref="B50">IF(A50="","",IFERROR(INDEX(Calc!$E:$E,MATCH(IF(A50="","",TEXT(A50,"YYYYMMDD")&amp;"|Reel"),Calc!$AL:$AL,0)),""))</f>
        <v/>
      </c>
      <c r="C50" s="60" t="str">
        <f t="array" ref="C50">IF(A50="","",IFERROR(INDEX(Calc!$D:$D,MATCH(IF(A50="","",TEXT(A50,"YYYYMMDD")&amp;"|Reel"),Calc!$AL:$AL,0)),""))</f>
        <v/>
      </c>
      <c r="D50" s="60" t="str">
        <f t="array" ref="D50">IF(A50="","",IFERROR(INDEX(Calc!$F:$F,MATCH(IF(A50="","",TEXT(A50,"YYYYMMDD")&amp;"|Reel"),Calc!$AL:$AL,0)),""))</f>
        <v/>
      </c>
      <c r="E50" s="60" t="str">
        <f t="array" ref="E50">IF(A50="","",IFERROR(INDEX(Calc!$H:$H,MATCH(IF(A50="","",TEXT(A50,"YYYYMMDD")&amp;"|Reel"),Calc!$AL:$AL,0)),""))</f>
        <v/>
      </c>
      <c r="F50" s="61" t="str">
        <f t="array" ref="F50">IF(A50="","",IFERROR(INDEX(Calc!$I:$I,MATCH(IF(A50="","",TEXT(A50,"YYYYMMDD")&amp;"|Reel"),Calc!$AL:$AL,0)),""))</f>
        <v/>
      </c>
      <c r="G50" s="61" t="str">
        <f t="array" ref="G50">IF(A50="","",IFERROR(INDEX(Calc!$J:$J,MATCH(IF(A50="","",TEXT(A50,"YYYYMMDD")&amp;"|Reel"),Calc!$AL:$AL,0)),""))</f>
        <v/>
      </c>
      <c r="H50" s="61" t="str">
        <f t="array" ref="H50">IF(A50="","",IFERROR(INDEX(Calc!$K:$K,MATCH(IF(A50="","",TEXT(A50,"YYYYMMDD")&amp;"|Reel"),Calc!$AL:$AL,0)),""))</f>
        <v/>
      </c>
      <c r="I50" s="61" t="str">
        <f t="array" ref="I50">IF(A50="","",IFERROR(INDEX(Calc!$L:$L,MATCH(IF(A50="","",TEXT(A50,"YYYYMMDD")&amp;"|Reel"),Calc!$AL:$AL,0)),""))</f>
        <v/>
      </c>
      <c r="J50" s="61" t="str">
        <f t="array" ref="J50">IF(A50="","",IFERROR(INDEX(Calc!$M:$M,MATCH(IF(A50="","",TEXT(A50,"YYYYMMDD")&amp;"|Reel"),Calc!$AL:$AL,0)),""))</f>
        <v/>
      </c>
      <c r="K50" s="61" t="str">
        <f t="array" ref="K50">IF(A50="","",IFERROR(INDEX(Calc!$N:$N,MATCH(IF(A50="","",TEXT(A50,"YYYYMMDD")&amp;"|Reel"),Calc!$AL:$AL,0)),""))</f>
        <v/>
      </c>
      <c r="L50" s="62" t="str">
        <f t="array" ref="L50">IF(A50="","",IFERROR(INDEX(Calc!$AH:$AH,MATCH(IF(A50="","",TEXT(A50,"YYYYMMDD")&amp;"|Reel"),Calc!$AL:$AL,0)),""))</f>
        <v/>
      </c>
    </row>
    <row r="51" ht="15.75" customHeight="1">
      <c r="A51" s="59" t="str">
        <f>IFERROR(AGGREGATE(14,6,(Calc!$B$2:$B$501)/((Calc!$AK$2:$AK$501=1)*(Calc!$G$2:$G$501="Reel")),40),"")</f>
        <v/>
      </c>
      <c r="B51" s="60" t="str">
        <f t="array" ref="B51">IF(A51="","",IFERROR(INDEX(Calc!$E:$E,MATCH(IF(A51="","",TEXT(A51,"YYYYMMDD")&amp;"|Reel"),Calc!$AL:$AL,0)),""))</f>
        <v/>
      </c>
      <c r="C51" s="60" t="str">
        <f t="array" ref="C51">IF(A51="","",IFERROR(INDEX(Calc!$D:$D,MATCH(IF(A51="","",TEXT(A51,"YYYYMMDD")&amp;"|Reel"),Calc!$AL:$AL,0)),""))</f>
        <v/>
      </c>
      <c r="D51" s="60" t="str">
        <f t="array" ref="D51">IF(A51="","",IFERROR(INDEX(Calc!$F:$F,MATCH(IF(A51="","",TEXT(A51,"YYYYMMDD")&amp;"|Reel"),Calc!$AL:$AL,0)),""))</f>
        <v/>
      </c>
      <c r="E51" s="60" t="str">
        <f t="array" ref="E51">IF(A51="","",IFERROR(INDEX(Calc!$H:$H,MATCH(IF(A51="","",TEXT(A51,"YYYYMMDD")&amp;"|Reel"),Calc!$AL:$AL,0)),""))</f>
        <v/>
      </c>
      <c r="F51" s="61" t="str">
        <f t="array" ref="F51">IF(A51="","",IFERROR(INDEX(Calc!$I:$I,MATCH(IF(A51="","",TEXT(A51,"YYYYMMDD")&amp;"|Reel"),Calc!$AL:$AL,0)),""))</f>
        <v/>
      </c>
      <c r="G51" s="61" t="str">
        <f t="array" ref="G51">IF(A51="","",IFERROR(INDEX(Calc!$J:$J,MATCH(IF(A51="","",TEXT(A51,"YYYYMMDD")&amp;"|Reel"),Calc!$AL:$AL,0)),""))</f>
        <v/>
      </c>
      <c r="H51" s="61" t="str">
        <f t="array" ref="H51">IF(A51="","",IFERROR(INDEX(Calc!$K:$K,MATCH(IF(A51="","",TEXT(A51,"YYYYMMDD")&amp;"|Reel"),Calc!$AL:$AL,0)),""))</f>
        <v/>
      </c>
      <c r="I51" s="61" t="str">
        <f t="array" ref="I51">IF(A51="","",IFERROR(INDEX(Calc!$L:$L,MATCH(IF(A51="","",TEXT(A51,"YYYYMMDD")&amp;"|Reel"),Calc!$AL:$AL,0)),""))</f>
        <v/>
      </c>
      <c r="J51" s="61" t="str">
        <f t="array" ref="J51">IF(A51="","",IFERROR(INDEX(Calc!$M:$M,MATCH(IF(A51="","",TEXT(A51,"YYYYMMDD")&amp;"|Reel"),Calc!$AL:$AL,0)),""))</f>
        <v/>
      </c>
      <c r="K51" s="61" t="str">
        <f t="array" ref="K51">IF(A51="","",IFERROR(INDEX(Calc!$N:$N,MATCH(IF(A51="","",TEXT(A51,"YYYYMMDD")&amp;"|Reel"),Calc!$AL:$AL,0)),""))</f>
        <v/>
      </c>
      <c r="L51" s="62" t="str">
        <f t="array" ref="L51">IF(A51="","",IFERROR(INDEX(Calc!$AH:$AH,MATCH(IF(A51="","",TEXT(A51,"YYYYMMDD")&amp;"|Reel"),Calc!$AL:$AL,0)),""))</f>
        <v/>
      </c>
    </row>
    <row r="52" ht="15.75" customHeight="1">
      <c r="A52" s="59" t="str">
        <f>IFERROR(AGGREGATE(14,6,(Calc!$B$2:$B$501)/((Calc!$AK$2:$AK$501=1)*(Calc!$G$2:$G$501="Reel")),41),"")</f>
        <v/>
      </c>
      <c r="B52" s="60" t="str">
        <f t="array" ref="B52">IF(A52="","",IFERROR(INDEX(Calc!$E:$E,MATCH(IF(A52="","",TEXT(A52,"YYYYMMDD")&amp;"|Reel"),Calc!$AL:$AL,0)),""))</f>
        <v/>
      </c>
      <c r="C52" s="60" t="str">
        <f t="array" ref="C52">IF(A52="","",IFERROR(INDEX(Calc!$D:$D,MATCH(IF(A52="","",TEXT(A52,"YYYYMMDD")&amp;"|Reel"),Calc!$AL:$AL,0)),""))</f>
        <v/>
      </c>
      <c r="D52" s="60" t="str">
        <f t="array" ref="D52">IF(A52="","",IFERROR(INDEX(Calc!$F:$F,MATCH(IF(A52="","",TEXT(A52,"YYYYMMDD")&amp;"|Reel"),Calc!$AL:$AL,0)),""))</f>
        <v/>
      </c>
      <c r="E52" s="60" t="str">
        <f t="array" ref="E52">IF(A52="","",IFERROR(INDEX(Calc!$H:$H,MATCH(IF(A52="","",TEXT(A52,"YYYYMMDD")&amp;"|Reel"),Calc!$AL:$AL,0)),""))</f>
        <v/>
      </c>
      <c r="F52" s="61" t="str">
        <f t="array" ref="F52">IF(A52="","",IFERROR(INDEX(Calc!$I:$I,MATCH(IF(A52="","",TEXT(A52,"YYYYMMDD")&amp;"|Reel"),Calc!$AL:$AL,0)),""))</f>
        <v/>
      </c>
      <c r="G52" s="61" t="str">
        <f t="array" ref="G52">IF(A52="","",IFERROR(INDEX(Calc!$J:$J,MATCH(IF(A52="","",TEXT(A52,"YYYYMMDD")&amp;"|Reel"),Calc!$AL:$AL,0)),""))</f>
        <v/>
      </c>
      <c r="H52" s="61" t="str">
        <f t="array" ref="H52">IF(A52="","",IFERROR(INDEX(Calc!$K:$K,MATCH(IF(A52="","",TEXT(A52,"YYYYMMDD")&amp;"|Reel"),Calc!$AL:$AL,0)),""))</f>
        <v/>
      </c>
      <c r="I52" s="61" t="str">
        <f t="array" ref="I52">IF(A52="","",IFERROR(INDEX(Calc!$L:$L,MATCH(IF(A52="","",TEXT(A52,"YYYYMMDD")&amp;"|Reel"),Calc!$AL:$AL,0)),""))</f>
        <v/>
      </c>
      <c r="J52" s="61" t="str">
        <f t="array" ref="J52">IF(A52="","",IFERROR(INDEX(Calc!$M:$M,MATCH(IF(A52="","",TEXT(A52,"YYYYMMDD")&amp;"|Reel"),Calc!$AL:$AL,0)),""))</f>
        <v/>
      </c>
      <c r="K52" s="61" t="str">
        <f t="array" ref="K52">IF(A52="","",IFERROR(INDEX(Calc!$N:$N,MATCH(IF(A52="","",TEXT(A52,"YYYYMMDD")&amp;"|Reel"),Calc!$AL:$AL,0)),""))</f>
        <v/>
      </c>
      <c r="L52" s="62" t="str">
        <f t="array" ref="L52">IF(A52="","",IFERROR(INDEX(Calc!$AH:$AH,MATCH(IF(A52="","",TEXT(A52,"YYYYMMDD")&amp;"|Reel"),Calc!$AL:$AL,0)),""))</f>
        <v/>
      </c>
    </row>
    <row r="53" ht="15.75" customHeight="1">
      <c r="A53" s="59" t="str">
        <f>IFERROR(AGGREGATE(14,6,(Calc!$B$2:$B$501)/((Calc!$AK$2:$AK$501=1)*(Calc!$G$2:$G$501="Reel")),42),"")</f>
        <v/>
      </c>
      <c r="B53" s="60" t="str">
        <f t="array" ref="B53">IF(A53="","",IFERROR(INDEX(Calc!$E:$E,MATCH(IF(A53="","",TEXT(A53,"YYYYMMDD")&amp;"|Reel"),Calc!$AL:$AL,0)),""))</f>
        <v/>
      </c>
      <c r="C53" s="60" t="str">
        <f t="array" ref="C53">IF(A53="","",IFERROR(INDEX(Calc!$D:$D,MATCH(IF(A53="","",TEXT(A53,"YYYYMMDD")&amp;"|Reel"),Calc!$AL:$AL,0)),""))</f>
        <v/>
      </c>
      <c r="D53" s="60" t="str">
        <f t="array" ref="D53">IF(A53="","",IFERROR(INDEX(Calc!$F:$F,MATCH(IF(A53="","",TEXT(A53,"YYYYMMDD")&amp;"|Reel"),Calc!$AL:$AL,0)),""))</f>
        <v/>
      </c>
      <c r="E53" s="60" t="str">
        <f t="array" ref="E53">IF(A53="","",IFERROR(INDEX(Calc!$H:$H,MATCH(IF(A53="","",TEXT(A53,"YYYYMMDD")&amp;"|Reel"),Calc!$AL:$AL,0)),""))</f>
        <v/>
      </c>
      <c r="F53" s="61" t="str">
        <f t="array" ref="F53">IF(A53="","",IFERROR(INDEX(Calc!$I:$I,MATCH(IF(A53="","",TEXT(A53,"YYYYMMDD")&amp;"|Reel"),Calc!$AL:$AL,0)),""))</f>
        <v/>
      </c>
      <c r="G53" s="61" t="str">
        <f t="array" ref="G53">IF(A53="","",IFERROR(INDEX(Calc!$J:$J,MATCH(IF(A53="","",TEXT(A53,"YYYYMMDD")&amp;"|Reel"),Calc!$AL:$AL,0)),""))</f>
        <v/>
      </c>
      <c r="H53" s="61" t="str">
        <f t="array" ref="H53">IF(A53="","",IFERROR(INDEX(Calc!$K:$K,MATCH(IF(A53="","",TEXT(A53,"YYYYMMDD")&amp;"|Reel"),Calc!$AL:$AL,0)),""))</f>
        <v/>
      </c>
      <c r="I53" s="61" t="str">
        <f t="array" ref="I53">IF(A53="","",IFERROR(INDEX(Calc!$L:$L,MATCH(IF(A53="","",TEXT(A53,"YYYYMMDD")&amp;"|Reel"),Calc!$AL:$AL,0)),""))</f>
        <v/>
      </c>
      <c r="J53" s="61" t="str">
        <f t="array" ref="J53">IF(A53="","",IFERROR(INDEX(Calc!$M:$M,MATCH(IF(A53="","",TEXT(A53,"YYYYMMDD")&amp;"|Reel"),Calc!$AL:$AL,0)),""))</f>
        <v/>
      </c>
      <c r="K53" s="61" t="str">
        <f t="array" ref="K53">IF(A53="","",IFERROR(INDEX(Calc!$N:$N,MATCH(IF(A53="","",TEXT(A53,"YYYYMMDD")&amp;"|Reel"),Calc!$AL:$AL,0)),""))</f>
        <v/>
      </c>
      <c r="L53" s="62" t="str">
        <f t="array" ref="L53">IF(A53="","",IFERROR(INDEX(Calc!$AH:$AH,MATCH(IF(A53="","",TEXT(A53,"YYYYMMDD")&amp;"|Reel"),Calc!$AL:$AL,0)),""))</f>
        <v/>
      </c>
    </row>
    <row r="54" ht="15.75" customHeight="1">
      <c r="A54" s="59" t="str">
        <f>IFERROR(AGGREGATE(14,6,(Calc!$B$2:$B$501)/((Calc!$AK$2:$AK$501=1)*(Calc!$G$2:$G$501="Reel")),43),"")</f>
        <v/>
      </c>
      <c r="B54" s="60" t="str">
        <f t="array" ref="B54">IF(A54="","",IFERROR(INDEX(Calc!$E:$E,MATCH(IF(A54="","",TEXT(A54,"YYYYMMDD")&amp;"|Reel"),Calc!$AL:$AL,0)),""))</f>
        <v/>
      </c>
      <c r="C54" s="60" t="str">
        <f t="array" ref="C54">IF(A54="","",IFERROR(INDEX(Calc!$D:$D,MATCH(IF(A54="","",TEXT(A54,"YYYYMMDD")&amp;"|Reel"),Calc!$AL:$AL,0)),""))</f>
        <v/>
      </c>
      <c r="D54" s="60" t="str">
        <f t="array" ref="D54">IF(A54="","",IFERROR(INDEX(Calc!$F:$F,MATCH(IF(A54="","",TEXT(A54,"YYYYMMDD")&amp;"|Reel"),Calc!$AL:$AL,0)),""))</f>
        <v/>
      </c>
      <c r="E54" s="60" t="str">
        <f t="array" ref="E54">IF(A54="","",IFERROR(INDEX(Calc!$H:$H,MATCH(IF(A54="","",TEXT(A54,"YYYYMMDD")&amp;"|Reel"),Calc!$AL:$AL,0)),""))</f>
        <v/>
      </c>
      <c r="F54" s="61" t="str">
        <f t="array" ref="F54">IF(A54="","",IFERROR(INDEX(Calc!$I:$I,MATCH(IF(A54="","",TEXT(A54,"YYYYMMDD")&amp;"|Reel"),Calc!$AL:$AL,0)),""))</f>
        <v/>
      </c>
      <c r="G54" s="61" t="str">
        <f t="array" ref="G54">IF(A54="","",IFERROR(INDEX(Calc!$J:$J,MATCH(IF(A54="","",TEXT(A54,"YYYYMMDD")&amp;"|Reel"),Calc!$AL:$AL,0)),""))</f>
        <v/>
      </c>
      <c r="H54" s="61" t="str">
        <f t="array" ref="H54">IF(A54="","",IFERROR(INDEX(Calc!$K:$K,MATCH(IF(A54="","",TEXT(A54,"YYYYMMDD")&amp;"|Reel"),Calc!$AL:$AL,0)),""))</f>
        <v/>
      </c>
      <c r="I54" s="61" t="str">
        <f t="array" ref="I54">IF(A54="","",IFERROR(INDEX(Calc!$L:$L,MATCH(IF(A54="","",TEXT(A54,"YYYYMMDD")&amp;"|Reel"),Calc!$AL:$AL,0)),""))</f>
        <v/>
      </c>
      <c r="J54" s="61" t="str">
        <f t="array" ref="J54">IF(A54="","",IFERROR(INDEX(Calc!$M:$M,MATCH(IF(A54="","",TEXT(A54,"YYYYMMDD")&amp;"|Reel"),Calc!$AL:$AL,0)),""))</f>
        <v/>
      </c>
      <c r="K54" s="61" t="str">
        <f t="array" ref="K54">IF(A54="","",IFERROR(INDEX(Calc!$N:$N,MATCH(IF(A54="","",TEXT(A54,"YYYYMMDD")&amp;"|Reel"),Calc!$AL:$AL,0)),""))</f>
        <v/>
      </c>
      <c r="L54" s="62" t="str">
        <f t="array" ref="L54">IF(A54="","",IFERROR(INDEX(Calc!$AH:$AH,MATCH(IF(A54="","",TEXT(A54,"YYYYMMDD")&amp;"|Reel"),Calc!$AL:$AL,0)),""))</f>
        <v/>
      </c>
    </row>
    <row r="55" ht="15.75" customHeight="1">
      <c r="A55" s="59" t="str">
        <f>IFERROR(AGGREGATE(14,6,(Calc!$B$2:$B$501)/((Calc!$AK$2:$AK$501=1)*(Calc!$G$2:$G$501="Reel")),44),"")</f>
        <v/>
      </c>
      <c r="B55" s="60" t="str">
        <f t="array" ref="B55">IF(A55="","",IFERROR(INDEX(Calc!$E:$E,MATCH(IF(A55="","",TEXT(A55,"YYYYMMDD")&amp;"|Reel"),Calc!$AL:$AL,0)),""))</f>
        <v/>
      </c>
      <c r="C55" s="60" t="str">
        <f t="array" ref="C55">IF(A55="","",IFERROR(INDEX(Calc!$D:$D,MATCH(IF(A55="","",TEXT(A55,"YYYYMMDD")&amp;"|Reel"),Calc!$AL:$AL,0)),""))</f>
        <v/>
      </c>
      <c r="D55" s="60" t="str">
        <f t="array" ref="D55">IF(A55="","",IFERROR(INDEX(Calc!$F:$F,MATCH(IF(A55="","",TEXT(A55,"YYYYMMDD")&amp;"|Reel"),Calc!$AL:$AL,0)),""))</f>
        <v/>
      </c>
      <c r="E55" s="60" t="str">
        <f t="array" ref="E55">IF(A55="","",IFERROR(INDEX(Calc!$H:$H,MATCH(IF(A55="","",TEXT(A55,"YYYYMMDD")&amp;"|Reel"),Calc!$AL:$AL,0)),""))</f>
        <v/>
      </c>
      <c r="F55" s="61" t="str">
        <f t="array" ref="F55">IF(A55="","",IFERROR(INDEX(Calc!$I:$I,MATCH(IF(A55="","",TEXT(A55,"YYYYMMDD")&amp;"|Reel"),Calc!$AL:$AL,0)),""))</f>
        <v/>
      </c>
      <c r="G55" s="61" t="str">
        <f t="array" ref="G55">IF(A55="","",IFERROR(INDEX(Calc!$J:$J,MATCH(IF(A55="","",TEXT(A55,"YYYYMMDD")&amp;"|Reel"),Calc!$AL:$AL,0)),""))</f>
        <v/>
      </c>
      <c r="H55" s="61" t="str">
        <f t="array" ref="H55">IF(A55="","",IFERROR(INDEX(Calc!$K:$K,MATCH(IF(A55="","",TEXT(A55,"YYYYMMDD")&amp;"|Reel"),Calc!$AL:$AL,0)),""))</f>
        <v/>
      </c>
      <c r="I55" s="61" t="str">
        <f t="array" ref="I55">IF(A55="","",IFERROR(INDEX(Calc!$L:$L,MATCH(IF(A55="","",TEXT(A55,"YYYYMMDD")&amp;"|Reel"),Calc!$AL:$AL,0)),""))</f>
        <v/>
      </c>
      <c r="J55" s="61" t="str">
        <f t="array" ref="J55">IF(A55="","",IFERROR(INDEX(Calc!$M:$M,MATCH(IF(A55="","",TEXT(A55,"YYYYMMDD")&amp;"|Reel"),Calc!$AL:$AL,0)),""))</f>
        <v/>
      </c>
      <c r="K55" s="61" t="str">
        <f t="array" ref="K55">IF(A55="","",IFERROR(INDEX(Calc!$N:$N,MATCH(IF(A55="","",TEXT(A55,"YYYYMMDD")&amp;"|Reel"),Calc!$AL:$AL,0)),""))</f>
        <v/>
      </c>
      <c r="L55" s="62" t="str">
        <f t="array" ref="L55">IF(A55="","",IFERROR(INDEX(Calc!$AH:$AH,MATCH(IF(A55="","",TEXT(A55,"YYYYMMDD")&amp;"|Reel"),Calc!$AL:$AL,0)),""))</f>
        <v/>
      </c>
    </row>
    <row r="56" ht="15.75" customHeight="1">
      <c r="A56" s="59" t="str">
        <f>IFERROR(AGGREGATE(14,6,(Calc!$B$2:$B$501)/((Calc!$AK$2:$AK$501=1)*(Calc!$G$2:$G$501="Reel")),45),"")</f>
        <v/>
      </c>
      <c r="B56" s="60" t="str">
        <f t="array" ref="B56">IF(A56="","",IFERROR(INDEX(Calc!$E:$E,MATCH(IF(A56="","",TEXT(A56,"YYYYMMDD")&amp;"|Reel"),Calc!$AL:$AL,0)),""))</f>
        <v/>
      </c>
      <c r="C56" s="60" t="str">
        <f t="array" ref="C56">IF(A56="","",IFERROR(INDEX(Calc!$D:$D,MATCH(IF(A56="","",TEXT(A56,"YYYYMMDD")&amp;"|Reel"),Calc!$AL:$AL,0)),""))</f>
        <v/>
      </c>
      <c r="D56" s="60" t="str">
        <f t="array" ref="D56">IF(A56="","",IFERROR(INDEX(Calc!$F:$F,MATCH(IF(A56="","",TEXT(A56,"YYYYMMDD")&amp;"|Reel"),Calc!$AL:$AL,0)),""))</f>
        <v/>
      </c>
      <c r="E56" s="60" t="str">
        <f t="array" ref="E56">IF(A56="","",IFERROR(INDEX(Calc!$H:$H,MATCH(IF(A56="","",TEXT(A56,"YYYYMMDD")&amp;"|Reel"),Calc!$AL:$AL,0)),""))</f>
        <v/>
      </c>
      <c r="F56" s="61" t="str">
        <f t="array" ref="F56">IF(A56="","",IFERROR(INDEX(Calc!$I:$I,MATCH(IF(A56="","",TEXT(A56,"YYYYMMDD")&amp;"|Reel"),Calc!$AL:$AL,0)),""))</f>
        <v/>
      </c>
      <c r="G56" s="61" t="str">
        <f t="array" ref="G56">IF(A56="","",IFERROR(INDEX(Calc!$J:$J,MATCH(IF(A56="","",TEXT(A56,"YYYYMMDD")&amp;"|Reel"),Calc!$AL:$AL,0)),""))</f>
        <v/>
      </c>
      <c r="H56" s="61" t="str">
        <f t="array" ref="H56">IF(A56="","",IFERROR(INDEX(Calc!$K:$K,MATCH(IF(A56="","",TEXT(A56,"YYYYMMDD")&amp;"|Reel"),Calc!$AL:$AL,0)),""))</f>
        <v/>
      </c>
      <c r="I56" s="61" t="str">
        <f t="array" ref="I56">IF(A56="","",IFERROR(INDEX(Calc!$L:$L,MATCH(IF(A56="","",TEXT(A56,"YYYYMMDD")&amp;"|Reel"),Calc!$AL:$AL,0)),""))</f>
        <v/>
      </c>
      <c r="J56" s="61" t="str">
        <f t="array" ref="J56">IF(A56="","",IFERROR(INDEX(Calc!$M:$M,MATCH(IF(A56="","",TEXT(A56,"YYYYMMDD")&amp;"|Reel"),Calc!$AL:$AL,0)),""))</f>
        <v/>
      </c>
      <c r="K56" s="61" t="str">
        <f t="array" ref="K56">IF(A56="","",IFERROR(INDEX(Calc!$N:$N,MATCH(IF(A56="","",TEXT(A56,"YYYYMMDD")&amp;"|Reel"),Calc!$AL:$AL,0)),""))</f>
        <v/>
      </c>
      <c r="L56" s="62" t="str">
        <f t="array" ref="L56">IF(A56="","",IFERROR(INDEX(Calc!$AH:$AH,MATCH(IF(A56="","",TEXT(A56,"YYYYMMDD")&amp;"|Reel"),Calc!$AL:$AL,0)),""))</f>
        <v/>
      </c>
    </row>
    <row r="57" ht="15.75" customHeight="1">
      <c r="A57" s="59" t="str">
        <f>IFERROR(AGGREGATE(14,6,(Calc!$B$2:$B$501)/((Calc!$AK$2:$AK$501=1)*(Calc!$G$2:$G$501="Reel")),46),"")</f>
        <v/>
      </c>
      <c r="B57" s="60" t="str">
        <f t="array" ref="B57">IF(A57="","",IFERROR(INDEX(Calc!$E:$E,MATCH(IF(A57="","",TEXT(A57,"YYYYMMDD")&amp;"|Reel"),Calc!$AL:$AL,0)),""))</f>
        <v/>
      </c>
      <c r="C57" s="60" t="str">
        <f t="array" ref="C57">IF(A57="","",IFERROR(INDEX(Calc!$D:$D,MATCH(IF(A57="","",TEXT(A57,"YYYYMMDD")&amp;"|Reel"),Calc!$AL:$AL,0)),""))</f>
        <v/>
      </c>
      <c r="D57" s="60" t="str">
        <f t="array" ref="D57">IF(A57="","",IFERROR(INDEX(Calc!$F:$F,MATCH(IF(A57="","",TEXT(A57,"YYYYMMDD")&amp;"|Reel"),Calc!$AL:$AL,0)),""))</f>
        <v/>
      </c>
      <c r="E57" s="60" t="str">
        <f t="array" ref="E57">IF(A57="","",IFERROR(INDEX(Calc!$H:$H,MATCH(IF(A57="","",TEXT(A57,"YYYYMMDD")&amp;"|Reel"),Calc!$AL:$AL,0)),""))</f>
        <v/>
      </c>
      <c r="F57" s="61" t="str">
        <f t="array" ref="F57">IF(A57="","",IFERROR(INDEX(Calc!$I:$I,MATCH(IF(A57="","",TEXT(A57,"YYYYMMDD")&amp;"|Reel"),Calc!$AL:$AL,0)),""))</f>
        <v/>
      </c>
      <c r="G57" s="61" t="str">
        <f t="array" ref="G57">IF(A57="","",IFERROR(INDEX(Calc!$J:$J,MATCH(IF(A57="","",TEXT(A57,"YYYYMMDD")&amp;"|Reel"),Calc!$AL:$AL,0)),""))</f>
        <v/>
      </c>
      <c r="H57" s="61" t="str">
        <f t="array" ref="H57">IF(A57="","",IFERROR(INDEX(Calc!$K:$K,MATCH(IF(A57="","",TEXT(A57,"YYYYMMDD")&amp;"|Reel"),Calc!$AL:$AL,0)),""))</f>
        <v/>
      </c>
      <c r="I57" s="61" t="str">
        <f t="array" ref="I57">IF(A57="","",IFERROR(INDEX(Calc!$L:$L,MATCH(IF(A57="","",TEXT(A57,"YYYYMMDD")&amp;"|Reel"),Calc!$AL:$AL,0)),""))</f>
        <v/>
      </c>
      <c r="J57" s="61" t="str">
        <f t="array" ref="J57">IF(A57="","",IFERROR(INDEX(Calc!$M:$M,MATCH(IF(A57="","",TEXT(A57,"YYYYMMDD")&amp;"|Reel"),Calc!$AL:$AL,0)),""))</f>
        <v/>
      </c>
      <c r="K57" s="61" t="str">
        <f t="array" ref="K57">IF(A57="","",IFERROR(INDEX(Calc!$N:$N,MATCH(IF(A57="","",TEXT(A57,"YYYYMMDD")&amp;"|Reel"),Calc!$AL:$AL,0)),""))</f>
        <v/>
      </c>
      <c r="L57" s="62" t="str">
        <f t="array" ref="L57">IF(A57="","",IFERROR(INDEX(Calc!$AH:$AH,MATCH(IF(A57="","",TEXT(A57,"YYYYMMDD")&amp;"|Reel"),Calc!$AL:$AL,0)),""))</f>
        <v/>
      </c>
    </row>
    <row r="58" ht="15.75" customHeight="1">
      <c r="A58" s="59" t="str">
        <f>IFERROR(AGGREGATE(14,6,(Calc!$B$2:$B$501)/((Calc!$AK$2:$AK$501=1)*(Calc!$G$2:$G$501="Reel")),47),"")</f>
        <v/>
      </c>
      <c r="B58" s="60" t="str">
        <f t="array" ref="B58">IF(A58="","",IFERROR(INDEX(Calc!$E:$E,MATCH(IF(A58="","",TEXT(A58,"YYYYMMDD")&amp;"|Reel"),Calc!$AL:$AL,0)),""))</f>
        <v/>
      </c>
      <c r="C58" s="60" t="str">
        <f t="array" ref="C58">IF(A58="","",IFERROR(INDEX(Calc!$D:$D,MATCH(IF(A58="","",TEXT(A58,"YYYYMMDD")&amp;"|Reel"),Calc!$AL:$AL,0)),""))</f>
        <v/>
      </c>
      <c r="D58" s="60" t="str">
        <f t="array" ref="D58">IF(A58="","",IFERROR(INDEX(Calc!$F:$F,MATCH(IF(A58="","",TEXT(A58,"YYYYMMDD")&amp;"|Reel"),Calc!$AL:$AL,0)),""))</f>
        <v/>
      </c>
      <c r="E58" s="60" t="str">
        <f t="array" ref="E58">IF(A58="","",IFERROR(INDEX(Calc!$H:$H,MATCH(IF(A58="","",TEXT(A58,"YYYYMMDD")&amp;"|Reel"),Calc!$AL:$AL,0)),""))</f>
        <v/>
      </c>
      <c r="F58" s="61" t="str">
        <f t="array" ref="F58">IF(A58="","",IFERROR(INDEX(Calc!$I:$I,MATCH(IF(A58="","",TEXT(A58,"YYYYMMDD")&amp;"|Reel"),Calc!$AL:$AL,0)),""))</f>
        <v/>
      </c>
      <c r="G58" s="61" t="str">
        <f t="array" ref="G58">IF(A58="","",IFERROR(INDEX(Calc!$J:$J,MATCH(IF(A58="","",TEXT(A58,"YYYYMMDD")&amp;"|Reel"),Calc!$AL:$AL,0)),""))</f>
        <v/>
      </c>
      <c r="H58" s="61" t="str">
        <f t="array" ref="H58">IF(A58="","",IFERROR(INDEX(Calc!$K:$K,MATCH(IF(A58="","",TEXT(A58,"YYYYMMDD")&amp;"|Reel"),Calc!$AL:$AL,0)),""))</f>
        <v/>
      </c>
      <c r="I58" s="61" t="str">
        <f t="array" ref="I58">IF(A58="","",IFERROR(INDEX(Calc!$L:$L,MATCH(IF(A58="","",TEXT(A58,"YYYYMMDD")&amp;"|Reel"),Calc!$AL:$AL,0)),""))</f>
        <v/>
      </c>
      <c r="J58" s="61" t="str">
        <f t="array" ref="J58">IF(A58="","",IFERROR(INDEX(Calc!$M:$M,MATCH(IF(A58="","",TEXT(A58,"YYYYMMDD")&amp;"|Reel"),Calc!$AL:$AL,0)),""))</f>
        <v/>
      </c>
      <c r="K58" s="61" t="str">
        <f t="array" ref="K58">IF(A58="","",IFERROR(INDEX(Calc!$N:$N,MATCH(IF(A58="","",TEXT(A58,"YYYYMMDD")&amp;"|Reel"),Calc!$AL:$AL,0)),""))</f>
        <v/>
      </c>
      <c r="L58" s="62" t="str">
        <f t="array" ref="L58">IF(A58="","",IFERROR(INDEX(Calc!$AH:$AH,MATCH(IF(A58="","",TEXT(A58,"YYYYMMDD")&amp;"|Reel"),Calc!$AL:$AL,0)),""))</f>
        <v/>
      </c>
    </row>
    <row r="59" ht="15.75" customHeight="1">
      <c r="A59" s="59" t="str">
        <f>IFERROR(AGGREGATE(14,6,(Calc!$B$2:$B$501)/((Calc!$AK$2:$AK$501=1)*(Calc!$G$2:$G$501="Reel")),48),"")</f>
        <v/>
      </c>
      <c r="B59" s="60" t="str">
        <f t="array" ref="B59">IF(A59="","",IFERROR(INDEX(Calc!$E:$E,MATCH(IF(A59="","",TEXT(A59,"YYYYMMDD")&amp;"|Reel"),Calc!$AL:$AL,0)),""))</f>
        <v/>
      </c>
      <c r="C59" s="60" t="str">
        <f t="array" ref="C59">IF(A59="","",IFERROR(INDEX(Calc!$D:$D,MATCH(IF(A59="","",TEXT(A59,"YYYYMMDD")&amp;"|Reel"),Calc!$AL:$AL,0)),""))</f>
        <v/>
      </c>
      <c r="D59" s="60" t="str">
        <f t="array" ref="D59">IF(A59="","",IFERROR(INDEX(Calc!$F:$F,MATCH(IF(A59="","",TEXT(A59,"YYYYMMDD")&amp;"|Reel"),Calc!$AL:$AL,0)),""))</f>
        <v/>
      </c>
      <c r="E59" s="60" t="str">
        <f t="array" ref="E59">IF(A59="","",IFERROR(INDEX(Calc!$H:$H,MATCH(IF(A59="","",TEXT(A59,"YYYYMMDD")&amp;"|Reel"),Calc!$AL:$AL,0)),""))</f>
        <v/>
      </c>
      <c r="F59" s="61" t="str">
        <f t="array" ref="F59">IF(A59="","",IFERROR(INDEX(Calc!$I:$I,MATCH(IF(A59="","",TEXT(A59,"YYYYMMDD")&amp;"|Reel"),Calc!$AL:$AL,0)),""))</f>
        <v/>
      </c>
      <c r="G59" s="61" t="str">
        <f t="array" ref="G59">IF(A59="","",IFERROR(INDEX(Calc!$J:$J,MATCH(IF(A59="","",TEXT(A59,"YYYYMMDD")&amp;"|Reel"),Calc!$AL:$AL,0)),""))</f>
        <v/>
      </c>
      <c r="H59" s="61" t="str">
        <f t="array" ref="H59">IF(A59="","",IFERROR(INDEX(Calc!$K:$K,MATCH(IF(A59="","",TEXT(A59,"YYYYMMDD")&amp;"|Reel"),Calc!$AL:$AL,0)),""))</f>
        <v/>
      </c>
      <c r="I59" s="61" t="str">
        <f t="array" ref="I59">IF(A59="","",IFERROR(INDEX(Calc!$L:$L,MATCH(IF(A59="","",TEXT(A59,"YYYYMMDD")&amp;"|Reel"),Calc!$AL:$AL,0)),""))</f>
        <v/>
      </c>
      <c r="J59" s="61" t="str">
        <f t="array" ref="J59">IF(A59="","",IFERROR(INDEX(Calc!$M:$M,MATCH(IF(A59="","",TEXT(A59,"YYYYMMDD")&amp;"|Reel"),Calc!$AL:$AL,0)),""))</f>
        <v/>
      </c>
      <c r="K59" s="61" t="str">
        <f t="array" ref="K59">IF(A59="","",IFERROR(INDEX(Calc!$N:$N,MATCH(IF(A59="","",TEXT(A59,"YYYYMMDD")&amp;"|Reel"),Calc!$AL:$AL,0)),""))</f>
        <v/>
      </c>
      <c r="L59" s="62" t="str">
        <f t="array" ref="L59">IF(A59="","",IFERROR(INDEX(Calc!$AH:$AH,MATCH(IF(A59="","",TEXT(A59,"YYYYMMDD")&amp;"|Reel"),Calc!$AL:$AL,0)),""))</f>
        <v/>
      </c>
    </row>
    <row r="60" ht="15.75" customHeight="1">
      <c r="A60" s="59" t="str">
        <f>IFERROR(AGGREGATE(14,6,(Calc!$B$2:$B$501)/((Calc!$AK$2:$AK$501=1)*(Calc!$G$2:$G$501="Reel")),49),"")</f>
        <v/>
      </c>
      <c r="B60" s="60" t="str">
        <f t="array" ref="B60">IF(A60="","",IFERROR(INDEX(Calc!$E:$E,MATCH(IF(A60="","",TEXT(A60,"YYYYMMDD")&amp;"|Reel"),Calc!$AL:$AL,0)),""))</f>
        <v/>
      </c>
      <c r="C60" s="60" t="str">
        <f t="array" ref="C60">IF(A60="","",IFERROR(INDEX(Calc!$D:$D,MATCH(IF(A60="","",TEXT(A60,"YYYYMMDD")&amp;"|Reel"),Calc!$AL:$AL,0)),""))</f>
        <v/>
      </c>
      <c r="D60" s="60" t="str">
        <f t="array" ref="D60">IF(A60="","",IFERROR(INDEX(Calc!$F:$F,MATCH(IF(A60="","",TEXT(A60,"YYYYMMDD")&amp;"|Reel"),Calc!$AL:$AL,0)),""))</f>
        <v/>
      </c>
      <c r="E60" s="60" t="str">
        <f t="array" ref="E60">IF(A60="","",IFERROR(INDEX(Calc!$H:$H,MATCH(IF(A60="","",TEXT(A60,"YYYYMMDD")&amp;"|Reel"),Calc!$AL:$AL,0)),""))</f>
        <v/>
      </c>
      <c r="F60" s="61" t="str">
        <f t="array" ref="F60">IF(A60="","",IFERROR(INDEX(Calc!$I:$I,MATCH(IF(A60="","",TEXT(A60,"YYYYMMDD")&amp;"|Reel"),Calc!$AL:$AL,0)),""))</f>
        <v/>
      </c>
      <c r="G60" s="61" t="str">
        <f t="array" ref="G60">IF(A60="","",IFERROR(INDEX(Calc!$J:$J,MATCH(IF(A60="","",TEXT(A60,"YYYYMMDD")&amp;"|Reel"),Calc!$AL:$AL,0)),""))</f>
        <v/>
      </c>
      <c r="H60" s="61" t="str">
        <f t="array" ref="H60">IF(A60="","",IFERROR(INDEX(Calc!$K:$K,MATCH(IF(A60="","",TEXT(A60,"YYYYMMDD")&amp;"|Reel"),Calc!$AL:$AL,0)),""))</f>
        <v/>
      </c>
      <c r="I60" s="61" t="str">
        <f t="array" ref="I60">IF(A60="","",IFERROR(INDEX(Calc!$L:$L,MATCH(IF(A60="","",TEXT(A60,"YYYYMMDD")&amp;"|Reel"),Calc!$AL:$AL,0)),""))</f>
        <v/>
      </c>
      <c r="J60" s="61" t="str">
        <f t="array" ref="J60">IF(A60="","",IFERROR(INDEX(Calc!$M:$M,MATCH(IF(A60="","",TEXT(A60,"YYYYMMDD")&amp;"|Reel"),Calc!$AL:$AL,0)),""))</f>
        <v/>
      </c>
      <c r="K60" s="61" t="str">
        <f t="array" ref="K60">IF(A60="","",IFERROR(INDEX(Calc!$N:$N,MATCH(IF(A60="","",TEXT(A60,"YYYYMMDD")&amp;"|Reel"),Calc!$AL:$AL,0)),""))</f>
        <v/>
      </c>
      <c r="L60" s="62" t="str">
        <f t="array" ref="L60">IF(A60="","",IFERROR(INDEX(Calc!$AH:$AH,MATCH(IF(A60="","",TEXT(A60,"YYYYMMDD")&amp;"|Reel"),Calc!$AL:$AL,0)),""))</f>
        <v/>
      </c>
    </row>
    <row r="61" ht="15.75" customHeight="1">
      <c r="A61" s="59" t="str">
        <f>IFERROR(AGGREGATE(14,6,(Calc!$B$2:$B$501)/((Calc!$AK$2:$AK$501=1)*(Calc!$G$2:$G$501="Reel")),50),"")</f>
        <v/>
      </c>
      <c r="B61" s="60" t="str">
        <f t="array" ref="B61">IF(A61="","",IFERROR(INDEX(Calc!$E:$E,MATCH(IF(A61="","",TEXT(A61,"YYYYMMDD")&amp;"|Reel"),Calc!$AL:$AL,0)),""))</f>
        <v/>
      </c>
      <c r="C61" s="60" t="str">
        <f t="array" ref="C61">IF(A61="","",IFERROR(INDEX(Calc!$D:$D,MATCH(IF(A61="","",TEXT(A61,"YYYYMMDD")&amp;"|Reel"),Calc!$AL:$AL,0)),""))</f>
        <v/>
      </c>
      <c r="D61" s="60" t="str">
        <f t="array" ref="D61">IF(A61="","",IFERROR(INDEX(Calc!$F:$F,MATCH(IF(A61="","",TEXT(A61,"YYYYMMDD")&amp;"|Reel"),Calc!$AL:$AL,0)),""))</f>
        <v/>
      </c>
      <c r="E61" s="60" t="str">
        <f t="array" ref="E61">IF(A61="","",IFERROR(INDEX(Calc!$H:$H,MATCH(IF(A61="","",TEXT(A61,"YYYYMMDD")&amp;"|Reel"),Calc!$AL:$AL,0)),""))</f>
        <v/>
      </c>
      <c r="F61" s="61" t="str">
        <f t="array" ref="F61">IF(A61="","",IFERROR(INDEX(Calc!$I:$I,MATCH(IF(A61="","",TEXT(A61,"YYYYMMDD")&amp;"|Reel"),Calc!$AL:$AL,0)),""))</f>
        <v/>
      </c>
      <c r="G61" s="61" t="str">
        <f t="array" ref="G61">IF(A61="","",IFERROR(INDEX(Calc!$J:$J,MATCH(IF(A61="","",TEXT(A61,"YYYYMMDD")&amp;"|Reel"),Calc!$AL:$AL,0)),""))</f>
        <v/>
      </c>
      <c r="H61" s="61" t="str">
        <f t="array" ref="H61">IF(A61="","",IFERROR(INDEX(Calc!$K:$K,MATCH(IF(A61="","",TEXT(A61,"YYYYMMDD")&amp;"|Reel"),Calc!$AL:$AL,0)),""))</f>
        <v/>
      </c>
      <c r="I61" s="61" t="str">
        <f t="array" ref="I61">IF(A61="","",IFERROR(INDEX(Calc!$L:$L,MATCH(IF(A61="","",TEXT(A61,"YYYYMMDD")&amp;"|Reel"),Calc!$AL:$AL,0)),""))</f>
        <v/>
      </c>
      <c r="J61" s="61" t="str">
        <f t="array" ref="J61">IF(A61="","",IFERROR(INDEX(Calc!$M:$M,MATCH(IF(A61="","",TEXT(A61,"YYYYMMDD")&amp;"|Reel"),Calc!$AL:$AL,0)),""))</f>
        <v/>
      </c>
      <c r="K61" s="61" t="str">
        <f t="array" ref="K61">IF(A61="","",IFERROR(INDEX(Calc!$N:$N,MATCH(IF(A61="","",TEXT(A61,"YYYYMMDD")&amp;"|Reel"),Calc!$AL:$AL,0)),""))</f>
        <v/>
      </c>
      <c r="L61" s="62" t="str">
        <f t="array" ref="L61">IF(A61="","",IFERROR(INDEX(Calc!$AH:$AH,MATCH(IF(A61="","",TEXT(A61,"YYYYMMDD")&amp;"|Reel"),Calc!$AL:$AL,0)),""))</f>
        <v/>
      </c>
    </row>
    <row r="62" ht="15.75" customHeight="1">
      <c r="A62" s="59" t="str">
        <f>IFERROR(AGGREGATE(14,6,(Calc!$B$2:$B$501)/((Calc!$AK$2:$AK$501=1)*(Calc!$G$2:$G$501="Reel")),51),"")</f>
        <v/>
      </c>
      <c r="B62" s="60" t="str">
        <f t="array" ref="B62">IF(A62="","",IFERROR(INDEX(Calc!$E:$E,MATCH(IF(A62="","",TEXT(A62,"YYYYMMDD")&amp;"|Reel"),Calc!$AL:$AL,0)),""))</f>
        <v/>
      </c>
      <c r="C62" s="60" t="str">
        <f t="array" ref="C62">IF(A62="","",IFERROR(INDEX(Calc!$D:$D,MATCH(IF(A62="","",TEXT(A62,"YYYYMMDD")&amp;"|Reel"),Calc!$AL:$AL,0)),""))</f>
        <v/>
      </c>
      <c r="D62" s="60" t="str">
        <f t="array" ref="D62">IF(A62="","",IFERROR(INDEX(Calc!$F:$F,MATCH(IF(A62="","",TEXT(A62,"YYYYMMDD")&amp;"|Reel"),Calc!$AL:$AL,0)),""))</f>
        <v/>
      </c>
      <c r="E62" s="60" t="str">
        <f t="array" ref="E62">IF(A62="","",IFERROR(INDEX(Calc!$H:$H,MATCH(IF(A62="","",TEXT(A62,"YYYYMMDD")&amp;"|Reel"),Calc!$AL:$AL,0)),""))</f>
        <v/>
      </c>
      <c r="F62" s="61" t="str">
        <f t="array" ref="F62">IF(A62="","",IFERROR(INDEX(Calc!$I:$I,MATCH(IF(A62="","",TEXT(A62,"YYYYMMDD")&amp;"|Reel"),Calc!$AL:$AL,0)),""))</f>
        <v/>
      </c>
      <c r="G62" s="61" t="str">
        <f t="array" ref="G62">IF(A62="","",IFERROR(INDEX(Calc!$J:$J,MATCH(IF(A62="","",TEXT(A62,"YYYYMMDD")&amp;"|Reel"),Calc!$AL:$AL,0)),""))</f>
        <v/>
      </c>
      <c r="H62" s="61" t="str">
        <f t="array" ref="H62">IF(A62="","",IFERROR(INDEX(Calc!$K:$K,MATCH(IF(A62="","",TEXT(A62,"YYYYMMDD")&amp;"|Reel"),Calc!$AL:$AL,0)),""))</f>
        <v/>
      </c>
      <c r="I62" s="61" t="str">
        <f t="array" ref="I62">IF(A62="","",IFERROR(INDEX(Calc!$L:$L,MATCH(IF(A62="","",TEXT(A62,"YYYYMMDD")&amp;"|Reel"),Calc!$AL:$AL,0)),""))</f>
        <v/>
      </c>
      <c r="J62" s="61" t="str">
        <f t="array" ref="J62">IF(A62="","",IFERROR(INDEX(Calc!$M:$M,MATCH(IF(A62="","",TEXT(A62,"YYYYMMDD")&amp;"|Reel"),Calc!$AL:$AL,0)),""))</f>
        <v/>
      </c>
      <c r="K62" s="61" t="str">
        <f t="array" ref="K62">IF(A62="","",IFERROR(INDEX(Calc!$N:$N,MATCH(IF(A62="","",TEXT(A62,"YYYYMMDD")&amp;"|Reel"),Calc!$AL:$AL,0)),""))</f>
        <v/>
      </c>
      <c r="L62" s="62" t="str">
        <f t="array" ref="L62">IF(A62="","",IFERROR(INDEX(Calc!$AH:$AH,MATCH(IF(A62="","",TEXT(A62,"YYYYMMDD")&amp;"|Reel"),Calc!$AL:$AL,0)),""))</f>
        <v/>
      </c>
    </row>
    <row r="63" ht="15.75" customHeight="1">
      <c r="A63" s="59" t="str">
        <f>IFERROR(AGGREGATE(14,6,(Calc!$B$2:$B$501)/((Calc!$AK$2:$AK$501=1)*(Calc!$G$2:$G$501="Reel")),52),"")</f>
        <v/>
      </c>
      <c r="B63" s="60" t="str">
        <f t="array" ref="B63">IF(A63="","",IFERROR(INDEX(Calc!$E:$E,MATCH(IF(A63="","",TEXT(A63,"YYYYMMDD")&amp;"|Reel"),Calc!$AL:$AL,0)),""))</f>
        <v/>
      </c>
      <c r="C63" s="60" t="str">
        <f t="array" ref="C63">IF(A63="","",IFERROR(INDEX(Calc!$D:$D,MATCH(IF(A63="","",TEXT(A63,"YYYYMMDD")&amp;"|Reel"),Calc!$AL:$AL,0)),""))</f>
        <v/>
      </c>
      <c r="D63" s="60" t="str">
        <f t="array" ref="D63">IF(A63="","",IFERROR(INDEX(Calc!$F:$F,MATCH(IF(A63="","",TEXT(A63,"YYYYMMDD")&amp;"|Reel"),Calc!$AL:$AL,0)),""))</f>
        <v/>
      </c>
      <c r="E63" s="60" t="str">
        <f t="array" ref="E63">IF(A63="","",IFERROR(INDEX(Calc!$H:$H,MATCH(IF(A63="","",TEXT(A63,"YYYYMMDD")&amp;"|Reel"),Calc!$AL:$AL,0)),""))</f>
        <v/>
      </c>
      <c r="F63" s="61" t="str">
        <f t="array" ref="F63">IF(A63="","",IFERROR(INDEX(Calc!$I:$I,MATCH(IF(A63="","",TEXT(A63,"YYYYMMDD")&amp;"|Reel"),Calc!$AL:$AL,0)),""))</f>
        <v/>
      </c>
      <c r="G63" s="61" t="str">
        <f t="array" ref="G63">IF(A63="","",IFERROR(INDEX(Calc!$J:$J,MATCH(IF(A63="","",TEXT(A63,"YYYYMMDD")&amp;"|Reel"),Calc!$AL:$AL,0)),""))</f>
        <v/>
      </c>
      <c r="H63" s="61" t="str">
        <f t="array" ref="H63">IF(A63="","",IFERROR(INDEX(Calc!$K:$K,MATCH(IF(A63="","",TEXT(A63,"YYYYMMDD")&amp;"|Reel"),Calc!$AL:$AL,0)),""))</f>
        <v/>
      </c>
      <c r="I63" s="61" t="str">
        <f t="array" ref="I63">IF(A63="","",IFERROR(INDEX(Calc!$L:$L,MATCH(IF(A63="","",TEXT(A63,"YYYYMMDD")&amp;"|Reel"),Calc!$AL:$AL,0)),""))</f>
        <v/>
      </c>
      <c r="J63" s="61" t="str">
        <f t="array" ref="J63">IF(A63="","",IFERROR(INDEX(Calc!$M:$M,MATCH(IF(A63="","",TEXT(A63,"YYYYMMDD")&amp;"|Reel"),Calc!$AL:$AL,0)),""))</f>
        <v/>
      </c>
      <c r="K63" s="61" t="str">
        <f t="array" ref="K63">IF(A63="","",IFERROR(INDEX(Calc!$N:$N,MATCH(IF(A63="","",TEXT(A63,"YYYYMMDD")&amp;"|Reel"),Calc!$AL:$AL,0)),""))</f>
        <v/>
      </c>
      <c r="L63" s="62" t="str">
        <f t="array" ref="L63">IF(A63="","",IFERROR(INDEX(Calc!$AH:$AH,MATCH(IF(A63="","",TEXT(A63,"YYYYMMDD")&amp;"|Reel"),Calc!$AL:$AL,0)),""))</f>
        <v/>
      </c>
    </row>
    <row r="64" ht="15.75" customHeight="1">
      <c r="A64" s="59" t="str">
        <f>IFERROR(AGGREGATE(14,6,(Calc!$B$2:$B$501)/((Calc!$AK$2:$AK$501=1)*(Calc!$G$2:$G$501="Reel")),53),"")</f>
        <v/>
      </c>
      <c r="B64" s="60" t="str">
        <f t="array" ref="B64">IF(A64="","",IFERROR(INDEX(Calc!$E:$E,MATCH(IF(A64="","",TEXT(A64,"YYYYMMDD")&amp;"|Reel"),Calc!$AL:$AL,0)),""))</f>
        <v/>
      </c>
      <c r="C64" s="60" t="str">
        <f t="array" ref="C64">IF(A64="","",IFERROR(INDEX(Calc!$D:$D,MATCH(IF(A64="","",TEXT(A64,"YYYYMMDD")&amp;"|Reel"),Calc!$AL:$AL,0)),""))</f>
        <v/>
      </c>
      <c r="D64" s="60" t="str">
        <f t="array" ref="D64">IF(A64="","",IFERROR(INDEX(Calc!$F:$F,MATCH(IF(A64="","",TEXT(A64,"YYYYMMDD")&amp;"|Reel"),Calc!$AL:$AL,0)),""))</f>
        <v/>
      </c>
      <c r="E64" s="60" t="str">
        <f t="array" ref="E64">IF(A64="","",IFERROR(INDEX(Calc!$H:$H,MATCH(IF(A64="","",TEXT(A64,"YYYYMMDD")&amp;"|Reel"),Calc!$AL:$AL,0)),""))</f>
        <v/>
      </c>
      <c r="F64" s="61" t="str">
        <f t="array" ref="F64">IF(A64="","",IFERROR(INDEX(Calc!$I:$I,MATCH(IF(A64="","",TEXT(A64,"YYYYMMDD")&amp;"|Reel"),Calc!$AL:$AL,0)),""))</f>
        <v/>
      </c>
      <c r="G64" s="61" t="str">
        <f t="array" ref="G64">IF(A64="","",IFERROR(INDEX(Calc!$J:$J,MATCH(IF(A64="","",TEXT(A64,"YYYYMMDD")&amp;"|Reel"),Calc!$AL:$AL,0)),""))</f>
        <v/>
      </c>
      <c r="H64" s="61" t="str">
        <f t="array" ref="H64">IF(A64="","",IFERROR(INDEX(Calc!$K:$K,MATCH(IF(A64="","",TEXT(A64,"YYYYMMDD")&amp;"|Reel"),Calc!$AL:$AL,0)),""))</f>
        <v/>
      </c>
      <c r="I64" s="61" t="str">
        <f t="array" ref="I64">IF(A64="","",IFERROR(INDEX(Calc!$L:$L,MATCH(IF(A64="","",TEXT(A64,"YYYYMMDD")&amp;"|Reel"),Calc!$AL:$AL,0)),""))</f>
        <v/>
      </c>
      <c r="J64" s="61" t="str">
        <f t="array" ref="J64">IF(A64="","",IFERROR(INDEX(Calc!$M:$M,MATCH(IF(A64="","",TEXT(A64,"YYYYMMDD")&amp;"|Reel"),Calc!$AL:$AL,0)),""))</f>
        <v/>
      </c>
      <c r="K64" s="61" t="str">
        <f t="array" ref="K64">IF(A64="","",IFERROR(INDEX(Calc!$N:$N,MATCH(IF(A64="","",TEXT(A64,"YYYYMMDD")&amp;"|Reel"),Calc!$AL:$AL,0)),""))</f>
        <v/>
      </c>
      <c r="L64" s="62" t="str">
        <f t="array" ref="L64">IF(A64="","",IFERROR(INDEX(Calc!$AH:$AH,MATCH(IF(A64="","",TEXT(A64,"YYYYMMDD")&amp;"|Reel"),Calc!$AL:$AL,0)),""))</f>
        <v/>
      </c>
    </row>
    <row r="65" ht="15.75" customHeight="1">
      <c r="A65" s="59" t="str">
        <f>IFERROR(AGGREGATE(14,6,(Calc!$B$2:$B$501)/((Calc!$AK$2:$AK$501=1)*(Calc!$G$2:$G$501="Reel")),54),"")</f>
        <v/>
      </c>
      <c r="B65" s="60" t="str">
        <f t="array" ref="B65">IF(A65="","",IFERROR(INDEX(Calc!$E:$E,MATCH(IF(A65="","",TEXT(A65,"YYYYMMDD")&amp;"|Reel"),Calc!$AL:$AL,0)),""))</f>
        <v/>
      </c>
      <c r="C65" s="60" t="str">
        <f t="array" ref="C65">IF(A65="","",IFERROR(INDEX(Calc!$D:$D,MATCH(IF(A65="","",TEXT(A65,"YYYYMMDD")&amp;"|Reel"),Calc!$AL:$AL,0)),""))</f>
        <v/>
      </c>
      <c r="D65" s="60" t="str">
        <f t="array" ref="D65">IF(A65="","",IFERROR(INDEX(Calc!$F:$F,MATCH(IF(A65="","",TEXT(A65,"YYYYMMDD")&amp;"|Reel"),Calc!$AL:$AL,0)),""))</f>
        <v/>
      </c>
      <c r="E65" s="60" t="str">
        <f t="array" ref="E65">IF(A65="","",IFERROR(INDEX(Calc!$H:$H,MATCH(IF(A65="","",TEXT(A65,"YYYYMMDD")&amp;"|Reel"),Calc!$AL:$AL,0)),""))</f>
        <v/>
      </c>
      <c r="F65" s="61" t="str">
        <f t="array" ref="F65">IF(A65="","",IFERROR(INDEX(Calc!$I:$I,MATCH(IF(A65="","",TEXT(A65,"YYYYMMDD")&amp;"|Reel"),Calc!$AL:$AL,0)),""))</f>
        <v/>
      </c>
      <c r="G65" s="61" t="str">
        <f t="array" ref="G65">IF(A65="","",IFERROR(INDEX(Calc!$J:$J,MATCH(IF(A65="","",TEXT(A65,"YYYYMMDD")&amp;"|Reel"),Calc!$AL:$AL,0)),""))</f>
        <v/>
      </c>
      <c r="H65" s="61" t="str">
        <f t="array" ref="H65">IF(A65="","",IFERROR(INDEX(Calc!$K:$K,MATCH(IF(A65="","",TEXT(A65,"YYYYMMDD")&amp;"|Reel"),Calc!$AL:$AL,0)),""))</f>
        <v/>
      </c>
      <c r="I65" s="61" t="str">
        <f t="array" ref="I65">IF(A65="","",IFERROR(INDEX(Calc!$L:$L,MATCH(IF(A65="","",TEXT(A65,"YYYYMMDD")&amp;"|Reel"),Calc!$AL:$AL,0)),""))</f>
        <v/>
      </c>
      <c r="J65" s="61" t="str">
        <f t="array" ref="J65">IF(A65="","",IFERROR(INDEX(Calc!$M:$M,MATCH(IF(A65="","",TEXT(A65,"YYYYMMDD")&amp;"|Reel"),Calc!$AL:$AL,0)),""))</f>
        <v/>
      </c>
      <c r="K65" s="61" t="str">
        <f t="array" ref="K65">IF(A65="","",IFERROR(INDEX(Calc!$N:$N,MATCH(IF(A65="","",TEXT(A65,"YYYYMMDD")&amp;"|Reel"),Calc!$AL:$AL,0)),""))</f>
        <v/>
      </c>
      <c r="L65" s="62" t="str">
        <f t="array" ref="L65">IF(A65="","",IFERROR(INDEX(Calc!$AH:$AH,MATCH(IF(A65="","",TEXT(A65,"YYYYMMDD")&amp;"|Reel"),Calc!$AL:$AL,0)),""))</f>
        <v/>
      </c>
    </row>
    <row r="66" ht="15.75" customHeight="1">
      <c r="A66" s="59" t="str">
        <f>IFERROR(AGGREGATE(14,6,(Calc!$B$2:$B$501)/((Calc!$AK$2:$AK$501=1)*(Calc!$G$2:$G$501="Reel")),55),"")</f>
        <v/>
      </c>
      <c r="B66" s="60" t="str">
        <f t="array" ref="B66">IF(A66="","",IFERROR(INDEX(Calc!$E:$E,MATCH(IF(A66="","",TEXT(A66,"YYYYMMDD")&amp;"|Reel"),Calc!$AL:$AL,0)),""))</f>
        <v/>
      </c>
      <c r="C66" s="60" t="str">
        <f t="array" ref="C66">IF(A66="","",IFERROR(INDEX(Calc!$D:$D,MATCH(IF(A66="","",TEXT(A66,"YYYYMMDD")&amp;"|Reel"),Calc!$AL:$AL,0)),""))</f>
        <v/>
      </c>
      <c r="D66" s="60" t="str">
        <f t="array" ref="D66">IF(A66="","",IFERROR(INDEX(Calc!$F:$F,MATCH(IF(A66="","",TEXT(A66,"YYYYMMDD")&amp;"|Reel"),Calc!$AL:$AL,0)),""))</f>
        <v/>
      </c>
      <c r="E66" s="60" t="str">
        <f t="array" ref="E66">IF(A66="","",IFERROR(INDEX(Calc!$H:$H,MATCH(IF(A66="","",TEXT(A66,"YYYYMMDD")&amp;"|Reel"),Calc!$AL:$AL,0)),""))</f>
        <v/>
      </c>
      <c r="F66" s="61" t="str">
        <f t="array" ref="F66">IF(A66="","",IFERROR(INDEX(Calc!$I:$I,MATCH(IF(A66="","",TEXT(A66,"YYYYMMDD")&amp;"|Reel"),Calc!$AL:$AL,0)),""))</f>
        <v/>
      </c>
      <c r="G66" s="61" t="str">
        <f t="array" ref="G66">IF(A66="","",IFERROR(INDEX(Calc!$J:$J,MATCH(IF(A66="","",TEXT(A66,"YYYYMMDD")&amp;"|Reel"),Calc!$AL:$AL,0)),""))</f>
        <v/>
      </c>
      <c r="H66" s="61" t="str">
        <f t="array" ref="H66">IF(A66="","",IFERROR(INDEX(Calc!$K:$K,MATCH(IF(A66="","",TEXT(A66,"YYYYMMDD")&amp;"|Reel"),Calc!$AL:$AL,0)),""))</f>
        <v/>
      </c>
      <c r="I66" s="61" t="str">
        <f t="array" ref="I66">IF(A66="","",IFERROR(INDEX(Calc!$L:$L,MATCH(IF(A66="","",TEXT(A66,"YYYYMMDD")&amp;"|Reel"),Calc!$AL:$AL,0)),""))</f>
        <v/>
      </c>
      <c r="J66" s="61" t="str">
        <f t="array" ref="J66">IF(A66="","",IFERROR(INDEX(Calc!$M:$M,MATCH(IF(A66="","",TEXT(A66,"YYYYMMDD")&amp;"|Reel"),Calc!$AL:$AL,0)),""))</f>
        <v/>
      </c>
      <c r="K66" s="61" t="str">
        <f t="array" ref="K66">IF(A66="","",IFERROR(INDEX(Calc!$N:$N,MATCH(IF(A66="","",TEXT(A66,"YYYYMMDD")&amp;"|Reel"),Calc!$AL:$AL,0)),""))</f>
        <v/>
      </c>
      <c r="L66" s="62" t="str">
        <f t="array" ref="L66">IF(A66="","",IFERROR(INDEX(Calc!$AH:$AH,MATCH(IF(A66="","",TEXT(A66,"YYYYMMDD")&amp;"|Reel"),Calc!$AL:$AL,0)),""))</f>
        <v/>
      </c>
    </row>
    <row r="67" ht="15.75" customHeight="1">
      <c r="A67" s="59" t="str">
        <f>IFERROR(AGGREGATE(14,6,(Calc!$B$2:$B$501)/((Calc!$AK$2:$AK$501=1)*(Calc!$G$2:$G$501="Reel")),56),"")</f>
        <v/>
      </c>
      <c r="B67" s="60" t="str">
        <f t="array" ref="B67">IF(A67="","",IFERROR(INDEX(Calc!$E:$E,MATCH(IF(A67="","",TEXT(A67,"YYYYMMDD")&amp;"|Reel"),Calc!$AL:$AL,0)),""))</f>
        <v/>
      </c>
      <c r="C67" s="60" t="str">
        <f t="array" ref="C67">IF(A67="","",IFERROR(INDEX(Calc!$D:$D,MATCH(IF(A67="","",TEXT(A67,"YYYYMMDD")&amp;"|Reel"),Calc!$AL:$AL,0)),""))</f>
        <v/>
      </c>
      <c r="D67" s="60" t="str">
        <f t="array" ref="D67">IF(A67="","",IFERROR(INDEX(Calc!$F:$F,MATCH(IF(A67="","",TEXT(A67,"YYYYMMDD")&amp;"|Reel"),Calc!$AL:$AL,0)),""))</f>
        <v/>
      </c>
      <c r="E67" s="60" t="str">
        <f t="array" ref="E67">IF(A67="","",IFERROR(INDEX(Calc!$H:$H,MATCH(IF(A67="","",TEXT(A67,"YYYYMMDD")&amp;"|Reel"),Calc!$AL:$AL,0)),""))</f>
        <v/>
      </c>
      <c r="F67" s="61" t="str">
        <f t="array" ref="F67">IF(A67="","",IFERROR(INDEX(Calc!$I:$I,MATCH(IF(A67="","",TEXT(A67,"YYYYMMDD")&amp;"|Reel"),Calc!$AL:$AL,0)),""))</f>
        <v/>
      </c>
      <c r="G67" s="61" t="str">
        <f t="array" ref="G67">IF(A67="","",IFERROR(INDEX(Calc!$J:$J,MATCH(IF(A67="","",TEXT(A67,"YYYYMMDD")&amp;"|Reel"),Calc!$AL:$AL,0)),""))</f>
        <v/>
      </c>
      <c r="H67" s="61" t="str">
        <f t="array" ref="H67">IF(A67="","",IFERROR(INDEX(Calc!$K:$K,MATCH(IF(A67="","",TEXT(A67,"YYYYMMDD")&amp;"|Reel"),Calc!$AL:$AL,0)),""))</f>
        <v/>
      </c>
      <c r="I67" s="61" t="str">
        <f t="array" ref="I67">IF(A67="","",IFERROR(INDEX(Calc!$L:$L,MATCH(IF(A67="","",TEXT(A67,"YYYYMMDD")&amp;"|Reel"),Calc!$AL:$AL,0)),""))</f>
        <v/>
      </c>
      <c r="J67" s="61" t="str">
        <f t="array" ref="J67">IF(A67="","",IFERROR(INDEX(Calc!$M:$M,MATCH(IF(A67="","",TEXT(A67,"YYYYMMDD")&amp;"|Reel"),Calc!$AL:$AL,0)),""))</f>
        <v/>
      </c>
      <c r="K67" s="61" t="str">
        <f t="array" ref="K67">IF(A67="","",IFERROR(INDEX(Calc!$N:$N,MATCH(IF(A67="","",TEXT(A67,"YYYYMMDD")&amp;"|Reel"),Calc!$AL:$AL,0)),""))</f>
        <v/>
      </c>
      <c r="L67" s="62" t="str">
        <f t="array" ref="L67">IF(A67="","",IFERROR(INDEX(Calc!$AH:$AH,MATCH(IF(A67="","",TEXT(A67,"YYYYMMDD")&amp;"|Reel"),Calc!$AL:$AL,0)),""))</f>
        <v/>
      </c>
    </row>
    <row r="68" ht="15.75" customHeight="1">
      <c r="A68" s="59" t="str">
        <f>IFERROR(AGGREGATE(14,6,(Calc!$B$2:$B$501)/((Calc!$AK$2:$AK$501=1)*(Calc!$G$2:$G$501="Reel")),57),"")</f>
        <v/>
      </c>
      <c r="B68" s="60" t="str">
        <f t="array" ref="B68">IF(A68="","",IFERROR(INDEX(Calc!$E:$E,MATCH(IF(A68="","",TEXT(A68,"YYYYMMDD")&amp;"|Reel"),Calc!$AL:$AL,0)),""))</f>
        <v/>
      </c>
      <c r="C68" s="60" t="str">
        <f t="array" ref="C68">IF(A68="","",IFERROR(INDEX(Calc!$D:$D,MATCH(IF(A68="","",TEXT(A68,"YYYYMMDD")&amp;"|Reel"),Calc!$AL:$AL,0)),""))</f>
        <v/>
      </c>
      <c r="D68" s="60" t="str">
        <f t="array" ref="D68">IF(A68="","",IFERROR(INDEX(Calc!$F:$F,MATCH(IF(A68="","",TEXT(A68,"YYYYMMDD")&amp;"|Reel"),Calc!$AL:$AL,0)),""))</f>
        <v/>
      </c>
      <c r="E68" s="60" t="str">
        <f t="array" ref="E68">IF(A68="","",IFERROR(INDEX(Calc!$H:$H,MATCH(IF(A68="","",TEXT(A68,"YYYYMMDD")&amp;"|Reel"),Calc!$AL:$AL,0)),""))</f>
        <v/>
      </c>
      <c r="F68" s="61" t="str">
        <f t="array" ref="F68">IF(A68="","",IFERROR(INDEX(Calc!$I:$I,MATCH(IF(A68="","",TEXT(A68,"YYYYMMDD")&amp;"|Reel"),Calc!$AL:$AL,0)),""))</f>
        <v/>
      </c>
      <c r="G68" s="61" t="str">
        <f t="array" ref="G68">IF(A68="","",IFERROR(INDEX(Calc!$J:$J,MATCH(IF(A68="","",TEXT(A68,"YYYYMMDD")&amp;"|Reel"),Calc!$AL:$AL,0)),""))</f>
        <v/>
      </c>
      <c r="H68" s="61" t="str">
        <f t="array" ref="H68">IF(A68="","",IFERROR(INDEX(Calc!$K:$K,MATCH(IF(A68="","",TEXT(A68,"YYYYMMDD")&amp;"|Reel"),Calc!$AL:$AL,0)),""))</f>
        <v/>
      </c>
      <c r="I68" s="61" t="str">
        <f t="array" ref="I68">IF(A68="","",IFERROR(INDEX(Calc!$L:$L,MATCH(IF(A68="","",TEXT(A68,"YYYYMMDD")&amp;"|Reel"),Calc!$AL:$AL,0)),""))</f>
        <v/>
      </c>
      <c r="J68" s="61" t="str">
        <f t="array" ref="J68">IF(A68="","",IFERROR(INDEX(Calc!$M:$M,MATCH(IF(A68="","",TEXT(A68,"YYYYMMDD")&amp;"|Reel"),Calc!$AL:$AL,0)),""))</f>
        <v/>
      </c>
      <c r="K68" s="61" t="str">
        <f t="array" ref="K68">IF(A68="","",IFERROR(INDEX(Calc!$N:$N,MATCH(IF(A68="","",TEXT(A68,"YYYYMMDD")&amp;"|Reel"),Calc!$AL:$AL,0)),""))</f>
        <v/>
      </c>
      <c r="L68" s="62" t="str">
        <f t="array" ref="L68">IF(A68="","",IFERROR(INDEX(Calc!$AH:$AH,MATCH(IF(A68="","",TEXT(A68,"YYYYMMDD")&amp;"|Reel"),Calc!$AL:$AL,0)),""))</f>
        <v/>
      </c>
    </row>
    <row r="69" ht="15.75" customHeight="1">
      <c r="A69" s="59" t="str">
        <f>IFERROR(AGGREGATE(14,6,(Calc!$B$2:$B$501)/((Calc!$AK$2:$AK$501=1)*(Calc!$G$2:$G$501="Reel")),58),"")</f>
        <v/>
      </c>
      <c r="B69" s="60" t="str">
        <f t="array" ref="B69">IF(A69="","",IFERROR(INDEX(Calc!$E:$E,MATCH(IF(A69="","",TEXT(A69,"YYYYMMDD")&amp;"|Reel"),Calc!$AL:$AL,0)),""))</f>
        <v/>
      </c>
      <c r="C69" s="60" t="str">
        <f t="array" ref="C69">IF(A69="","",IFERROR(INDEX(Calc!$D:$D,MATCH(IF(A69="","",TEXT(A69,"YYYYMMDD")&amp;"|Reel"),Calc!$AL:$AL,0)),""))</f>
        <v/>
      </c>
      <c r="D69" s="60" t="str">
        <f t="array" ref="D69">IF(A69="","",IFERROR(INDEX(Calc!$F:$F,MATCH(IF(A69="","",TEXT(A69,"YYYYMMDD")&amp;"|Reel"),Calc!$AL:$AL,0)),""))</f>
        <v/>
      </c>
      <c r="E69" s="60" t="str">
        <f t="array" ref="E69">IF(A69="","",IFERROR(INDEX(Calc!$H:$H,MATCH(IF(A69="","",TEXT(A69,"YYYYMMDD")&amp;"|Reel"),Calc!$AL:$AL,0)),""))</f>
        <v/>
      </c>
      <c r="F69" s="61" t="str">
        <f t="array" ref="F69">IF(A69="","",IFERROR(INDEX(Calc!$I:$I,MATCH(IF(A69="","",TEXT(A69,"YYYYMMDD")&amp;"|Reel"),Calc!$AL:$AL,0)),""))</f>
        <v/>
      </c>
      <c r="G69" s="61" t="str">
        <f t="array" ref="G69">IF(A69="","",IFERROR(INDEX(Calc!$J:$J,MATCH(IF(A69="","",TEXT(A69,"YYYYMMDD")&amp;"|Reel"),Calc!$AL:$AL,0)),""))</f>
        <v/>
      </c>
      <c r="H69" s="61" t="str">
        <f t="array" ref="H69">IF(A69="","",IFERROR(INDEX(Calc!$K:$K,MATCH(IF(A69="","",TEXT(A69,"YYYYMMDD")&amp;"|Reel"),Calc!$AL:$AL,0)),""))</f>
        <v/>
      </c>
      <c r="I69" s="61" t="str">
        <f t="array" ref="I69">IF(A69="","",IFERROR(INDEX(Calc!$L:$L,MATCH(IF(A69="","",TEXT(A69,"YYYYMMDD")&amp;"|Reel"),Calc!$AL:$AL,0)),""))</f>
        <v/>
      </c>
      <c r="J69" s="61" t="str">
        <f t="array" ref="J69">IF(A69="","",IFERROR(INDEX(Calc!$M:$M,MATCH(IF(A69="","",TEXT(A69,"YYYYMMDD")&amp;"|Reel"),Calc!$AL:$AL,0)),""))</f>
        <v/>
      </c>
      <c r="K69" s="61" t="str">
        <f t="array" ref="K69">IF(A69="","",IFERROR(INDEX(Calc!$N:$N,MATCH(IF(A69="","",TEXT(A69,"YYYYMMDD")&amp;"|Reel"),Calc!$AL:$AL,0)),""))</f>
        <v/>
      </c>
      <c r="L69" s="62" t="str">
        <f t="array" ref="L69">IF(A69="","",IFERROR(INDEX(Calc!$AH:$AH,MATCH(IF(A69="","",TEXT(A69,"YYYYMMDD")&amp;"|Reel"),Calc!$AL:$AL,0)),""))</f>
        <v/>
      </c>
    </row>
    <row r="70" ht="15.75" customHeight="1">
      <c r="A70" s="59" t="str">
        <f>IFERROR(AGGREGATE(14,6,(Calc!$B$2:$B$501)/((Calc!$AK$2:$AK$501=1)*(Calc!$G$2:$G$501="Reel")),59),"")</f>
        <v/>
      </c>
      <c r="B70" s="60" t="str">
        <f t="array" ref="B70">IF(A70="","",IFERROR(INDEX(Calc!$E:$E,MATCH(IF(A70="","",TEXT(A70,"YYYYMMDD")&amp;"|Reel"),Calc!$AL:$AL,0)),""))</f>
        <v/>
      </c>
      <c r="C70" s="60" t="str">
        <f t="array" ref="C70">IF(A70="","",IFERROR(INDEX(Calc!$D:$D,MATCH(IF(A70="","",TEXT(A70,"YYYYMMDD")&amp;"|Reel"),Calc!$AL:$AL,0)),""))</f>
        <v/>
      </c>
      <c r="D70" s="60" t="str">
        <f t="array" ref="D70">IF(A70="","",IFERROR(INDEX(Calc!$F:$F,MATCH(IF(A70="","",TEXT(A70,"YYYYMMDD")&amp;"|Reel"),Calc!$AL:$AL,0)),""))</f>
        <v/>
      </c>
      <c r="E70" s="60" t="str">
        <f t="array" ref="E70">IF(A70="","",IFERROR(INDEX(Calc!$H:$H,MATCH(IF(A70="","",TEXT(A70,"YYYYMMDD")&amp;"|Reel"),Calc!$AL:$AL,0)),""))</f>
        <v/>
      </c>
      <c r="F70" s="61" t="str">
        <f t="array" ref="F70">IF(A70="","",IFERROR(INDEX(Calc!$I:$I,MATCH(IF(A70="","",TEXT(A70,"YYYYMMDD")&amp;"|Reel"),Calc!$AL:$AL,0)),""))</f>
        <v/>
      </c>
      <c r="G70" s="61" t="str">
        <f t="array" ref="G70">IF(A70="","",IFERROR(INDEX(Calc!$J:$J,MATCH(IF(A70="","",TEXT(A70,"YYYYMMDD")&amp;"|Reel"),Calc!$AL:$AL,0)),""))</f>
        <v/>
      </c>
      <c r="H70" s="61" t="str">
        <f t="array" ref="H70">IF(A70="","",IFERROR(INDEX(Calc!$K:$K,MATCH(IF(A70="","",TEXT(A70,"YYYYMMDD")&amp;"|Reel"),Calc!$AL:$AL,0)),""))</f>
        <v/>
      </c>
      <c r="I70" s="61" t="str">
        <f t="array" ref="I70">IF(A70="","",IFERROR(INDEX(Calc!$L:$L,MATCH(IF(A70="","",TEXT(A70,"YYYYMMDD")&amp;"|Reel"),Calc!$AL:$AL,0)),""))</f>
        <v/>
      </c>
      <c r="J70" s="61" t="str">
        <f t="array" ref="J70">IF(A70="","",IFERROR(INDEX(Calc!$M:$M,MATCH(IF(A70="","",TEXT(A70,"YYYYMMDD")&amp;"|Reel"),Calc!$AL:$AL,0)),""))</f>
        <v/>
      </c>
      <c r="K70" s="61" t="str">
        <f t="array" ref="K70">IF(A70="","",IFERROR(INDEX(Calc!$N:$N,MATCH(IF(A70="","",TEXT(A70,"YYYYMMDD")&amp;"|Reel"),Calc!$AL:$AL,0)),""))</f>
        <v/>
      </c>
      <c r="L70" s="62" t="str">
        <f t="array" ref="L70">IF(A70="","",IFERROR(INDEX(Calc!$AH:$AH,MATCH(IF(A70="","",TEXT(A70,"YYYYMMDD")&amp;"|Reel"),Calc!$AL:$AL,0)),""))</f>
        <v/>
      </c>
    </row>
    <row r="71" ht="15.75" customHeight="1">
      <c r="A71" s="59" t="str">
        <f>IFERROR(AGGREGATE(14,6,(Calc!$B$2:$B$501)/((Calc!$AK$2:$AK$501=1)*(Calc!$G$2:$G$501="Reel")),60),"")</f>
        <v/>
      </c>
      <c r="B71" s="60" t="str">
        <f t="array" ref="B71">IF(A71="","",IFERROR(INDEX(Calc!$E:$E,MATCH(IF(A71="","",TEXT(A71,"YYYYMMDD")&amp;"|Reel"),Calc!$AL:$AL,0)),""))</f>
        <v/>
      </c>
      <c r="C71" s="60" t="str">
        <f t="array" ref="C71">IF(A71="","",IFERROR(INDEX(Calc!$D:$D,MATCH(IF(A71="","",TEXT(A71,"YYYYMMDD")&amp;"|Reel"),Calc!$AL:$AL,0)),""))</f>
        <v/>
      </c>
      <c r="D71" s="60" t="str">
        <f t="array" ref="D71">IF(A71="","",IFERROR(INDEX(Calc!$F:$F,MATCH(IF(A71="","",TEXT(A71,"YYYYMMDD")&amp;"|Reel"),Calc!$AL:$AL,0)),""))</f>
        <v/>
      </c>
      <c r="E71" s="60" t="str">
        <f t="array" ref="E71">IF(A71="","",IFERROR(INDEX(Calc!$H:$H,MATCH(IF(A71="","",TEXT(A71,"YYYYMMDD")&amp;"|Reel"),Calc!$AL:$AL,0)),""))</f>
        <v/>
      </c>
      <c r="F71" s="61" t="str">
        <f t="array" ref="F71">IF(A71="","",IFERROR(INDEX(Calc!$I:$I,MATCH(IF(A71="","",TEXT(A71,"YYYYMMDD")&amp;"|Reel"),Calc!$AL:$AL,0)),""))</f>
        <v/>
      </c>
      <c r="G71" s="61" t="str">
        <f t="array" ref="G71">IF(A71="","",IFERROR(INDEX(Calc!$J:$J,MATCH(IF(A71="","",TEXT(A71,"YYYYMMDD")&amp;"|Reel"),Calc!$AL:$AL,0)),""))</f>
        <v/>
      </c>
      <c r="H71" s="61" t="str">
        <f t="array" ref="H71">IF(A71="","",IFERROR(INDEX(Calc!$K:$K,MATCH(IF(A71="","",TEXT(A71,"YYYYMMDD")&amp;"|Reel"),Calc!$AL:$AL,0)),""))</f>
        <v/>
      </c>
      <c r="I71" s="61" t="str">
        <f t="array" ref="I71">IF(A71="","",IFERROR(INDEX(Calc!$L:$L,MATCH(IF(A71="","",TEXT(A71,"YYYYMMDD")&amp;"|Reel"),Calc!$AL:$AL,0)),""))</f>
        <v/>
      </c>
      <c r="J71" s="61" t="str">
        <f t="array" ref="J71">IF(A71="","",IFERROR(INDEX(Calc!$M:$M,MATCH(IF(A71="","",TEXT(A71,"YYYYMMDD")&amp;"|Reel"),Calc!$AL:$AL,0)),""))</f>
        <v/>
      </c>
      <c r="K71" s="61" t="str">
        <f t="array" ref="K71">IF(A71="","",IFERROR(INDEX(Calc!$N:$N,MATCH(IF(A71="","",TEXT(A71,"YYYYMMDD")&amp;"|Reel"),Calc!$AL:$AL,0)),""))</f>
        <v/>
      </c>
      <c r="L71" s="62" t="str">
        <f t="array" ref="L71">IF(A71="","",IFERROR(INDEX(Calc!$AH:$AH,MATCH(IF(A71="","",TEXT(A71,"YYYYMMDD")&amp;"|Reel"),Calc!$AL:$AL,0)),""))</f>
        <v/>
      </c>
    </row>
    <row r="72" ht="15.75" customHeight="1"/>
    <row r="73" ht="19.5" customHeight="1">
      <c r="A73" s="21" t="s">
        <v>147</v>
      </c>
      <c r="B73" s="22"/>
      <c r="C73" s="22"/>
      <c r="D73" s="22"/>
      <c r="E73" s="22"/>
      <c r="F73" s="22"/>
      <c r="G73" s="22"/>
      <c r="H73" s="22"/>
      <c r="I73" s="22"/>
      <c r="J73" s="22"/>
      <c r="K73" s="22"/>
      <c r="L73" s="22"/>
      <c r="M73" s="7"/>
    </row>
    <row r="74" ht="15.75" customHeight="1">
      <c r="A74" s="58" t="s">
        <v>39</v>
      </c>
      <c r="B74" s="58" t="s">
        <v>144</v>
      </c>
      <c r="C74" s="58" t="s">
        <v>19</v>
      </c>
      <c r="D74" s="58" t="s">
        <v>45</v>
      </c>
      <c r="E74" s="58" t="s">
        <v>31</v>
      </c>
      <c r="F74" s="58" t="s">
        <v>20</v>
      </c>
      <c r="G74" s="58" t="s">
        <v>48</v>
      </c>
      <c r="H74" s="58" t="s">
        <v>49</v>
      </c>
      <c r="I74" s="58" t="s">
        <v>50</v>
      </c>
      <c r="J74" s="58" t="s">
        <v>51</v>
      </c>
      <c r="K74" s="58" t="s">
        <v>145</v>
      </c>
      <c r="L74" s="58" t="s">
        <v>146</v>
      </c>
    </row>
    <row r="75" ht="15.75" customHeight="1">
      <c r="A75" s="60" t="str">
        <f>IF(IFERROR(AGGREGATE(14,6,(Calc!$AP$2:$AP$501)/((Calc!$AM$2:$AM$501=1)*(Calc!$G$2:$G$501="Reel")),1),"")="","",LEFT(TEXT(IFERROR(AGGREGATE(14,6,(Calc!$AP$2:$AP$501)/((Calc!$AM$2:$AM$501=1)*(Calc!$G$2:$G$501="Reel")),1),""),"000000"),4)&amp;"-"&amp;RIGHT(TEXT(IFERROR(AGGREGATE(14,6,(Calc!$AP$2:$AP$501)/((Calc!$AM$2:$AM$501=1)*(Calc!$G$2:$G$501="Reel")),1),""),"000000"),2))</f>
        <v/>
      </c>
      <c r="B75" s="60" t="str">
        <f t="array" ref="B75">IF(A75="","",IFERROR(INDEX(Calc!$E:$E,MATCH(IF(A75="","",A75&amp;"|Reel"),Calc!$AN:$AN,0)),""))</f>
        <v/>
      </c>
      <c r="C75" s="60" t="str">
        <f t="array" ref="C75">IF(A75="","",IFERROR(INDEX(Calc!$D:$D,MATCH(IF(A75="","",A75&amp;"|Reel"),Calc!$AN:$AN,0)),""))</f>
        <v/>
      </c>
      <c r="D75" s="60" t="str">
        <f t="array" ref="D75">IF(A75="","",IFERROR(INDEX(Calc!$F:$F,MATCH(IF(A75="","",A75&amp;"|Reel"),Calc!$AN:$AN,0)),""))</f>
        <v/>
      </c>
      <c r="E75" s="60" t="str">
        <f t="array" ref="E75">IF(A75="","",IFERROR(INDEX(Calc!$H:$H,MATCH(IF(A75="","",A75&amp;"|Reel"),Calc!$AN:$AN,0)),""))</f>
        <v/>
      </c>
      <c r="F75" s="61" t="str">
        <f t="array" ref="F75">IF(A75="","",IFERROR(INDEX(Calc!$I:$I,MATCH(IF(A75="","",A75&amp;"|Reel"),Calc!$AN:$AN,0)),""))</f>
        <v/>
      </c>
      <c r="G75" s="61" t="str">
        <f t="array" ref="G75">IF(A75="","",IFERROR(INDEX(Calc!$J:$J,MATCH(IF(A75="","",A75&amp;"|Reel"),Calc!$AN:$AN,0)),""))</f>
        <v/>
      </c>
      <c r="H75" s="61" t="str">
        <f t="array" ref="H75">IF(A75="","",IFERROR(INDEX(Calc!$K:$K,MATCH(IF(A75="","",A75&amp;"|Reel"),Calc!$AN:$AN,0)),""))</f>
        <v/>
      </c>
      <c r="I75" s="61" t="str">
        <f t="array" ref="I75">IF(A75="","",IFERROR(INDEX(Calc!$L:$L,MATCH(IF(A75="","",A75&amp;"|Reel"),Calc!$AN:$AN,0)),""))</f>
        <v/>
      </c>
      <c r="J75" s="61" t="str">
        <f t="array" ref="J75">IF(A75="","",IFERROR(INDEX(Calc!$M:$M,MATCH(IF(A75="","",A75&amp;"|Reel"),Calc!$AN:$AN,0)),""))</f>
        <v/>
      </c>
      <c r="K75" s="61" t="str">
        <f t="array" ref="K75">IF(A75="","",IFERROR(INDEX(Calc!$N:$N,MATCH(IF(A75="","",A75&amp;"|Reel"),Calc!$AN:$AN,0)),""))</f>
        <v/>
      </c>
      <c r="L75" s="62" t="str">
        <f t="array" ref="L75">IF(A75="","",IFERROR(INDEX(Calc!$AI:$AI,MATCH(IF(A75="","",A75&amp;"|Reel"),Calc!$AN:$AN,0)),""))</f>
        <v/>
      </c>
    </row>
    <row r="76" ht="15.75" customHeight="1">
      <c r="A76" s="60" t="str">
        <f>IF(IFERROR(AGGREGATE(14,6,(Calc!$AP$2:$AP$501)/((Calc!$AM$2:$AM$501=1)*(Calc!$G$2:$G$501="Reel")),2),"")="","",LEFT(TEXT(IFERROR(AGGREGATE(14,6,(Calc!$AP$2:$AP$501)/((Calc!$AM$2:$AM$501=1)*(Calc!$G$2:$G$501="Reel")),2),""),"000000"),4)&amp;"-"&amp;RIGHT(TEXT(IFERROR(AGGREGATE(14,6,(Calc!$AP$2:$AP$501)/((Calc!$AM$2:$AM$501=1)*(Calc!$G$2:$G$501="Reel")),2),""),"000000"),2))</f>
        <v/>
      </c>
      <c r="B76" s="60" t="str">
        <f t="array" ref="B76">IF(A76="","",IFERROR(INDEX(Calc!$E:$E,MATCH(IF(A76="","",A76&amp;"|Reel"),Calc!$AN:$AN,0)),""))</f>
        <v/>
      </c>
      <c r="C76" s="60" t="str">
        <f t="array" ref="C76">IF(A76="","",IFERROR(INDEX(Calc!$D:$D,MATCH(IF(A76="","",A76&amp;"|Reel"),Calc!$AN:$AN,0)),""))</f>
        <v/>
      </c>
      <c r="D76" s="60" t="str">
        <f t="array" ref="D76">IF(A76="","",IFERROR(INDEX(Calc!$F:$F,MATCH(IF(A76="","",A76&amp;"|Reel"),Calc!$AN:$AN,0)),""))</f>
        <v/>
      </c>
      <c r="E76" s="60" t="str">
        <f t="array" ref="E76">IF(A76="","",IFERROR(INDEX(Calc!$H:$H,MATCH(IF(A76="","",A76&amp;"|Reel"),Calc!$AN:$AN,0)),""))</f>
        <v/>
      </c>
      <c r="F76" s="61" t="str">
        <f t="array" ref="F76">IF(A76="","",IFERROR(INDEX(Calc!$I:$I,MATCH(IF(A76="","",A76&amp;"|Reel"),Calc!$AN:$AN,0)),""))</f>
        <v/>
      </c>
      <c r="G76" s="61" t="str">
        <f t="array" ref="G76">IF(A76="","",IFERROR(INDEX(Calc!$J:$J,MATCH(IF(A76="","",A76&amp;"|Reel"),Calc!$AN:$AN,0)),""))</f>
        <v/>
      </c>
      <c r="H76" s="61" t="str">
        <f t="array" ref="H76">IF(A76="","",IFERROR(INDEX(Calc!$K:$K,MATCH(IF(A76="","",A76&amp;"|Reel"),Calc!$AN:$AN,0)),""))</f>
        <v/>
      </c>
      <c r="I76" s="61" t="str">
        <f t="array" ref="I76">IF(A76="","",IFERROR(INDEX(Calc!$L:$L,MATCH(IF(A76="","",A76&amp;"|Reel"),Calc!$AN:$AN,0)),""))</f>
        <v/>
      </c>
      <c r="J76" s="61" t="str">
        <f t="array" ref="J76">IF(A76="","",IFERROR(INDEX(Calc!$M:$M,MATCH(IF(A76="","",A76&amp;"|Reel"),Calc!$AN:$AN,0)),""))</f>
        <v/>
      </c>
      <c r="K76" s="61" t="str">
        <f t="array" ref="K76">IF(A76="","",IFERROR(INDEX(Calc!$N:$N,MATCH(IF(A76="","",A76&amp;"|Reel"),Calc!$AN:$AN,0)),""))</f>
        <v/>
      </c>
      <c r="L76" s="62" t="str">
        <f t="array" ref="L76">IF(A76="","",IFERROR(INDEX(Calc!$AI:$AI,MATCH(IF(A76="","",A76&amp;"|Reel"),Calc!$AN:$AN,0)),""))</f>
        <v/>
      </c>
    </row>
    <row r="77" ht="15.75" customHeight="1">
      <c r="A77" s="60" t="str">
        <f>IF(IFERROR(AGGREGATE(14,6,(Calc!$AP$2:$AP$501)/((Calc!$AM$2:$AM$501=1)*(Calc!$G$2:$G$501="Reel")),3),"")="","",LEFT(TEXT(IFERROR(AGGREGATE(14,6,(Calc!$AP$2:$AP$501)/((Calc!$AM$2:$AM$501=1)*(Calc!$G$2:$G$501="Reel")),3),""),"000000"),4)&amp;"-"&amp;RIGHT(TEXT(IFERROR(AGGREGATE(14,6,(Calc!$AP$2:$AP$501)/((Calc!$AM$2:$AM$501=1)*(Calc!$G$2:$G$501="Reel")),3),""),"000000"),2))</f>
        <v/>
      </c>
      <c r="B77" s="60" t="str">
        <f t="array" ref="B77">IF(A77="","",IFERROR(INDEX(Calc!$E:$E,MATCH(IF(A77="","",A77&amp;"|Reel"),Calc!$AN:$AN,0)),""))</f>
        <v/>
      </c>
      <c r="C77" s="60" t="str">
        <f t="array" ref="C77">IF(A77="","",IFERROR(INDEX(Calc!$D:$D,MATCH(IF(A77="","",A77&amp;"|Reel"),Calc!$AN:$AN,0)),""))</f>
        <v/>
      </c>
      <c r="D77" s="60" t="str">
        <f t="array" ref="D77">IF(A77="","",IFERROR(INDEX(Calc!$F:$F,MATCH(IF(A77="","",A77&amp;"|Reel"),Calc!$AN:$AN,0)),""))</f>
        <v/>
      </c>
      <c r="E77" s="60" t="str">
        <f t="array" ref="E77">IF(A77="","",IFERROR(INDEX(Calc!$H:$H,MATCH(IF(A77="","",A77&amp;"|Reel"),Calc!$AN:$AN,0)),""))</f>
        <v/>
      </c>
      <c r="F77" s="61" t="str">
        <f t="array" ref="F77">IF(A77="","",IFERROR(INDEX(Calc!$I:$I,MATCH(IF(A77="","",A77&amp;"|Reel"),Calc!$AN:$AN,0)),""))</f>
        <v/>
      </c>
      <c r="G77" s="61" t="str">
        <f t="array" ref="G77">IF(A77="","",IFERROR(INDEX(Calc!$J:$J,MATCH(IF(A77="","",A77&amp;"|Reel"),Calc!$AN:$AN,0)),""))</f>
        <v/>
      </c>
      <c r="H77" s="61" t="str">
        <f t="array" ref="H77">IF(A77="","",IFERROR(INDEX(Calc!$K:$K,MATCH(IF(A77="","",A77&amp;"|Reel"),Calc!$AN:$AN,0)),""))</f>
        <v/>
      </c>
      <c r="I77" s="61" t="str">
        <f t="array" ref="I77">IF(A77="","",IFERROR(INDEX(Calc!$L:$L,MATCH(IF(A77="","",A77&amp;"|Reel"),Calc!$AN:$AN,0)),""))</f>
        <v/>
      </c>
      <c r="J77" s="61" t="str">
        <f t="array" ref="J77">IF(A77="","",IFERROR(INDEX(Calc!$M:$M,MATCH(IF(A77="","",A77&amp;"|Reel"),Calc!$AN:$AN,0)),""))</f>
        <v/>
      </c>
      <c r="K77" s="61" t="str">
        <f t="array" ref="K77">IF(A77="","",IFERROR(INDEX(Calc!$N:$N,MATCH(IF(A77="","",A77&amp;"|Reel"),Calc!$AN:$AN,0)),""))</f>
        <v/>
      </c>
      <c r="L77" s="62" t="str">
        <f t="array" ref="L77">IF(A77="","",IFERROR(INDEX(Calc!$AI:$AI,MATCH(IF(A77="","",A77&amp;"|Reel"),Calc!$AN:$AN,0)),""))</f>
        <v/>
      </c>
    </row>
    <row r="78" ht="15.75" customHeight="1">
      <c r="A78" s="60" t="str">
        <f>IF(IFERROR(AGGREGATE(14,6,(Calc!$AP$2:$AP$501)/((Calc!$AM$2:$AM$501=1)*(Calc!$G$2:$G$501="Reel")),4),"")="","",LEFT(TEXT(IFERROR(AGGREGATE(14,6,(Calc!$AP$2:$AP$501)/((Calc!$AM$2:$AM$501=1)*(Calc!$G$2:$G$501="Reel")),4),""),"000000"),4)&amp;"-"&amp;RIGHT(TEXT(IFERROR(AGGREGATE(14,6,(Calc!$AP$2:$AP$501)/((Calc!$AM$2:$AM$501=1)*(Calc!$G$2:$G$501="Reel")),4),""),"000000"),2))</f>
        <v/>
      </c>
      <c r="B78" s="60" t="str">
        <f t="array" ref="B78">IF(A78="","",IFERROR(INDEX(Calc!$E:$E,MATCH(IF(A78="","",A78&amp;"|Reel"),Calc!$AN:$AN,0)),""))</f>
        <v/>
      </c>
      <c r="C78" s="60" t="str">
        <f t="array" ref="C78">IF(A78="","",IFERROR(INDEX(Calc!$D:$D,MATCH(IF(A78="","",A78&amp;"|Reel"),Calc!$AN:$AN,0)),""))</f>
        <v/>
      </c>
      <c r="D78" s="60" t="str">
        <f t="array" ref="D78">IF(A78="","",IFERROR(INDEX(Calc!$F:$F,MATCH(IF(A78="","",A78&amp;"|Reel"),Calc!$AN:$AN,0)),""))</f>
        <v/>
      </c>
      <c r="E78" s="60" t="str">
        <f t="array" ref="E78">IF(A78="","",IFERROR(INDEX(Calc!$H:$H,MATCH(IF(A78="","",A78&amp;"|Reel"),Calc!$AN:$AN,0)),""))</f>
        <v/>
      </c>
      <c r="F78" s="61" t="str">
        <f t="array" ref="F78">IF(A78="","",IFERROR(INDEX(Calc!$I:$I,MATCH(IF(A78="","",A78&amp;"|Reel"),Calc!$AN:$AN,0)),""))</f>
        <v/>
      </c>
      <c r="G78" s="61" t="str">
        <f t="array" ref="G78">IF(A78="","",IFERROR(INDEX(Calc!$J:$J,MATCH(IF(A78="","",A78&amp;"|Reel"),Calc!$AN:$AN,0)),""))</f>
        <v/>
      </c>
      <c r="H78" s="61" t="str">
        <f t="array" ref="H78">IF(A78="","",IFERROR(INDEX(Calc!$K:$K,MATCH(IF(A78="","",A78&amp;"|Reel"),Calc!$AN:$AN,0)),""))</f>
        <v/>
      </c>
      <c r="I78" s="61" t="str">
        <f t="array" ref="I78">IF(A78="","",IFERROR(INDEX(Calc!$L:$L,MATCH(IF(A78="","",A78&amp;"|Reel"),Calc!$AN:$AN,0)),""))</f>
        <v/>
      </c>
      <c r="J78" s="61" t="str">
        <f t="array" ref="J78">IF(A78="","",IFERROR(INDEX(Calc!$M:$M,MATCH(IF(A78="","",A78&amp;"|Reel"),Calc!$AN:$AN,0)),""))</f>
        <v/>
      </c>
      <c r="K78" s="61" t="str">
        <f t="array" ref="K78">IF(A78="","",IFERROR(INDEX(Calc!$N:$N,MATCH(IF(A78="","",A78&amp;"|Reel"),Calc!$AN:$AN,0)),""))</f>
        <v/>
      </c>
      <c r="L78" s="62" t="str">
        <f t="array" ref="L78">IF(A78="","",IFERROR(INDEX(Calc!$AI:$AI,MATCH(IF(A78="","",A78&amp;"|Reel"),Calc!$AN:$AN,0)),""))</f>
        <v/>
      </c>
    </row>
    <row r="79" ht="15.75" customHeight="1">
      <c r="A79" s="60" t="str">
        <f>IF(IFERROR(AGGREGATE(14,6,(Calc!$AP$2:$AP$501)/((Calc!$AM$2:$AM$501=1)*(Calc!$G$2:$G$501="Reel")),5),"")="","",LEFT(TEXT(IFERROR(AGGREGATE(14,6,(Calc!$AP$2:$AP$501)/((Calc!$AM$2:$AM$501=1)*(Calc!$G$2:$G$501="Reel")),5),""),"000000"),4)&amp;"-"&amp;RIGHT(TEXT(IFERROR(AGGREGATE(14,6,(Calc!$AP$2:$AP$501)/((Calc!$AM$2:$AM$501=1)*(Calc!$G$2:$G$501="Reel")),5),""),"000000"),2))</f>
        <v/>
      </c>
      <c r="B79" s="60" t="str">
        <f t="array" ref="B79">IF(A79="","",IFERROR(INDEX(Calc!$E:$E,MATCH(IF(A79="","",A79&amp;"|Reel"),Calc!$AN:$AN,0)),""))</f>
        <v/>
      </c>
      <c r="C79" s="60" t="str">
        <f t="array" ref="C79">IF(A79="","",IFERROR(INDEX(Calc!$D:$D,MATCH(IF(A79="","",A79&amp;"|Reel"),Calc!$AN:$AN,0)),""))</f>
        <v/>
      </c>
      <c r="D79" s="60" t="str">
        <f t="array" ref="D79">IF(A79="","",IFERROR(INDEX(Calc!$F:$F,MATCH(IF(A79="","",A79&amp;"|Reel"),Calc!$AN:$AN,0)),""))</f>
        <v/>
      </c>
      <c r="E79" s="60" t="str">
        <f t="array" ref="E79">IF(A79="","",IFERROR(INDEX(Calc!$H:$H,MATCH(IF(A79="","",A79&amp;"|Reel"),Calc!$AN:$AN,0)),""))</f>
        <v/>
      </c>
      <c r="F79" s="61" t="str">
        <f t="array" ref="F79">IF(A79="","",IFERROR(INDEX(Calc!$I:$I,MATCH(IF(A79="","",A79&amp;"|Reel"),Calc!$AN:$AN,0)),""))</f>
        <v/>
      </c>
      <c r="G79" s="61" t="str">
        <f t="array" ref="G79">IF(A79="","",IFERROR(INDEX(Calc!$J:$J,MATCH(IF(A79="","",A79&amp;"|Reel"),Calc!$AN:$AN,0)),""))</f>
        <v/>
      </c>
      <c r="H79" s="61" t="str">
        <f t="array" ref="H79">IF(A79="","",IFERROR(INDEX(Calc!$K:$K,MATCH(IF(A79="","",A79&amp;"|Reel"),Calc!$AN:$AN,0)),""))</f>
        <v/>
      </c>
      <c r="I79" s="61" t="str">
        <f t="array" ref="I79">IF(A79="","",IFERROR(INDEX(Calc!$L:$L,MATCH(IF(A79="","",A79&amp;"|Reel"),Calc!$AN:$AN,0)),""))</f>
        <v/>
      </c>
      <c r="J79" s="61" t="str">
        <f t="array" ref="J79">IF(A79="","",IFERROR(INDEX(Calc!$M:$M,MATCH(IF(A79="","",A79&amp;"|Reel"),Calc!$AN:$AN,0)),""))</f>
        <v/>
      </c>
      <c r="K79" s="61" t="str">
        <f t="array" ref="K79">IF(A79="","",IFERROR(INDEX(Calc!$N:$N,MATCH(IF(A79="","",A79&amp;"|Reel"),Calc!$AN:$AN,0)),""))</f>
        <v/>
      </c>
      <c r="L79" s="62" t="str">
        <f t="array" ref="L79">IF(A79="","",IFERROR(INDEX(Calc!$AI:$AI,MATCH(IF(A79="","",A79&amp;"|Reel"),Calc!$AN:$AN,0)),""))</f>
        <v/>
      </c>
    </row>
    <row r="80" ht="15.75" customHeight="1">
      <c r="A80" s="60" t="str">
        <f>IF(IFERROR(AGGREGATE(14,6,(Calc!$AP$2:$AP$501)/((Calc!$AM$2:$AM$501=1)*(Calc!$G$2:$G$501="Reel")),6),"")="","",LEFT(TEXT(IFERROR(AGGREGATE(14,6,(Calc!$AP$2:$AP$501)/((Calc!$AM$2:$AM$501=1)*(Calc!$G$2:$G$501="Reel")),6),""),"000000"),4)&amp;"-"&amp;RIGHT(TEXT(IFERROR(AGGREGATE(14,6,(Calc!$AP$2:$AP$501)/((Calc!$AM$2:$AM$501=1)*(Calc!$G$2:$G$501="Reel")),6),""),"000000"),2))</f>
        <v/>
      </c>
      <c r="B80" s="60" t="str">
        <f t="array" ref="B80">IF(A80="","",IFERROR(INDEX(Calc!$E:$E,MATCH(IF(A80="","",A80&amp;"|Reel"),Calc!$AN:$AN,0)),""))</f>
        <v/>
      </c>
      <c r="C80" s="60" t="str">
        <f t="array" ref="C80">IF(A80="","",IFERROR(INDEX(Calc!$D:$D,MATCH(IF(A80="","",A80&amp;"|Reel"),Calc!$AN:$AN,0)),""))</f>
        <v/>
      </c>
      <c r="D80" s="60" t="str">
        <f t="array" ref="D80">IF(A80="","",IFERROR(INDEX(Calc!$F:$F,MATCH(IF(A80="","",A80&amp;"|Reel"),Calc!$AN:$AN,0)),""))</f>
        <v/>
      </c>
      <c r="E80" s="60" t="str">
        <f t="array" ref="E80">IF(A80="","",IFERROR(INDEX(Calc!$H:$H,MATCH(IF(A80="","",A80&amp;"|Reel"),Calc!$AN:$AN,0)),""))</f>
        <v/>
      </c>
      <c r="F80" s="61" t="str">
        <f t="array" ref="F80">IF(A80="","",IFERROR(INDEX(Calc!$I:$I,MATCH(IF(A80="","",A80&amp;"|Reel"),Calc!$AN:$AN,0)),""))</f>
        <v/>
      </c>
      <c r="G80" s="61" t="str">
        <f t="array" ref="G80">IF(A80="","",IFERROR(INDEX(Calc!$J:$J,MATCH(IF(A80="","",A80&amp;"|Reel"),Calc!$AN:$AN,0)),""))</f>
        <v/>
      </c>
      <c r="H80" s="61" t="str">
        <f t="array" ref="H80">IF(A80="","",IFERROR(INDEX(Calc!$K:$K,MATCH(IF(A80="","",A80&amp;"|Reel"),Calc!$AN:$AN,0)),""))</f>
        <v/>
      </c>
      <c r="I80" s="61" t="str">
        <f t="array" ref="I80">IF(A80="","",IFERROR(INDEX(Calc!$L:$L,MATCH(IF(A80="","",A80&amp;"|Reel"),Calc!$AN:$AN,0)),""))</f>
        <v/>
      </c>
      <c r="J80" s="61" t="str">
        <f t="array" ref="J80">IF(A80="","",IFERROR(INDEX(Calc!$M:$M,MATCH(IF(A80="","",A80&amp;"|Reel"),Calc!$AN:$AN,0)),""))</f>
        <v/>
      </c>
      <c r="K80" s="61" t="str">
        <f t="array" ref="K80">IF(A80="","",IFERROR(INDEX(Calc!$N:$N,MATCH(IF(A80="","",A80&amp;"|Reel"),Calc!$AN:$AN,0)),""))</f>
        <v/>
      </c>
      <c r="L80" s="62" t="str">
        <f t="array" ref="L80">IF(A80="","",IFERROR(INDEX(Calc!$AI:$AI,MATCH(IF(A80="","",A80&amp;"|Reel"),Calc!$AN:$AN,0)),""))</f>
        <v/>
      </c>
    </row>
    <row r="81" ht="15.75" customHeight="1">
      <c r="A81" s="60" t="str">
        <f>IF(IFERROR(AGGREGATE(14,6,(Calc!$AP$2:$AP$501)/((Calc!$AM$2:$AM$501=1)*(Calc!$G$2:$G$501="Reel")),7),"")="","",LEFT(TEXT(IFERROR(AGGREGATE(14,6,(Calc!$AP$2:$AP$501)/((Calc!$AM$2:$AM$501=1)*(Calc!$G$2:$G$501="Reel")),7),""),"000000"),4)&amp;"-"&amp;RIGHT(TEXT(IFERROR(AGGREGATE(14,6,(Calc!$AP$2:$AP$501)/((Calc!$AM$2:$AM$501=1)*(Calc!$G$2:$G$501="Reel")),7),""),"000000"),2))</f>
        <v/>
      </c>
      <c r="B81" s="60" t="str">
        <f t="array" ref="B81">IF(A81="","",IFERROR(INDEX(Calc!$E:$E,MATCH(IF(A81="","",A81&amp;"|Reel"),Calc!$AN:$AN,0)),""))</f>
        <v/>
      </c>
      <c r="C81" s="60" t="str">
        <f t="array" ref="C81">IF(A81="","",IFERROR(INDEX(Calc!$D:$D,MATCH(IF(A81="","",A81&amp;"|Reel"),Calc!$AN:$AN,0)),""))</f>
        <v/>
      </c>
      <c r="D81" s="60" t="str">
        <f t="array" ref="D81">IF(A81="","",IFERROR(INDEX(Calc!$F:$F,MATCH(IF(A81="","",A81&amp;"|Reel"),Calc!$AN:$AN,0)),""))</f>
        <v/>
      </c>
      <c r="E81" s="60" t="str">
        <f t="array" ref="E81">IF(A81="","",IFERROR(INDEX(Calc!$H:$H,MATCH(IF(A81="","",A81&amp;"|Reel"),Calc!$AN:$AN,0)),""))</f>
        <v/>
      </c>
      <c r="F81" s="61" t="str">
        <f t="array" ref="F81">IF(A81="","",IFERROR(INDEX(Calc!$I:$I,MATCH(IF(A81="","",A81&amp;"|Reel"),Calc!$AN:$AN,0)),""))</f>
        <v/>
      </c>
      <c r="G81" s="61" t="str">
        <f t="array" ref="G81">IF(A81="","",IFERROR(INDEX(Calc!$J:$J,MATCH(IF(A81="","",A81&amp;"|Reel"),Calc!$AN:$AN,0)),""))</f>
        <v/>
      </c>
      <c r="H81" s="61" t="str">
        <f t="array" ref="H81">IF(A81="","",IFERROR(INDEX(Calc!$K:$K,MATCH(IF(A81="","",A81&amp;"|Reel"),Calc!$AN:$AN,0)),""))</f>
        <v/>
      </c>
      <c r="I81" s="61" t="str">
        <f t="array" ref="I81">IF(A81="","",IFERROR(INDEX(Calc!$L:$L,MATCH(IF(A81="","",A81&amp;"|Reel"),Calc!$AN:$AN,0)),""))</f>
        <v/>
      </c>
      <c r="J81" s="61" t="str">
        <f t="array" ref="J81">IF(A81="","",IFERROR(INDEX(Calc!$M:$M,MATCH(IF(A81="","",A81&amp;"|Reel"),Calc!$AN:$AN,0)),""))</f>
        <v/>
      </c>
      <c r="K81" s="61" t="str">
        <f t="array" ref="K81">IF(A81="","",IFERROR(INDEX(Calc!$N:$N,MATCH(IF(A81="","",A81&amp;"|Reel"),Calc!$AN:$AN,0)),""))</f>
        <v/>
      </c>
      <c r="L81" s="62" t="str">
        <f t="array" ref="L81">IF(A81="","",IFERROR(INDEX(Calc!$AI:$AI,MATCH(IF(A81="","",A81&amp;"|Reel"),Calc!$AN:$AN,0)),""))</f>
        <v/>
      </c>
    </row>
    <row r="82" ht="15.75" customHeight="1">
      <c r="A82" s="60" t="str">
        <f>IF(IFERROR(AGGREGATE(14,6,(Calc!$AP$2:$AP$501)/((Calc!$AM$2:$AM$501=1)*(Calc!$G$2:$G$501="Reel")),8),"")="","",LEFT(TEXT(IFERROR(AGGREGATE(14,6,(Calc!$AP$2:$AP$501)/((Calc!$AM$2:$AM$501=1)*(Calc!$G$2:$G$501="Reel")),8),""),"000000"),4)&amp;"-"&amp;RIGHT(TEXT(IFERROR(AGGREGATE(14,6,(Calc!$AP$2:$AP$501)/((Calc!$AM$2:$AM$501=1)*(Calc!$G$2:$G$501="Reel")),8),""),"000000"),2))</f>
        <v/>
      </c>
      <c r="B82" s="60" t="str">
        <f t="array" ref="B82">IF(A82="","",IFERROR(INDEX(Calc!$E:$E,MATCH(IF(A82="","",A82&amp;"|Reel"),Calc!$AN:$AN,0)),""))</f>
        <v/>
      </c>
      <c r="C82" s="60" t="str">
        <f t="array" ref="C82">IF(A82="","",IFERROR(INDEX(Calc!$D:$D,MATCH(IF(A82="","",A82&amp;"|Reel"),Calc!$AN:$AN,0)),""))</f>
        <v/>
      </c>
      <c r="D82" s="60" t="str">
        <f t="array" ref="D82">IF(A82="","",IFERROR(INDEX(Calc!$F:$F,MATCH(IF(A82="","",A82&amp;"|Reel"),Calc!$AN:$AN,0)),""))</f>
        <v/>
      </c>
      <c r="E82" s="60" t="str">
        <f t="array" ref="E82">IF(A82="","",IFERROR(INDEX(Calc!$H:$H,MATCH(IF(A82="","",A82&amp;"|Reel"),Calc!$AN:$AN,0)),""))</f>
        <v/>
      </c>
      <c r="F82" s="61" t="str">
        <f t="array" ref="F82">IF(A82="","",IFERROR(INDEX(Calc!$I:$I,MATCH(IF(A82="","",A82&amp;"|Reel"),Calc!$AN:$AN,0)),""))</f>
        <v/>
      </c>
      <c r="G82" s="61" t="str">
        <f t="array" ref="G82">IF(A82="","",IFERROR(INDEX(Calc!$J:$J,MATCH(IF(A82="","",A82&amp;"|Reel"),Calc!$AN:$AN,0)),""))</f>
        <v/>
      </c>
      <c r="H82" s="61" t="str">
        <f t="array" ref="H82">IF(A82="","",IFERROR(INDEX(Calc!$K:$K,MATCH(IF(A82="","",A82&amp;"|Reel"),Calc!$AN:$AN,0)),""))</f>
        <v/>
      </c>
      <c r="I82" s="61" t="str">
        <f t="array" ref="I82">IF(A82="","",IFERROR(INDEX(Calc!$L:$L,MATCH(IF(A82="","",A82&amp;"|Reel"),Calc!$AN:$AN,0)),""))</f>
        <v/>
      </c>
      <c r="J82" s="61" t="str">
        <f t="array" ref="J82">IF(A82="","",IFERROR(INDEX(Calc!$M:$M,MATCH(IF(A82="","",A82&amp;"|Reel"),Calc!$AN:$AN,0)),""))</f>
        <v/>
      </c>
      <c r="K82" s="61" t="str">
        <f t="array" ref="K82">IF(A82="","",IFERROR(INDEX(Calc!$N:$N,MATCH(IF(A82="","",A82&amp;"|Reel"),Calc!$AN:$AN,0)),""))</f>
        <v/>
      </c>
      <c r="L82" s="62" t="str">
        <f t="array" ref="L82">IF(A82="","",IFERROR(INDEX(Calc!$AI:$AI,MATCH(IF(A82="","",A82&amp;"|Reel"),Calc!$AN:$AN,0)),""))</f>
        <v/>
      </c>
    </row>
    <row r="83" ht="15.75" customHeight="1">
      <c r="A83" s="60" t="str">
        <f>IF(IFERROR(AGGREGATE(14,6,(Calc!$AP$2:$AP$501)/((Calc!$AM$2:$AM$501=1)*(Calc!$G$2:$G$501="Reel")),9),"")="","",LEFT(TEXT(IFERROR(AGGREGATE(14,6,(Calc!$AP$2:$AP$501)/((Calc!$AM$2:$AM$501=1)*(Calc!$G$2:$G$501="Reel")),9),""),"000000"),4)&amp;"-"&amp;RIGHT(TEXT(IFERROR(AGGREGATE(14,6,(Calc!$AP$2:$AP$501)/((Calc!$AM$2:$AM$501=1)*(Calc!$G$2:$G$501="Reel")),9),""),"000000"),2))</f>
        <v/>
      </c>
      <c r="B83" s="60" t="str">
        <f t="array" ref="B83">IF(A83="","",IFERROR(INDEX(Calc!$E:$E,MATCH(IF(A83="","",A83&amp;"|Reel"),Calc!$AN:$AN,0)),""))</f>
        <v/>
      </c>
      <c r="C83" s="60" t="str">
        <f t="array" ref="C83">IF(A83="","",IFERROR(INDEX(Calc!$D:$D,MATCH(IF(A83="","",A83&amp;"|Reel"),Calc!$AN:$AN,0)),""))</f>
        <v/>
      </c>
      <c r="D83" s="60" t="str">
        <f t="array" ref="D83">IF(A83="","",IFERROR(INDEX(Calc!$F:$F,MATCH(IF(A83="","",A83&amp;"|Reel"),Calc!$AN:$AN,0)),""))</f>
        <v/>
      </c>
      <c r="E83" s="60" t="str">
        <f t="array" ref="E83">IF(A83="","",IFERROR(INDEX(Calc!$H:$H,MATCH(IF(A83="","",A83&amp;"|Reel"),Calc!$AN:$AN,0)),""))</f>
        <v/>
      </c>
      <c r="F83" s="61" t="str">
        <f t="array" ref="F83">IF(A83="","",IFERROR(INDEX(Calc!$I:$I,MATCH(IF(A83="","",A83&amp;"|Reel"),Calc!$AN:$AN,0)),""))</f>
        <v/>
      </c>
      <c r="G83" s="61" t="str">
        <f t="array" ref="G83">IF(A83="","",IFERROR(INDEX(Calc!$J:$J,MATCH(IF(A83="","",A83&amp;"|Reel"),Calc!$AN:$AN,0)),""))</f>
        <v/>
      </c>
      <c r="H83" s="61" t="str">
        <f t="array" ref="H83">IF(A83="","",IFERROR(INDEX(Calc!$K:$K,MATCH(IF(A83="","",A83&amp;"|Reel"),Calc!$AN:$AN,0)),""))</f>
        <v/>
      </c>
      <c r="I83" s="61" t="str">
        <f t="array" ref="I83">IF(A83="","",IFERROR(INDEX(Calc!$L:$L,MATCH(IF(A83="","",A83&amp;"|Reel"),Calc!$AN:$AN,0)),""))</f>
        <v/>
      </c>
      <c r="J83" s="61" t="str">
        <f t="array" ref="J83">IF(A83="","",IFERROR(INDEX(Calc!$M:$M,MATCH(IF(A83="","",A83&amp;"|Reel"),Calc!$AN:$AN,0)),""))</f>
        <v/>
      </c>
      <c r="K83" s="61" t="str">
        <f t="array" ref="K83">IF(A83="","",IFERROR(INDEX(Calc!$N:$N,MATCH(IF(A83="","",A83&amp;"|Reel"),Calc!$AN:$AN,0)),""))</f>
        <v/>
      </c>
      <c r="L83" s="62" t="str">
        <f t="array" ref="L83">IF(A83="","",IFERROR(INDEX(Calc!$AI:$AI,MATCH(IF(A83="","",A83&amp;"|Reel"),Calc!$AN:$AN,0)),""))</f>
        <v/>
      </c>
    </row>
    <row r="84" ht="15.75" customHeight="1">
      <c r="A84" s="60" t="str">
        <f>IF(IFERROR(AGGREGATE(14,6,(Calc!$AP$2:$AP$501)/((Calc!$AM$2:$AM$501=1)*(Calc!$G$2:$G$501="Reel")),10),"")="","",LEFT(TEXT(IFERROR(AGGREGATE(14,6,(Calc!$AP$2:$AP$501)/((Calc!$AM$2:$AM$501=1)*(Calc!$G$2:$G$501="Reel")),10),""),"000000"),4)&amp;"-"&amp;RIGHT(TEXT(IFERROR(AGGREGATE(14,6,(Calc!$AP$2:$AP$501)/((Calc!$AM$2:$AM$501=1)*(Calc!$G$2:$G$501="Reel")),10),""),"000000"),2))</f>
        <v/>
      </c>
      <c r="B84" s="60" t="str">
        <f t="array" ref="B84">IF(A84="","",IFERROR(INDEX(Calc!$E:$E,MATCH(IF(A84="","",A84&amp;"|Reel"),Calc!$AN:$AN,0)),""))</f>
        <v/>
      </c>
      <c r="C84" s="60" t="str">
        <f t="array" ref="C84">IF(A84="","",IFERROR(INDEX(Calc!$D:$D,MATCH(IF(A84="","",A84&amp;"|Reel"),Calc!$AN:$AN,0)),""))</f>
        <v/>
      </c>
      <c r="D84" s="60" t="str">
        <f t="array" ref="D84">IF(A84="","",IFERROR(INDEX(Calc!$F:$F,MATCH(IF(A84="","",A84&amp;"|Reel"),Calc!$AN:$AN,0)),""))</f>
        <v/>
      </c>
      <c r="E84" s="60" t="str">
        <f t="array" ref="E84">IF(A84="","",IFERROR(INDEX(Calc!$H:$H,MATCH(IF(A84="","",A84&amp;"|Reel"),Calc!$AN:$AN,0)),""))</f>
        <v/>
      </c>
      <c r="F84" s="61" t="str">
        <f t="array" ref="F84">IF(A84="","",IFERROR(INDEX(Calc!$I:$I,MATCH(IF(A84="","",A84&amp;"|Reel"),Calc!$AN:$AN,0)),""))</f>
        <v/>
      </c>
      <c r="G84" s="61" t="str">
        <f t="array" ref="G84">IF(A84="","",IFERROR(INDEX(Calc!$J:$J,MATCH(IF(A84="","",A84&amp;"|Reel"),Calc!$AN:$AN,0)),""))</f>
        <v/>
      </c>
      <c r="H84" s="61" t="str">
        <f t="array" ref="H84">IF(A84="","",IFERROR(INDEX(Calc!$K:$K,MATCH(IF(A84="","",A84&amp;"|Reel"),Calc!$AN:$AN,0)),""))</f>
        <v/>
      </c>
      <c r="I84" s="61" t="str">
        <f t="array" ref="I84">IF(A84="","",IFERROR(INDEX(Calc!$L:$L,MATCH(IF(A84="","",A84&amp;"|Reel"),Calc!$AN:$AN,0)),""))</f>
        <v/>
      </c>
      <c r="J84" s="61" t="str">
        <f t="array" ref="J84">IF(A84="","",IFERROR(INDEX(Calc!$M:$M,MATCH(IF(A84="","",A84&amp;"|Reel"),Calc!$AN:$AN,0)),""))</f>
        <v/>
      </c>
      <c r="K84" s="61" t="str">
        <f t="array" ref="K84">IF(A84="","",IFERROR(INDEX(Calc!$N:$N,MATCH(IF(A84="","",A84&amp;"|Reel"),Calc!$AN:$AN,0)),""))</f>
        <v/>
      </c>
      <c r="L84" s="62" t="str">
        <f t="array" ref="L84">IF(A84="","",IFERROR(INDEX(Calc!$AI:$AI,MATCH(IF(A84="","",A84&amp;"|Reel"),Calc!$AN:$AN,0)),""))</f>
        <v/>
      </c>
    </row>
    <row r="85" ht="15.75" customHeight="1">
      <c r="A85" s="60" t="str">
        <f>IF(IFERROR(AGGREGATE(14,6,(Calc!$AP$2:$AP$501)/((Calc!$AM$2:$AM$501=1)*(Calc!$G$2:$G$501="Reel")),11),"")="","",LEFT(TEXT(IFERROR(AGGREGATE(14,6,(Calc!$AP$2:$AP$501)/((Calc!$AM$2:$AM$501=1)*(Calc!$G$2:$G$501="Reel")),11),""),"000000"),4)&amp;"-"&amp;RIGHT(TEXT(IFERROR(AGGREGATE(14,6,(Calc!$AP$2:$AP$501)/((Calc!$AM$2:$AM$501=1)*(Calc!$G$2:$G$501="Reel")),11),""),"000000"),2))</f>
        <v/>
      </c>
      <c r="B85" s="60" t="str">
        <f t="array" ref="B85">IF(A85="","",IFERROR(INDEX(Calc!$E:$E,MATCH(IF(A85="","",A85&amp;"|Reel"),Calc!$AN:$AN,0)),""))</f>
        <v/>
      </c>
      <c r="C85" s="60" t="str">
        <f t="array" ref="C85">IF(A85="","",IFERROR(INDEX(Calc!$D:$D,MATCH(IF(A85="","",A85&amp;"|Reel"),Calc!$AN:$AN,0)),""))</f>
        <v/>
      </c>
      <c r="D85" s="60" t="str">
        <f t="array" ref="D85">IF(A85="","",IFERROR(INDEX(Calc!$F:$F,MATCH(IF(A85="","",A85&amp;"|Reel"),Calc!$AN:$AN,0)),""))</f>
        <v/>
      </c>
      <c r="E85" s="60" t="str">
        <f t="array" ref="E85">IF(A85="","",IFERROR(INDEX(Calc!$H:$H,MATCH(IF(A85="","",A85&amp;"|Reel"),Calc!$AN:$AN,0)),""))</f>
        <v/>
      </c>
      <c r="F85" s="61" t="str">
        <f t="array" ref="F85">IF(A85="","",IFERROR(INDEX(Calc!$I:$I,MATCH(IF(A85="","",A85&amp;"|Reel"),Calc!$AN:$AN,0)),""))</f>
        <v/>
      </c>
      <c r="G85" s="61" t="str">
        <f t="array" ref="G85">IF(A85="","",IFERROR(INDEX(Calc!$J:$J,MATCH(IF(A85="","",A85&amp;"|Reel"),Calc!$AN:$AN,0)),""))</f>
        <v/>
      </c>
      <c r="H85" s="61" t="str">
        <f t="array" ref="H85">IF(A85="","",IFERROR(INDEX(Calc!$K:$K,MATCH(IF(A85="","",A85&amp;"|Reel"),Calc!$AN:$AN,0)),""))</f>
        <v/>
      </c>
      <c r="I85" s="61" t="str">
        <f t="array" ref="I85">IF(A85="","",IFERROR(INDEX(Calc!$L:$L,MATCH(IF(A85="","",A85&amp;"|Reel"),Calc!$AN:$AN,0)),""))</f>
        <v/>
      </c>
      <c r="J85" s="61" t="str">
        <f t="array" ref="J85">IF(A85="","",IFERROR(INDEX(Calc!$M:$M,MATCH(IF(A85="","",A85&amp;"|Reel"),Calc!$AN:$AN,0)),""))</f>
        <v/>
      </c>
      <c r="K85" s="61" t="str">
        <f t="array" ref="K85">IF(A85="","",IFERROR(INDEX(Calc!$N:$N,MATCH(IF(A85="","",A85&amp;"|Reel"),Calc!$AN:$AN,0)),""))</f>
        <v/>
      </c>
      <c r="L85" s="62" t="str">
        <f t="array" ref="L85">IF(A85="","",IFERROR(INDEX(Calc!$AI:$AI,MATCH(IF(A85="","",A85&amp;"|Reel"),Calc!$AN:$AN,0)),""))</f>
        <v/>
      </c>
    </row>
    <row r="86" ht="15.75" customHeight="1">
      <c r="A86" s="60" t="str">
        <f>IF(IFERROR(AGGREGATE(14,6,(Calc!$AP$2:$AP$501)/((Calc!$AM$2:$AM$501=1)*(Calc!$G$2:$G$501="Reel")),12),"")="","",LEFT(TEXT(IFERROR(AGGREGATE(14,6,(Calc!$AP$2:$AP$501)/((Calc!$AM$2:$AM$501=1)*(Calc!$G$2:$G$501="Reel")),12),""),"000000"),4)&amp;"-"&amp;RIGHT(TEXT(IFERROR(AGGREGATE(14,6,(Calc!$AP$2:$AP$501)/((Calc!$AM$2:$AM$501=1)*(Calc!$G$2:$G$501="Reel")),12),""),"000000"),2))</f>
        <v/>
      </c>
      <c r="B86" s="60" t="str">
        <f t="array" ref="B86">IF(A86="","",IFERROR(INDEX(Calc!$E:$E,MATCH(IF(A86="","",A86&amp;"|Reel"),Calc!$AN:$AN,0)),""))</f>
        <v/>
      </c>
      <c r="C86" s="60" t="str">
        <f t="array" ref="C86">IF(A86="","",IFERROR(INDEX(Calc!$D:$D,MATCH(IF(A86="","",A86&amp;"|Reel"),Calc!$AN:$AN,0)),""))</f>
        <v/>
      </c>
      <c r="D86" s="60" t="str">
        <f t="array" ref="D86">IF(A86="","",IFERROR(INDEX(Calc!$F:$F,MATCH(IF(A86="","",A86&amp;"|Reel"),Calc!$AN:$AN,0)),""))</f>
        <v/>
      </c>
      <c r="E86" s="60" t="str">
        <f t="array" ref="E86">IF(A86="","",IFERROR(INDEX(Calc!$H:$H,MATCH(IF(A86="","",A86&amp;"|Reel"),Calc!$AN:$AN,0)),""))</f>
        <v/>
      </c>
      <c r="F86" s="61" t="str">
        <f t="array" ref="F86">IF(A86="","",IFERROR(INDEX(Calc!$I:$I,MATCH(IF(A86="","",A86&amp;"|Reel"),Calc!$AN:$AN,0)),""))</f>
        <v/>
      </c>
      <c r="G86" s="61" t="str">
        <f t="array" ref="G86">IF(A86="","",IFERROR(INDEX(Calc!$J:$J,MATCH(IF(A86="","",A86&amp;"|Reel"),Calc!$AN:$AN,0)),""))</f>
        <v/>
      </c>
      <c r="H86" s="61" t="str">
        <f t="array" ref="H86">IF(A86="","",IFERROR(INDEX(Calc!$K:$K,MATCH(IF(A86="","",A86&amp;"|Reel"),Calc!$AN:$AN,0)),""))</f>
        <v/>
      </c>
      <c r="I86" s="61" t="str">
        <f t="array" ref="I86">IF(A86="","",IFERROR(INDEX(Calc!$L:$L,MATCH(IF(A86="","",A86&amp;"|Reel"),Calc!$AN:$AN,0)),""))</f>
        <v/>
      </c>
      <c r="J86" s="61" t="str">
        <f t="array" ref="J86">IF(A86="","",IFERROR(INDEX(Calc!$M:$M,MATCH(IF(A86="","",A86&amp;"|Reel"),Calc!$AN:$AN,0)),""))</f>
        <v/>
      </c>
      <c r="K86" s="61" t="str">
        <f t="array" ref="K86">IF(A86="","",IFERROR(INDEX(Calc!$N:$N,MATCH(IF(A86="","",A86&amp;"|Reel"),Calc!$AN:$AN,0)),""))</f>
        <v/>
      </c>
      <c r="L86" s="62" t="str">
        <f t="array" ref="L86">IF(A86="","",IFERROR(INDEX(Calc!$AI:$AI,MATCH(IF(A86="","",A86&amp;"|Reel"),Calc!$AN:$AN,0)),""))</f>
        <v/>
      </c>
    </row>
    <row r="87" ht="15.75" customHeight="1">
      <c r="A87" s="60" t="str">
        <f>IF(IFERROR(AGGREGATE(14,6,(Calc!$AP$2:$AP$501)/((Calc!$AM$2:$AM$501=1)*(Calc!$G$2:$G$501="Reel")),13),"")="","",LEFT(TEXT(IFERROR(AGGREGATE(14,6,(Calc!$AP$2:$AP$501)/((Calc!$AM$2:$AM$501=1)*(Calc!$G$2:$G$501="Reel")),13),""),"000000"),4)&amp;"-"&amp;RIGHT(TEXT(IFERROR(AGGREGATE(14,6,(Calc!$AP$2:$AP$501)/((Calc!$AM$2:$AM$501=1)*(Calc!$G$2:$G$501="Reel")),13),""),"000000"),2))</f>
        <v/>
      </c>
      <c r="B87" s="60" t="str">
        <f t="array" ref="B87">IF(A87="","",IFERROR(INDEX(Calc!$E:$E,MATCH(IF(A87="","",A87&amp;"|Reel"),Calc!$AN:$AN,0)),""))</f>
        <v/>
      </c>
      <c r="C87" s="60" t="str">
        <f t="array" ref="C87">IF(A87="","",IFERROR(INDEX(Calc!$D:$D,MATCH(IF(A87="","",A87&amp;"|Reel"),Calc!$AN:$AN,0)),""))</f>
        <v/>
      </c>
      <c r="D87" s="60" t="str">
        <f t="array" ref="D87">IF(A87="","",IFERROR(INDEX(Calc!$F:$F,MATCH(IF(A87="","",A87&amp;"|Reel"),Calc!$AN:$AN,0)),""))</f>
        <v/>
      </c>
      <c r="E87" s="60" t="str">
        <f t="array" ref="E87">IF(A87="","",IFERROR(INDEX(Calc!$H:$H,MATCH(IF(A87="","",A87&amp;"|Reel"),Calc!$AN:$AN,0)),""))</f>
        <v/>
      </c>
      <c r="F87" s="61" t="str">
        <f t="array" ref="F87">IF(A87="","",IFERROR(INDEX(Calc!$I:$I,MATCH(IF(A87="","",A87&amp;"|Reel"),Calc!$AN:$AN,0)),""))</f>
        <v/>
      </c>
      <c r="G87" s="61" t="str">
        <f t="array" ref="G87">IF(A87="","",IFERROR(INDEX(Calc!$J:$J,MATCH(IF(A87="","",A87&amp;"|Reel"),Calc!$AN:$AN,0)),""))</f>
        <v/>
      </c>
      <c r="H87" s="61" t="str">
        <f t="array" ref="H87">IF(A87="","",IFERROR(INDEX(Calc!$K:$K,MATCH(IF(A87="","",A87&amp;"|Reel"),Calc!$AN:$AN,0)),""))</f>
        <v/>
      </c>
      <c r="I87" s="61" t="str">
        <f t="array" ref="I87">IF(A87="","",IFERROR(INDEX(Calc!$L:$L,MATCH(IF(A87="","",A87&amp;"|Reel"),Calc!$AN:$AN,0)),""))</f>
        <v/>
      </c>
      <c r="J87" s="61" t="str">
        <f t="array" ref="J87">IF(A87="","",IFERROR(INDEX(Calc!$M:$M,MATCH(IF(A87="","",A87&amp;"|Reel"),Calc!$AN:$AN,0)),""))</f>
        <v/>
      </c>
      <c r="K87" s="61" t="str">
        <f t="array" ref="K87">IF(A87="","",IFERROR(INDEX(Calc!$N:$N,MATCH(IF(A87="","",A87&amp;"|Reel"),Calc!$AN:$AN,0)),""))</f>
        <v/>
      </c>
      <c r="L87" s="62" t="str">
        <f t="array" ref="L87">IF(A87="","",IFERROR(INDEX(Calc!$AI:$AI,MATCH(IF(A87="","",A87&amp;"|Reel"),Calc!$AN:$AN,0)),""))</f>
        <v/>
      </c>
    </row>
    <row r="88" ht="15.75" customHeight="1">
      <c r="A88" s="60" t="str">
        <f>IF(IFERROR(AGGREGATE(14,6,(Calc!$AP$2:$AP$501)/((Calc!$AM$2:$AM$501=1)*(Calc!$G$2:$G$501="Reel")),14),"")="","",LEFT(TEXT(IFERROR(AGGREGATE(14,6,(Calc!$AP$2:$AP$501)/((Calc!$AM$2:$AM$501=1)*(Calc!$G$2:$G$501="Reel")),14),""),"000000"),4)&amp;"-"&amp;RIGHT(TEXT(IFERROR(AGGREGATE(14,6,(Calc!$AP$2:$AP$501)/((Calc!$AM$2:$AM$501=1)*(Calc!$G$2:$G$501="Reel")),14),""),"000000"),2))</f>
        <v/>
      </c>
      <c r="B88" s="60" t="str">
        <f t="array" ref="B88">IF(A88="","",IFERROR(INDEX(Calc!$E:$E,MATCH(IF(A88="","",A88&amp;"|Reel"),Calc!$AN:$AN,0)),""))</f>
        <v/>
      </c>
      <c r="C88" s="60" t="str">
        <f t="array" ref="C88">IF(A88="","",IFERROR(INDEX(Calc!$D:$D,MATCH(IF(A88="","",A88&amp;"|Reel"),Calc!$AN:$AN,0)),""))</f>
        <v/>
      </c>
      <c r="D88" s="60" t="str">
        <f t="array" ref="D88">IF(A88="","",IFERROR(INDEX(Calc!$F:$F,MATCH(IF(A88="","",A88&amp;"|Reel"),Calc!$AN:$AN,0)),""))</f>
        <v/>
      </c>
      <c r="E88" s="60" t="str">
        <f t="array" ref="E88">IF(A88="","",IFERROR(INDEX(Calc!$H:$H,MATCH(IF(A88="","",A88&amp;"|Reel"),Calc!$AN:$AN,0)),""))</f>
        <v/>
      </c>
      <c r="F88" s="61" t="str">
        <f t="array" ref="F88">IF(A88="","",IFERROR(INDEX(Calc!$I:$I,MATCH(IF(A88="","",A88&amp;"|Reel"),Calc!$AN:$AN,0)),""))</f>
        <v/>
      </c>
      <c r="G88" s="61" t="str">
        <f t="array" ref="G88">IF(A88="","",IFERROR(INDEX(Calc!$J:$J,MATCH(IF(A88="","",A88&amp;"|Reel"),Calc!$AN:$AN,0)),""))</f>
        <v/>
      </c>
      <c r="H88" s="61" t="str">
        <f t="array" ref="H88">IF(A88="","",IFERROR(INDEX(Calc!$K:$K,MATCH(IF(A88="","",A88&amp;"|Reel"),Calc!$AN:$AN,0)),""))</f>
        <v/>
      </c>
      <c r="I88" s="61" t="str">
        <f t="array" ref="I88">IF(A88="","",IFERROR(INDEX(Calc!$L:$L,MATCH(IF(A88="","",A88&amp;"|Reel"),Calc!$AN:$AN,0)),""))</f>
        <v/>
      </c>
      <c r="J88" s="61" t="str">
        <f t="array" ref="J88">IF(A88="","",IFERROR(INDEX(Calc!$M:$M,MATCH(IF(A88="","",A88&amp;"|Reel"),Calc!$AN:$AN,0)),""))</f>
        <v/>
      </c>
      <c r="K88" s="61" t="str">
        <f t="array" ref="K88">IF(A88="","",IFERROR(INDEX(Calc!$N:$N,MATCH(IF(A88="","",A88&amp;"|Reel"),Calc!$AN:$AN,0)),""))</f>
        <v/>
      </c>
      <c r="L88" s="62" t="str">
        <f t="array" ref="L88">IF(A88="","",IFERROR(INDEX(Calc!$AI:$AI,MATCH(IF(A88="","",A88&amp;"|Reel"),Calc!$AN:$AN,0)),""))</f>
        <v/>
      </c>
    </row>
    <row r="89" ht="15.75" customHeight="1">
      <c r="A89" s="60" t="str">
        <f>IF(IFERROR(AGGREGATE(14,6,(Calc!$AP$2:$AP$501)/((Calc!$AM$2:$AM$501=1)*(Calc!$G$2:$G$501="Reel")),15),"")="","",LEFT(TEXT(IFERROR(AGGREGATE(14,6,(Calc!$AP$2:$AP$501)/((Calc!$AM$2:$AM$501=1)*(Calc!$G$2:$G$501="Reel")),15),""),"000000"),4)&amp;"-"&amp;RIGHT(TEXT(IFERROR(AGGREGATE(14,6,(Calc!$AP$2:$AP$501)/((Calc!$AM$2:$AM$501=1)*(Calc!$G$2:$G$501="Reel")),15),""),"000000"),2))</f>
        <v/>
      </c>
      <c r="B89" s="60" t="str">
        <f t="array" ref="B89">IF(A89="","",IFERROR(INDEX(Calc!$E:$E,MATCH(IF(A89="","",A89&amp;"|Reel"),Calc!$AN:$AN,0)),""))</f>
        <v/>
      </c>
      <c r="C89" s="60" t="str">
        <f t="array" ref="C89">IF(A89="","",IFERROR(INDEX(Calc!$D:$D,MATCH(IF(A89="","",A89&amp;"|Reel"),Calc!$AN:$AN,0)),""))</f>
        <v/>
      </c>
      <c r="D89" s="60" t="str">
        <f t="array" ref="D89">IF(A89="","",IFERROR(INDEX(Calc!$F:$F,MATCH(IF(A89="","",A89&amp;"|Reel"),Calc!$AN:$AN,0)),""))</f>
        <v/>
      </c>
      <c r="E89" s="60" t="str">
        <f t="array" ref="E89">IF(A89="","",IFERROR(INDEX(Calc!$H:$H,MATCH(IF(A89="","",A89&amp;"|Reel"),Calc!$AN:$AN,0)),""))</f>
        <v/>
      </c>
      <c r="F89" s="61" t="str">
        <f t="array" ref="F89">IF(A89="","",IFERROR(INDEX(Calc!$I:$I,MATCH(IF(A89="","",A89&amp;"|Reel"),Calc!$AN:$AN,0)),""))</f>
        <v/>
      </c>
      <c r="G89" s="61" t="str">
        <f t="array" ref="G89">IF(A89="","",IFERROR(INDEX(Calc!$J:$J,MATCH(IF(A89="","",A89&amp;"|Reel"),Calc!$AN:$AN,0)),""))</f>
        <v/>
      </c>
      <c r="H89" s="61" t="str">
        <f t="array" ref="H89">IF(A89="","",IFERROR(INDEX(Calc!$K:$K,MATCH(IF(A89="","",A89&amp;"|Reel"),Calc!$AN:$AN,0)),""))</f>
        <v/>
      </c>
      <c r="I89" s="61" t="str">
        <f t="array" ref="I89">IF(A89="","",IFERROR(INDEX(Calc!$L:$L,MATCH(IF(A89="","",A89&amp;"|Reel"),Calc!$AN:$AN,0)),""))</f>
        <v/>
      </c>
      <c r="J89" s="61" t="str">
        <f t="array" ref="J89">IF(A89="","",IFERROR(INDEX(Calc!$M:$M,MATCH(IF(A89="","",A89&amp;"|Reel"),Calc!$AN:$AN,0)),""))</f>
        <v/>
      </c>
      <c r="K89" s="61" t="str">
        <f t="array" ref="K89">IF(A89="","",IFERROR(INDEX(Calc!$N:$N,MATCH(IF(A89="","",A89&amp;"|Reel"),Calc!$AN:$AN,0)),""))</f>
        <v/>
      </c>
      <c r="L89" s="62" t="str">
        <f t="array" ref="L89">IF(A89="","",IFERROR(INDEX(Calc!$AI:$AI,MATCH(IF(A89="","",A89&amp;"|Reel"),Calc!$AN:$AN,0)),""))</f>
        <v/>
      </c>
    </row>
    <row r="90" ht="15.75" customHeight="1">
      <c r="A90" s="60" t="str">
        <f>IF(IFERROR(AGGREGATE(14,6,(Calc!$AP$2:$AP$501)/((Calc!$AM$2:$AM$501=1)*(Calc!$G$2:$G$501="Reel")),16),"")="","",LEFT(TEXT(IFERROR(AGGREGATE(14,6,(Calc!$AP$2:$AP$501)/((Calc!$AM$2:$AM$501=1)*(Calc!$G$2:$G$501="Reel")),16),""),"000000"),4)&amp;"-"&amp;RIGHT(TEXT(IFERROR(AGGREGATE(14,6,(Calc!$AP$2:$AP$501)/((Calc!$AM$2:$AM$501=1)*(Calc!$G$2:$G$501="Reel")),16),""),"000000"),2))</f>
        <v/>
      </c>
      <c r="B90" s="60" t="str">
        <f t="array" ref="B90">IF(A90="","",IFERROR(INDEX(Calc!$E:$E,MATCH(IF(A90="","",A90&amp;"|Reel"),Calc!$AN:$AN,0)),""))</f>
        <v/>
      </c>
      <c r="C90" s="60" t="str">
        <f t="array" ref="C90">IF(A90="","",IFERROR(INDEX(Calc!$D:$D,MATCH(IF(A90="","",A90&amp;"|Reel"),Calc!$AN:$AN,0)),""))</f>
        <v/>
      </c>
      <c r="D90" s="60" t="str">
        <f t="array" ref="D90">IF(A90="","",IFERROR(INDEX(Calc!$F:$F,MATCH(IF(A90="","",A90&amp;"|Reel"),Calc!$AN:$AN,0)),""))</f>
        <v/>
      </c>
      <c r="E90" s="60" t="str">
        <f t="array" ref="E90">IF(A90="","",IFERROR(INDEX(Calc!$H:$H,MATCH(IF(A90="","",A90&amp;"|Reel"),Calc!$AN:$AN,0)),""))</f>
        <v/>
      </c>
      <c r="F90" s="61" t="str">
        <f t="array" ref="F90">IF(A90="","",IFERROR(INDEX(Calc!$I:$I,MATCH(IF(A90="","",A90&amp;"|Reel"),Calc!$AN:$AN,0)),""))</f>
        <v/>
      </c>
      <c r="G90" s="61" t="str">
        <f t="array" ref="G90">IF(A90="","",IFERROR(INDEX(Calc!$J:$J,MATCH(IF(A90="","",A90&amp;"|Reel"),Calc!$AN:$AN,0)),""))</f>
        <v/>
      </c>
      <c r="H90" s="61" t="str">
        <f t="array" ref="H90">IF(A90="","",IFERROR(INDEX(Calc!$K:$K,MATCH(IF(A90="","",A90&amp;"|Reel"),Calc!$AN:$AN,0)),""))</f>
        <v/>
      </c>
      <c r="I90" s="61" t="str">
        <f t="array" ref="I90">IF(A90="","",IFERROR(INDEX(Calc!$L:$L,MATCH(IF(A90="","",A90&amp;"|Reel"),Calc!$AN:$AN,0)),""))</f>
        <v/>
      </c>
      <c r="J90" s="61" t="str">
        <f t="array" ref="J90">IF(A90="","",IFERROR(INDEX(Calc!$M:$M,MATCH(IF(A90="","",A90&amp;"|Reel"),Calc!$AN:$AN,0)),""))</f>
        <v/>
      </c>
      <c r="K90" s="61" t="str">
        <f t="array" ref="K90">IF(A90="","",IFERROR(INDEX(Calc!$N:$N,MATCH(IF(A90="","",A90&amp;"|Reel"),Calc!$AN:$AN,0)),""))</f>
        <v/>
      </c>
      <c r="L90" s="62" t="str">
        <f t="array" ref="L90">IF(A90="","",IFERROR(INDEX(Calc!$AI:$AI,MATCH(IF(A90="","",A90&amp;"|Reel"),Calc!$AN:$AN,0)),""))</f>
        <v/>
      </c>
    </row>
    <row r="91" ht="15.75" customHeight="1">
      <c r="A91" s="60" t="str">
        <f>IF(IFERROR(AGGREGATE(14,6,(Calc!$AP$2:$AP$501)/((Calc!$AM$2:$AM$501=1)*(Calc!$G$2:$G$501="Reel")),17),"")="","",LEFT(TEXT(IFERROR(AGGREGATE(14,6,(Calc!$AP$2:$AP$501)/((Calc!$AM$2:$AM$501=1)*(Calc!$G$2:$G$501="Reel")),17),""),"000000"),4)&amp;"-"&amp;RIGHT(TEXT(IFERROR(AGGREGATE(14,6,(Calc!$AP$2:$AP$501)/((Calc!$AM$2:$AM$501=1)*(Calc!$G$2:$G$501="Reel")),17),""),"000000"),2))</f>
        <v/>
      </c>
      <c r="B91" s="60" t="str">
        <f t="array" ref="B91">IF(A91="","",IFERROR(INDEX(Calc!$E:$E,MATCH(IF(A91="","",A91&amp;"|Reel"),Calc!$AN:$AN,0)),""))</f>
        <v/>
      </c>
      <c r="C91" s="60" t="str">
        <f t="array" ref="C91">IF(A91="","",IFERROR(INDEX(Calc!$D:$D,MATCH(IF(A91="","",A91&amp;"|Reel"),Calc!$AN:$AN,0)),""))</f>
        <v/>
      </c>
      <c r="D91" s="60" t="str">
        <f t="array" ref="D91">IF(A91="","",IFERROR(INDEX(Calc!$F:$F,MATCH(IF(A91="","",A91&amp;"|Reel"),Calc!$AN:$AN,0)),""))</f>
        <v/>
      </c>
      <c r="E91" s="60" t="str">
        <f t="array" ref="E91">IF(A91="","",IFERROR(INDEX(Calc!$H:$H,MATCH(IF(A91="","",A91&amp;"|Reel"),Calc!$AN:$AN,0)),""))</f>
        <v/>
      </c>
      <c r="F91" s="61" t="str">
        <f t="array" ref="F91">IF(A91="","",IFERROR(INDEX(Calc!$I:$I,MATCH(IF(A91="","",A91&amp;"|Reel"),Calc!$AN:$AN,0)),""))</f>
        <v/>
      </c>
      <c r="G91" s="61" t="str">
        <f t="array" ref="G91">IF(A91="","",IFERROR(INDEX(Calc!$J:$J,MATCH(IF(A91="","",A91&amp;"|Reel"),Calc!$AN:$AN,0)),""))</f>
        <v/>
      </c>
      <c r="H91" s="61" t="str">
        <f t="array" ref="H91">IF(A91="","",IFERROR(INDEX(Calc!$K:$K,MATCH(IF(A91="","",A91&amp;"|Reel"),Calc!$AN:$AN,0)),""))</f>
        <v/>
      </c>
      <c r="I91" s="61" t="str">
        <f t="array" ref="I91">IF(A91="","",IFERROR(INDEX(Calc!$L:$L,MATCH(IF(A91="","",A91&amp;"|Reel"),Calc!$AN:$AN,0)),""))</f>
        <v/>
      </c>
      <c r="J91" s="61" t="str">
        <f t="array" ref="J91">IF(A91="","",IFERROR(INDEX(Calc!$M:$M,MATCH(IF(A91="","",A91&amp;"|Reel"),Calc!$AN:$AN,0)),""))</f>
        <v/>
      </c>
      <c r="K91" s="61" t="str">
        <f t="array" ref="K91">IF(A91="","",IFERROR(INDEX(Calc!$N:$N,MATCH(IF(A91="","",A91&amp;"|Reel"),Calc!$AN:$AN,0)),""))</f>
        <v/>
      </c>
      <c r="L91" s="62" t="str">
        <f t="array" ref="L91">IF(A91="","",IFERROR(INDEX(Calc!$AI:$AI,MATCH(IF(A91="","",A91&amp;"|Reel"),Calc!$AN:$AN,0)),""))</f>
        <v/>
      </c>
    </row>
    <row r="92" ht="15.75" customHeight="1">
      <c r="A92" s="60" t="str">
        <f>IF(IFERROR(AGGREGATE(14,6,(Calc!$AP$2:$AP$501)/((Calc!$AM$2:$AM$501=1)*(Calc!$G$2:$G$501="Reel")),18),"")="","",LEFT(TEXT(IFERROR(AGGREGATE(14,6,(Calc!$AP$2:$AP$501)/((Calc!$AM$2:$AM$501=1)*(Calc!$G$2:$G$501="Reel")),18),""),"000000"),4)&amp;"-"&amp;RIGHT(TEXT(IFERROR(AGGREGATE(14,6,(Calc!$AP$2:$AP$501)/((Calc!$AM$2:$AM$501=1)*(Calc!$G$2:$G$501="Reel")),18),""),"000000"),2))</f>
        <v/>
      </c>
      <c r="B92" s="60" t="str">
        <f t="array" ref="B92">IF(A92="","",IFERROR(INDEX(Calc!$E:$E,MATCH(IF(A92="","",A92&amp;"|Reel"),Calc!$AN:$AN,0)),""))</f>
        <v/>
      </c>
      <c r="C92" s="60" t="str">
        <f t="array" ref="C92">IF(A92="","",IFERROR(INDEX(Calc!$D:$D,MATCH(IF(A92="","",A92&amp;"|Reel"),Calc!$AN:$AN,0)),""))</f>
        <v/>
      </c>
      <c r="D92" s="60" t="str">
        <f t="array" ref="D92">IF(A92="","",IFERROR(INDEX(Calc!$F:$F,MATCH(IF(A92="","",A92&amp;"|Reel"),Calc!$AN:$AN,0)),""))</f>
        <v/>
      </c>
      <c r="E92" s="60" t="str">
        <f t="array" ref="E92">IF(A92="","",IFERROR(INDEX(Calc!$H:$H,MATCH(IF(A92="","",A92&amp;"|Reel"),Calc!$AN:$AN,0)),""))</f>
        <v/>
      </c>
      <c r="F92" s="61" t="str">
        <f t="array" ref="F92">IF(A92="","",IFERROR(INDEX(Calc!$I:$I,MATCH(IF(A92="","",A92&amp;"|Reel"),Calc!$AN:$AN,0)),""))</f>
        <v/>
      </c>
      <c r="G92" s="61" t="str">
        <f t="array" ref="G92">IF(A92="","",IFERROR(INDEX(Calc!$J:$J,MATCH(IF(A92="","",A92&amp;"|Reel"),Calc!$AN:$AN,0)),""))</f>
        <v/>
      </c>
      <c r="H92" s="61" t="str">
        <f t="array" ref="H92">IF(A92="","",IFERROR(INDEX(Calc!$K:$K,MATCH(IF(A92="","",A92&amp;"|Reel"),Calc!$AN:$AN,0)),""))</f>
        <v/>
      </c>
      <c r="I92" s="61" t="str">
        <f t="array" ref="I92">IF(A92="","",IFERROR(INDEX(Calc!$L:$L,MATCH(IF(A92="","",A92&amp;"|Reel"),Calc!$AN:$AN,0)),""))</f>
        <v/>
      </c>
      <c r="J92" s="61" t="str">
        <f t="array" ref="J92">IF(A92="","",IFERROR(INDEX(Calc!$M:$M,MATCH(IF(A92="","",A92&amp;"|Reel"),Calc!$AN:$AN,0)),""))</f>
        <v/>
      </c>
      <c r="K92" s="61" t="str">
        <f t="array" ref="K92">IF(A92="","",IFERROR(INDEX(Calc!$N:$N,MATCH(IF(A92="","",A92&amp;"|Reel"),Calc!$AN:$AN,0)),""))</f>
        <v/>
      </c>
      <c r="L92" s="62" t="str">
        <f t="array" ref="L92">IF(A92="","",IFERROR(INDEX(Calc!$AI:$AI,MATCH(IF(A92="","",A92&amp;"|Reel"),Calc!$AN:$AN,0)),""))</f>
        <v/>
      </c>
    </row>
    <row r="93" ht="15.75" customHeight="1">
      <c r="A93" s="60" t="str">
        <f>IF(IFERROR(AGGREGATE(14,6,(Calc!$AP$2:$AP$501)/((Calc!$AM$2:$AM$501=1)*(Calc!$G$2:$G$501="Reel")),19),"")="","",LEFT(TEXT(IFERROR(AGGREGATE(14,6,(Calc!$AP$2:$AP$501)/((Calc!$AM$2:$AM$501=1)*(Calc!$G$2:$G$501="Reel")),19),""),"000000"),4)&amp;"-"&amp;RIGHT(TEXT(IFERROR(AGGREGATE(14,6,(Calc!$AP$2:$AP$501)/((Calc!$AM$2:$AM$501=1)*(Calc!$G$2:$G$501="Reel")),19),""),"000000"),2))</f>
        <v/>
      </c>
      <c r="B93" s="60" t="str">
        <f t="array" ref="B93">IF(A93="","",IFERROR(INDEX(Calc!$E:$E,MATCH(IF(A93="","",A93&amp;"|Reel"),Calc!$AN:$AN,0)),""))</f>
        <v/>
      </c>
      <c r="C93" s="60" t="str">
        <f t="array" ref="C93">IF(A93="","",IFERROR(INDEX(Calc!$D:$D,MATCH(IF(A93="","",A93&amp;"|Reel"),Calc!$AN:$AN,0)),""))</f>
        <v/>
      </c>
      <c r="D93" s="60" t="str">
        <f t="array" ref="D93">IF(A93="","",IFERROR(INDEX(Calc!$F:$F,MATCH(IF(A93="","",A93&amp;"|Reel"),Calc!$AN:$AN,0)),""))</f>
        <v/>
      </c>
      <c r="E93" s="60" t="str">
        <f t="array" ref="E93">IF(A93="","",IFERROR(INDEX(Calc!$H:$H,MATCH(IF(A93="","",A93&amp;"|Reel"),Calc!$AN:$AN,0)),""))</f>
        <v/>
      </c>
      <c r="F93" s="61" t="str">
        <f t="array" ref="F93">IF(A93="","",IFERROR(INDEX(Calc!$I:$I,MATCH(IF(A93="","",A93&amp;"|Reel"),Calc!$AN:$AN,0)),""))</f>
        <v/>
      </c>
      <c r="G93" s="61" t="str">
        <f t="array" ref="G93">IF(A93="","",IFERROR(INDEX(Calc!$J:$J,MATCH(IF(A93="","",A93&amp;"|Reel"),Calc!$AN:$AN,0)),""))</f>
        <v/>
      </c>
      <c r="H93" s="61" t="str">
        <f t="array" ref="H93">IF(A93="","",IFERROR(INDEX(Calc!$K:$K,MATCH(IF(A93="","",A93&amp;"|Reel"),Calc!$AN:$AN,0)),""))</f>
        <v/>
      </c>
      <c r="I93" s="61" t="str">
        <f t="array" ref="I93">IF(A93="","",IFERROR(INDEX(Calc!$L:$L,MATCH(IF(A93="","",A93&amp;"|Reel"),Calc!$AN:$AN,0)),""))</f>
        <v/>
      </c>
      <c r="J93" s="61" t="str">
        <f t="array" ref="J93">IF(A93="","",IFERROR(INDEX(Calc!$M:$M,MATCH(IF(A93="","",A93&amp;"|Reel"),Calc!$AN:$AN,0)),""))</f>
        <v/>
      </c>
      <c r="K93" s="61" t="str">
        <f t="array" ref="K93">IF(A93="","",IFERROR(INDEX(Calc!$N:$N,MATCH(IF(A93="","",A93&amp;"|Reel"),Calc!$AN:$AN,0)),""))</f>
        <v/>
      </c>
      <c r="L93" s="62" t="str">
        <f t="array" ref="L93">IF(A93="","",IFERROR(INDEX(Calc!$AI:$AI,MATCH(IF(A93="","",A93&amp;"|Reel"),Calc!$AN:$AN,0)),""))</f>
        <v/>
      </c>
    </row>
    <row r="94" ht="15.75" customHeight="1">
      <c r="A94" s="60" t="str">
        <f>IF(IFERROR(AGGREGATE(14,6,(Calc!$AP$2:$AP$501)/((Calc!$AM$2:$AM$501=1)*(Calc!$G$2:$G$501="Reel")),20),"")="","",LEFT(TEXT(IFERROR(AGGREGATE(14,6,(Calc!$AP$2:$AP$501)/((Calc!$AM$2:$AM$501=1)*(Calc!$G$2:$G$501="Reel")),20),""),"000000"),4)&amp;"-"&amp;RIGHT(TEXT(IFERROR(AGGREGATE(14,6,(Calc!$AP$2:$AP$501)/((Calc!$AM$2:$AM$501=1)*(Calc!$G$2:$G$501="Reel")),20),""),"000000"),2))</f>
        <v/>
      </c>
      <c r="B94" s="60" t="str">
        <f t="array" ref="B94">IF(A94="","",IFERROR(INDEX(Calc!$E:$E,MATCH(IF(A94="","",A94&amp;"|Reel"),Calc!$AN:$AN,0)),""))</f>
        <v/>
      </c>
      <c r="C94" s="60" t="str">
        <f t="array" ref="C94">IF(A94="","",IFERROR(INDEX(Calc!$D:$D,MATCH(IF(A94="","",A94&amp;"|Reel"),Calc!$AN:$AN,0)),""))</f>
        <v/>
      </c>
      <c r="D94" s="60" t="str">
        <f t="array" ref="D94">IF(A94="","",IFERROR(INDEX(Calc!$F:$F,MATCH(IF(A94="","",A94&amp;"|Reel"),Calc!$AN:$AN,0)),""))</f>
        <v/>
      </c>
      <c r="E94" s="60" t="str">
        <f t="array" ref="E94">IF(A94="","",IFERROR(INDEX(Calc!$H:$H,MATCH(IF(A94="","",A94&amp;"|Reel"),Calc!$AN:$AN,0)),""))</f>
        <v/>
      </c>
      <c r="F94" s="61" t="str">
        <f t="array" ref="F94">IF(A94="","",IFERROR(INDEX(Calc!$I:$I,MATCH(IF(A94="","",A94&amp;"|Reel"),Calc!$AN:$AN,0)),""))</f>
        <v/>
      </c>
      <c r="G94" s="61" t="str">
        <f t="array" ref="G94">IF(A94="","",IFERROR(INDEX(Calc!$J:$J,MATCH(IF(A94="","",A94&amp;"|Reel"),Calc!$AN:$AN,0)),""))</f>
        <v/>
      </c>
      <c r="H94" s="61" t="str">
        <f t="array" ref="H94">IF(A94="","",IFERROR(INDEX(Calc!$K:$K,MATCH(IF(A94="","",A94&amp;"|Reel"),Calc!$AN:$AN,0)),""))</f>
        <v/>
      </c>
      <c r="I94" s="61" t="str">
        <f t="array" ref="I94">IF(A94="","",IFERROR(INDEX(Calc!$L:$L,MATCH(IF(A94="","",A94&amp;"|Reel"),Calc!$AN:$AN,0)),""))</f>
        <v/>
      </c>
      <c r="J94" s="61" t="str">
        <f t="array" ref="J94">IF(A94="","",IFERROR(INDEX(Calc!$M:$M,MATCH(IF(A94="","",A94&amp;"|Reel"),Calc!$AN:$AN,0)),""))</f>
        <v/>
      </c>
      <c r="K94" s="61" t="str">
        <f t="array" ref="K94">IF(A94="","",IFERROR(INDEX(Calc!$N:$N,MATCH(IF(A94="","",A94&amp;"|Reel"),Calc!$AN:$AN,0)),""))</f>
        <v/>
      </c>
      <c r="L94" s="62" t="str">
        <f t="array" ref="L94">IF(A94="","",IFERROR(INDEX(Calc!$AI:$AI,MATCH(IF(A94="","",A94&amp;"|Reel"),Calc!$AN:$AN,0)),""))</f>
        <v/>
      </c>
    </row>
    <row r="95" ht="15.75" customHeight="1">
      <c r="A95" s="60" t="str">
        <f>IF(IFERROR(AGGREGATE(14,6,(Calc!$AP$2:$AP$501)/((Calc!$AM$2:$AM$501=1)*(Calc!$G$2:$G$501="Reel")),21),"")="","",LEFT(TEXT(IFERROR(AGGREGATE(14,6,(Calc!$AP$2:$AP$501)/((Calc!$AM$2:$AM$501=1)*(Calc!$G$2:$G$501="Reel")),21),""),"000000"),4)&amp;"-"&amp;RIGHT(TEXT(IFERROR(AGGREGATE(14,6,(Calc!$AP$2:$AP$501)/((Calc!$AM$2:$AM$501=1)*(Calc!$G$2:$G$501="Reel")),21),""),"000000"),2))</f>
        <v/>
      </c>
      <c r="B95" s="60" t="str">
        <f t="array" ref="B95">IF(A95="","",IFERROR(INDEX(Calc!$E:$E,MATCH(IF(A95="","",A95&amp;"|Reel"),Calc!$AN:$AN,0)),""))</f>
        <v/>
      </c>
      <c r="C95" s="60" t="str">
        <f t="array" ref="C95">IF(A95="","",IFERROR(INDEX(Calc!$D:$D,MATCH(IF(A95="","",A95&amp;"|Reel"),Calc!$AN:$AN,0)),""))</f>
        <v/>
      </c>
      <c r="D95" s="60" t="str">
        <f t="array" ref="D95">IF(A95="","",IFERROR(INDEX(Calc!$F:$F,MATCH(IF(A95="","",A95&amp;"|Reel"),Calc!$AN:$AN,0)),""))</f>
        <v/>
      </c>
      <c r="E95" s="60" t="str">
        <f t="array" ref="E95">IF(A95="","",IFERROR(INDEX(Calc!$H:$H,MATCH(IF(A95="","",A95&amp;"|Reel"),Calc!$AN:$AN,0)),""))</f>
        <v/>
      </c>
      <c r="F95" s="61" t="str">
        <f t="array" ref="F95">IF(A95="","",IFERROR(INDEX(Calc!$I:$I,MATCH(IF(A95="","",A95&amp;"|Reel"),Calc!$AN:$AN,0)),""))</f>
        <v/>
      </c>
      <c r="G95" s="61" t="str">
        <f t="array" ref="G95">IF(A95="","",IFERROR(INDEX(Calc!$J:$J,MATCH(IF(A95="","",A95&amp;"|Reel"),Calc!$AN:$AN,0)),""))</f>
        <v/>
      </c>
      <c r="H95" s="61" t="str">
        <f t="array" ref="H95">IF(A95="","",IFERROR(INDEX(Calc!$K:$K,MATCH(IF(A95="","",A95&amp;"|Reel"),Calc!$AN:$AN,0)),""))</f>
        <v/>
      </c>
      <c r="I95" s="61" t="str">
        <f t="array" ref="I95">IF(A95="","",IFERROR(INDEX(Calc!$L:$L,MATCH(IF(A95="","",A95&amp;"|Reel"),Calc!$AN:$AN,0)),""))</f>
        <v/>
      </c>
      <c r="J95" s="61" t="str">
        <f t="array" ref="J95">IF(A95="","",IFERROR(INDEX(Calc!$M:$M,MATCH(IF(A95="","",A95&amp;"|Reel"),Calc!$AN:$AN,0)),""))</f>
        <v/>
      </c>
      <c r="K95" s="61" t="str">
        <f t="array" ref="K95">IF(A95="","",IFERROR(INDEX(Calc!$N:$N,MATCH(IF(A95="","",A95&amp;"|Reel"),Calc!$AN:$AN,0)),""))</f>
        <v/>
      </c>
      <c r="L95" s="62" t="str">
        <f t="array" ref="L95">IF(A95="","",IFERROR(INDEX(Calc!$AI:$AI,MATCH(IF(A95="","",A95&amp;"|Reel"),Calc!$AN:$AN,0)),""))</f>
        <v/>
      </c>
    </row>
    <row r="96" ht="15.75" customHeight="1">
      <c r="A96" s="60" t="str">
        <f>IF(IFERROR(AGGREGATE(14,6,(Calc!$AP$2:$AP$501)/((Calc!$AM$2:$AM$501=1)*(Calc!$G$2:$G$501="Reel")),22),"")="","",LEFT(TEXT(IFERROR(AGGREGATE(14,6,(Calc!$AP$2:$AP$501)/((Calc!$AM$2:$AM$501=1)*(Calc!$G$2:$G$501="Reel")),22),""),"000000"),4)&amp;"-"&amp;RIGHT(TEXT(IFERROR(AGGREGATE(14,6,(Calc!$AP$2:$AP$501)/((Calc!$AM$2:$AM$501=1)*(Calc!$G$2:$G$501="Reel")),22),""),"000000"),2))</f>
        <v/>
      </c>
      <c r="B96" s="60" t="str">
        <f t="array" ref="B96">IF(A96="","",IFERROR(INDEX(Calc!$E:$E,MATCH(IF(A96="","",A96&amp;"|Reel"),Calc!$AN:$AN,0)),""))</f>
        <v/>
      </c>
      <c r="C96" s="60" t="str">
        <f t="array" ref="C96">IF(A96="","",IFERROR(INDEX(Calc!$D:$D,MATCH(IF(A96="","",A96&amp;"|Reel"),Calc!$AN:$AN,0)),""))</f>
        <v/>
      </c>
      <c r="D96" s="60" t="str">
        <f t="array" ref="D96">IF(A96="","",IFERROR(INDEX(Calc!$F:$F,MATCH(IF(A96="","",A96&amp;"|Reel"),Calc!$AN:$AN,0)),""))</f>
        <v/>
      </c>
      <c r="E96" s="60" t="str">
        <f t="array" ref="E96">IF(A96="","",IFERROR(INDEX(Calc!$H:$H,MATCH(IF(A96="","",A96&amp;"|Reel"),Calc!$AN:$AN,0)),""))</f>
        <v/>
      </c>
      <c r="F96" s="61" t="str">
        <f t="array" ref="F96">IF(A96="","",IFERROR(INDEX(Calc!$I:$I,MATCH(IF(A96="","",A96&amp;"|Reel"),Calc!$AN:$AN,0)),""))</f>
        <v/>
      </c>
      <c r="G96" s="61" t="str">
        <f t="array" ref="G96">IF(A96="","",IFERROR(INDEX(Calc!$J:$J,MATCH(IF(A96="","",A96&amp;"|Reel"),Calc!$AN:$AN,0)),""))</f>
        <v/>
      </c>
      <c r="H96" s="61" t="str">
        <f t="array" ref="H96">IF(A96="","",IFERROR(INDEX(Calc!$K:$K,MATCH(IF(A96="","",A96&amp;"|Reel"),Calc!$AN:$AN,0)),""))</f>
        <v/>
      </c>
      <c r="I96" s="61" t="str">
        <f t="array" ref="I96">IF(A96="","",IFERROR(INDEX(Calc!$L:$L,MATCH(IF(A96="","",A96&amp;"|Reel"),Calc!$AN:$AN,0)),""))</f>
        <v/>
      </c>
      <c r="J96" s="61" t="str">
        <f t="array" ref="J96">IF(A96="","",IFERROR(INDEX(Calc!$M:$M,MATCH(IF(A96="","",A96&amp;"|Reel"),Calc!$AN:$AN,0)),""))</f>
        <v/>
      </c>
      <c r="K96" s="61" t="str">
        <f t="array" ref="K96">IF(A96="","",IFERROR(INDEX(Calc!$N:$N,MATCH(IF(A96="","",A96&amp;"|Reel"),Calc!$AN:$AN,0)),""))</f>
        <v/>
      </c>
      <c r="L96" s="62" t="str">
        <f t="array" ref="L96">IF(A96="","",IFERROR(INDEX(Calc!$AI:$AI,MATCH(IF(A96="","",A96&amp;"|Reel"),Calc!$AN:$AN,0)),""))</f>
        <v/>
      </c>
    </row>
    <row r="97" ht="15.75" customHeight="1">
      <c r="A97" s="60" t="str">
        <f>IF(IFERROR(AGGREGATE(14,6,(Calc!$AP$2:$AP$501)/((Calc!$AM$2:$AM$501=1)*(Calc!$G$2:$G$501="Reel")),23),"")="","",LEFT(TEXT(IFERROR(AGGREGATE(14,6,(Calc!$AP$2:$AP$501)/((Calc!$AM$2:$AM$501=1)*(Calc!$G$2:$G$501="Reel")),23),""),"000000"),4)&amp;"-"&amp;RIGHT(TEXT(IFERROR(AGGREGATE(14,6,(Calc!$AP$2:$AP$501)/((Calc!$AM$2:$AM$501=1)*(Calc!$G$2:$G$501="Reel")),23),""),"000000"),2))</f>
        <v/>
      </c>
      <c r="B97" s="60" t="str">
        <f t="array" ref="B97">IF(A97="","",IFERROR(INDEX(Calc!$E:$E,MATCH(IF(A97="","",A97&amp;"|Reel"),Calc!$AN:$AN,0)),""))</f>
        <v/>
      </c>
      <c r="C97" s="60" t="str">
        <f t="array" ref="C97">IF(A97="","",IFERROR(INDEX(Calc!$D:$D,MATCH(IF(A97="","",A97&amp;"|Reel"),Calc!$AN:$AN,0)),""))</f>
        <v/>
      </c>
      <c r="D97" s="60" t="str">
        <f t="array" ref="D97">IF(A97="","",IFERROR(INDEX(Calc!$F:$F,MATCH(IF(A97="","",A97&amp;"|Reel"),Calc!$AN:$AN,0)),""))</f>
        <v/>
      </c>
      <c r="E97" s="60" t="str">
        <f t="array" ref="E97">IF(A97="","",IFERROR(INDEX(Calc!$H:$H,MATCH(IF(A97="","",A97&amp;"|Reel"),Calc!$AN:$AN,0)),""))</f>
        <v/>
      </c>
      <c r="F97" s="61" t="str">
        <f t="array" ref="F97">IF(A97="","",IFERROR(INDEX(Calc!$I:$I,MATCH(IF(A97="","",A97&amp;"|Reel"),Calc!$AN:$AN,0)),""))</f>
        <v/>
      </c>
      <c r="G97" s="61" t="str">
        <f t="array" ref="G97">IF(A97="","",IFERROR(INDEX(Calc!$J:$J,MATCH(IF(A97="","",A97&amp;"|Reel"),Calc!$AN:$AN,0)),""))</f>
        <v/>
      </c>
      <c r="H97" s="61" t="str">
        <f t="array" ref="H97">IF(A97="","",IFERROR(INDEX(Calc!$K:$K,MATCH(IF(A97="","",A97&amp;"|Reel"),Calc!$AN:$AN,0)),""))</f>
        <v/>
      </c>
      <c r="I97" s="61" t="str">
        <f t="array" ref="I97">IF(A97="","",IFERROR(INDEX(Calc!$L:$L,MATCH(IF(A97="","",A97&amp;"|Reel"),Calc!$AN:$AN,0)),""))</f>
        <v/>
      </c>
      <c r="J97" s="61" t="str">
        <f t="array" ref="J97">IF(A97="","",IFERROR(INDEX(Calc!$M:$M,MATCH(IF(A97="","",A97&amp;"|Reel"),Calc!$AN:$AN,0)),""))</f>
        <v/>
      </c>
      <c r="K97" s="61" t="str">
        <f t="array" ref="K97">IF(A97="","",IFERROR(INDEX(Calc!$N:$N,MATCH(IF(A97="","",A97&amp;"|Reel"),Calc!$AN:$AN,0)),""))</f>
        <v/>
      </c>
      <c r="L97" s="62" t="str">
        <f t="array" ref="L97">IF(A97="","",IFERROR(INDEX(Calc!$AI:$AI,MATCH(IF(A97="","",A97&amp;"|Reel"),Calc!$AN:$AN,0)),""))</f>
        <v/>
      </c>
    </row>
    <row r="98" ht="15.75" customHeight="1">
      <c r="A98" s="60" t="str">
        <f>IF(IFERROR(AGGREGATE(14,6,(Calc!$AP$2:$AP$501)/((Calc!$AM$2:$AM$501=1)*(Calc!$G$2:$G$501="Reel")),24),"")="","",LEFT(TEXT(IFERROR(AGGREGATE(14,6,(Calc!$AP$2:$AP$501)/((Calc!$AM$2:$AM$501=1)*(Calc!$G$2:$G$501="Reel")),24),""),"000000"),4)&amp;"-"&amp;RIGHT(TEXT(IFERROR(AGGREGATE(14,6,(Calc!$AP$2:$AP$501)/((Calc!$AM$2:$AM$501=1)*(Calc!$G$2:$G$501="Reel")),24),""),"000000"),2))</f>
        <v/>
      </c>
      <c r="B98" s="60" t="str">
        <f t="array" ref="B98">IF(A98="","",IFERROR(INDEX(Calc!$E:$E,MATCH(IF(A98="","",A98&amp;"|Reel"),Calc!$AN:$AN,0)),""))</f>
        <v/>
      </c>
      <c r="C98" s="60" t="str">
        <f t="array" ref="C98">IF(A98="","",IFERROR(INDEX(Calc!$D:$D,MATCH(IF(A98="","",A98&amp;"|Reel"),Calc!$AN:$AN,0)),""))</f>
        <v/>
      </c>
      <c r="D98" s="60" t="str">
        <f t="array" ref="D98">IF(A98="","",IFERROR(INDEX(Calc!$F:$F,MATCH(IF(A98="","",A98&amp;"|Reel"),Calc!$AN:$AN,0)),""))</f>
        <v/>
      </c>
      <c r="E98" s="60" t="str">
        <f t="array" ref="E98">IF(A98="","",IFERROR(INDEX(Calc!$H:$H,MATCH(IF(A98="","",A98&amp;"|Reel"),Calc!$AN:$AN,0)),""))</f>
        <v/>
      </c>
      <c r="F98" s="61" t="str">
        <f t="array" ref="F98">IF(A98="","",IFERROR(INDEX(Calc!$I:$I,MATCH(IF(A98="","",A98&amp;"|Reel"),Calc!$AN:$AN,0)),""))</f>
        <v/>
      </c>
      <c r="G98" s="61" t="str">
        <f t="array" ref="G98">IF(A98="","",IFERROR(INDEX(Calc!$J:$J,MATCH(IF(A98="","",A98&amp;"|Reel"),Calc!$AN:$AN,0)),""))</f>
        <v/>
      </c>
      <c r="H98" s="61" t="str">
        <f t="array" ref="H98">IF(A98="","",IFERROR(INDEX(Calc!$K:$K,MATCH(IF(A98="","",A98&amp;"|Reel"),Calc!$AN:$AN,0)),""))</f>
        <v/>
      </c>
      <c r="I98" s="61" t="str">
        <f t="array" ref="I98">IF(A98="","",IFERROR(INDEX(Calc!$L:$L,MATCH(IF(A98="","",A98&amp;"|Reel"),Calc!$AN:$AN,0)),""))</f>
        <v/>
      </c>
      <c r="J98" s="61" t="str">
        <f t="array" ref="J98">IF(A98="","",IFERROR(INDEX(Calc!$M:$M,MATCH(IF(A98="","",A98&amp;"|Reel"),Calc!$AN:$AN,0)),""))</f>
        <v/>
      </c>
      <c r="K98" s="61" t="str">
        <f t="array" ref="K98">IF(A98="","",IFERROR(INDEX(Calc!$N:$N,MATCH(IF(A98="","",A98&amp;"|Reel"),Calc!$AN:$AN,0)),""))</f>
        <v/>
      </c>
      <c r="L98" s="62" t="str">
        <f t="array" ref="L98">IF(A98="","",IFERROR(INDEX(Calc!$AI:$AI,MATCH(IF(A98="","",A98&amp;"|Reel"),Calc!$AN:$AN,0)),""))</f>
        <v/>
      </c>
    </row>
    <row r="99" ht="15.75" customHeight="1">
      <c r="A99" s="60" t="str">
        <f>IF(IFERROR(AGGREGATE(14,6,(Calc!$AP$2:$AP$501)/((Calc!$AM$2:$AM$501=1)*(Calc!$G$2:$G$501="Reel")),25),"")="","",LEFT(TEXT(IFERROR(AGGREGATE(14,6,(Calc!$AP$2:$AP$501)/((Calc!$AM$2:$AM$501=1)*(Calc!$G$2:$G$501="Reel")),25),""),"000000"),4)&amp;"-"&amp;RIGHT(TEXT(IFERROR(AGGREGATE(14,6,(Calc!$AP$2:$AP$501)/((Calc!$AM$2:$AM$501=1)*(Calc!$G$2:$G$501="Reel")),25),""),"000000"),2))</f>
        <v/>
      </c>
      <c r="B99" s="60" t="str">
        <f t="array" ref="B99">IF(A99="","",IFERROR(INDEX(Calc!$E:$E,MATCH(IF(A99="","",A99&amp;"|Reel"),Calc!$AN:$AN,0)),""))</f>
        <v/>
      </c>
      <c r="C99" s="60" t="str">
        <f t="array" ref="C99">IF(A99="","",IFERROR(INDEX(Calc!$D:$D,MATCH(IF(A99="","",A99&amp;"|Reel"),Calc!$AN:$AN,0)),""))</f>
        <v/>
      </c>
      <c r="D99" s="60" t="str">
        <f t="array" ref="D99">IF(A99="","",IFERROR(INDEX(Calc!$F:$F,MATCH(IF(A99="","",A99&amp;"|Reel"),Calc!$AN:$AN,0)),""))</f>
        <v/>
      </c>
      <c r="E99" s="60" t="str">
        <f t="array" ref="E99">IF(A99="","",IFERROR(INDEX(Calc!$H:$H,MATCH(IF(A99="","",A99&amp;"|Reel"),Calc!$AN:$AN,0)),""))</f>
        <v/>
      </c>
      <c r="F99" s="61" t="str">
        <f t="array" ref="F99">IF(A99="","",IFERROR(INDEX(Calc!$I:$I,MATCH(IF(A99="","",A99&amp;"|Reel"),Calc!$AN:$AN,0)),""))</f>
        <v/>
      </c>
      <c r="G99" s="61" t="str">
        <f t="array" ref="G99">IF(A99="","",IFERROR(INDEX(Calc!$J:$J,MATCH(IF(A99="","",A99&amp;"|Reel"),Calc!$AN:$AN,0)),""))</f>
        <v/>
      </c>
      <c r="H99" s="61" t="str">
        <f t="array" ref="H99">IF(A99="","",IFERROR(INDEX(Calc!$K:$K,MATCH(IF(A99="","",A99&amp;"|Reel"),Calc!$AN:$AN,0)),""))</f>
        <v/>
      </c>
      <c r="I99" s="61" t="str">
        <f t="array" ref="I99">IF(A99="","",IFERROR(INDEX(Calc!$L:$L,MATCH(IF(A99="","",A99&amp;"|Reel"),Calc!$AN:$AN,0)),""))</f>
        <v/>
      </c>
      <c r="J99" s="61" t="str">
        <f t="array" ref="J99">IF(A99="","",IFERROR(INDEX(Calc!$M:$M,MATCH(IF(A99="","",A99&amp;"|Reel"),Calc!$AN:$AN,0)),""))</f>
        <v/>
      </c>
      <c r="K99" s="61" t="str">
        <f t="array" ref="K99">IF(A99="","",IFERROR(INDEX(Calc!$N:$N,MATCH(IF(A99="","",A99&amp;"|Reel"),Calc!$AN:$AN,0)),""))</f>
        <v/>
      </c>
      <c r="L99" s="62" t="str">
        <f t="array" ref="L99">IF(A99="","",IFERROR(INDEX(Calc!$AI:$AI,MATCH(IF(A99="","",A99&amp;"|Reel"),Calc!$AN:$AN,0)),""))</f>
        <v/>
      </c>
    </row>
    <row r="100" ht="15.75" customHeight="1">
      <c r="A100" s="60" t="str">
        <f>IF(IFERROR(AGGREGATE(14,6,(Calc!$AP$2:$AP$501)/((Calc!$AM$2:$AM$501=1)*(Calc!$G$2:$G$501="Reel")),26),"")="","",LEFT(TEXT(IFERROR(AGGREGATE(14,6,(Calc!$AP$2:$AP$501)/((Calc!$AM$2:$AM$501=1)*(Calc!$G$2:$G$501="Reel")),26),""),"000000"),4)&amp;"-"&amp;RIGHT(TEXT(IFERROR(AGGREGATE(14,6,(Calc!$AP$2:$AP$501)/((Calc!$AM$2:$AM$501=1)*(Calc!$G$2:$G$501="Reel")),26),""),"000000"),2))</f>
        <v/>
      </c>
      <c r="B100" s="60" t="str">
        <f t="array" ref="B100">IF(A100="","",IFERROR(INDEX(Calc!$E:$E,MATCH(IF(A100="","",A100&amp;"|Reel"),Calc!$AN:$AN,0)),""))</f>
        <v/>
      </c>
      <c r="C100" s="60" t="str">
        <f t="array" ref="C100">IF(A100="","",IFERROR(INDEX(Calc!$D:$D,MATCH(IF(A100="","",A100&amp;"|Reel"),Calc!$AN:$AN,0)),""))</f>
        <v/>
      </c>
      <c r="D100" s="60" t="str">
        <f t="array" ref="D100">IF(A100="","",IFERROR(INDEX(Calc!$F:$F,MATCH(IF(A100="","",A100&amp;"|Reel"),Calc!$AN:$AN,0)),""))</f>
        <v/>
      </c>
      <c r="E100" s="60" t="str">
        <f t="array" ref="E100">IF(A100="","",IFERROR(INDEX(Calc!$H:$H,MATCH(IF(A100="","",A100&amp;"|Reel"),Calc!$AN:$AN,0)),""))</f>
        <v/>
      </c>
      <c r="F100" s="61" t="str">
        <f t="array" ref="F100">IF(A100="","",IFERROR(INDEX(Calc!$I:$I,MATCH(IF(A100="","",A100&amp;"|Reel"),Calc!$AN:$AN,0)),""))</f>
        <v/>
      </c>
      <c r="G100" s="61" t="str">
        <f t="array" ref="G100">IF(A100="","",IFERROR(INDEX(Calc!$J:$J,MATCH(IF(A100="","",A100&amp;"|Reel"),Calc!$AN:$AN,0)),""))</f>
        <v/>
      </c>
      <c r="H100" s="61" t="str">
        <f t="array" ref="H100">IF(A100="","",IFERROR(INDEX(Calc!$K:$K,MATCH(IF(A100="","",A100&amp;"|Reel"),Calc!$AN:$AN,0)),""))</f>
        <v/>
      </c>
      <c r="I100" s="61" t="str">
        <f t="array" ref="I100">IF(A100="","",IFERROR(INDEX(Calc!$L:$L,MATCH(IF(A100="","",A100&amp;"|Reel"),Calc!$AN:$AN,0)),""))</f>
        <v/>
      </c>
      <c r="J100" s="61" t="str">
        <f t="array" ref="J100">IF(A100="","",IFERROR(INDEX(Calc!$M:$M,MATCH(IF(A100="","",A100&amp;"|Reel"),Calc!$AN:$AN,0)),""))</f>
        <v/>
      </c>
      <c r="K100" s="61" t="str">
        <f t="array" ref="K100">IF(A100="","",IFERROR(INDEX(Calc!$N:$N,MATCH(IF(A100="","",A100&amp;"|Reel"),Calc!$AN:$AN,0)),""))</f>
        <v/>
      </c>
      <c r="L100" s="62" t="str">
        <f t="array" ref="L100">IF(A100="","",IFERROR(INDEX(Calc!$AI:$AI,MATCH(IF(A100="","",A100&amp;"|Reel"),Calc!$AN:$AN,0)),""))</f>
        <v/>
      </c>
    </row>
    <row r="101" ht="15.75" customHeight="1">
      <c r="A101" s="60" t="str">
        <f>IF(IFERROR(AGGREGATE(14,6,(Calc!$AP$2:$AP$501)/((Calc!$AM$2:$AM$501=1)*(Calc!$G$2:$G$501="Reel")),27),"")="","",LEFT(TEXT(IFERROR(AGGREGATE(14,6,(Calc!$AP$2:$AP$501)/((Calc!$AM$2:$AM$501=1)*(Calc!$G$2:$G$501="Reel")),27),""),"000000"),4)&amp;"-"&amp;RIGHT(TEXT(IFERROR(AGGREGATE(14,6,(Calc!$AP$2:$AP$501)/((Calc!$AM$2:$AM$501=1)*(Calc!$G$2:$G$501="Reel")),27),""),"000000"),2))</f>
        <v/>
      </c>
      <c r="B101" s="60" t="str">
        <f t="array" ref="B101">IF(A101="","",IFERROR(INDEX(Calc!$E:$E,MATCH(IF(A101="","",A101&amp;"|Reel"),Calc!$AN:$AN,0)),""))</f>
        <v/>
      </c>
      <c r="C101" s="60" t="str">
        <f t="array" ref="C101">IF(A101="","",IFERROR(INDEX(Calc!$D:$D,MATCH(IF(A101="","",A101&amp;"|Reel"),Calc!$AN:$AN,0)),""))</f>
        <v/>
      </c>
      <c r="D101" s="60" t="str">
        <f t="array" ref="D101">IF(A101="","",IFERROR(INDEX(Calc!$F:$F,MATCH(IF(A101="","",A101&amp;"|Reel"),Calc!$AN:$AN,0)),""))</f>
        <v/>
      </c>
      <c r="E101" s="60" t="str">
        <f t="array" ref="E101">IF(A101="","",IFERROR(INDEX(Calc!$H:$H,MATCH(IF(A101="","",A101&amp;"|Reel"),Calc!$AN:$AN,0)),""))</f>
        <v/>
      </c>
      <c r="F101" s="61" t="str">
        <f t="array" ref="F101">IF(A101="","",IFERROR(INDEX(Calc!$I:$I,MATCH(IF(A101="","",A101&amp;"|Reel"),Calc!$AN:$AN,0)),""))</f>
        <v/>
      </c>
      <c r="G101" s="61" t="str">
        <f t="array" ref="G101">IF(A101="","",IFERROR(INDEX(Calc!$J:$J,MATCH(IF(A101="","",A101&amp;"|Reel"),Calc!$AN:$AN,0)),""))</f>
        <v/>
      </c>
      <c r="H101" s="61" t="str">
        <f t="array" ref="H101">IF(A101="","",IFERROR(INDEX(Calc!$K:$K,MATCH(IF(A101="","",A101&amp;"|Reel"),Calc!$AN:$AN,0)),""))</f>
        <v/>
      </c>
      <c r="I101" s="61" t="str">
        <f t="array" ref="I101">IF(A101="","",IFERROR(INDEX(Calc!$L:$L,MATCH(IF(A101="","",A101&amp;"|Reel"),Calc!$AN:$AN,0)),""))</f>
        <v/>
      </c>
      <c r="J101" s="61" t="str">
        <f t="array" ref="J101">IF(A101="","",IFERROR(INDEX(Calc!$M:$M,MATCH(IF(A101="","",A101&amp;"|Reel"),Calc!$AN:$AN,0)),""))</f>
        <v/>
      </c>
      <c r="K101" s="61" t="str">
        <f t="array" ref="K101">IF(A101="","",IFERROR(INDEX(Calc!$N:$N,MATCH(IF(A101="","",A101&amp;"|Reel"),Calc!$AN:$AN,0)),""))</f>
        <v/>
      </c>
      <c r="L101" s="62" t="str">
        <f t="array" ref="L101">IF(A101="","",IFERROR(INDEX(Calc!$AI:$AI,MATCH(IF(A101="","",A101&amp;"|Reel"),Calc!$AN:$AN,0)),""))</f>
        <v/>
      </c>
    </row>
    <row r="102" ht="15.75" customHeight="1">
      <c r="A102" s="60" t="str">
        <f>IF(IFERROR(AGGREGATE(14,6,(Calc!$AP$2:$AP$501)/((Calc!$AM$2:$AM$501=1)*(Calc!$G$2:$G$501="Reel")),28),"")="","",LEFT(TEXT(IFERROR(AGGREGATE(14,6,(Calc!$AP$2:$AP$501)/((Calc!$AM$2:$AM$501=1)*(Calc!$G$2:$G$501="Reel")),28),""),"000000"),4)&amp;"-"&amp;RIGHT(TEXT(IFERROR(AGGREGATE(14,6,(Calc!$AP$2:$AP$501)/((Calc!$AM$2:$AM$501=1)*(Calc!$G$2:$G$501="Reel")),28),""),"000000"),2))</f>
        <v/>
      </c>
      <c r="B102" s="60" t="str">
        <f t="array" ref="B102">IF(A102="","",IFERROR(INDEX(Calc!$E:$E,MATCH(IF(A102="","",A102&amp;"|Reel"),Calc!$AN:$AN,0)),""))</f>
        <v/>
      </c>
      <c r="C102" s="60" t="str">
        <f t="array" ref="C102">IF(A102="","",IFERROR(INDEX(Calc!$D:$D,MATCH(IF(A102="","",A102&amp;"|Reel"),Calc!$AN:$AN,0)),""))</f>
        <v/>
      </c>
      <c r="D102" s="60" t="str">
        <f t="array" ref="D102">IF(A102="","",IFERROR(INDEX(Calc!$F:$F,MATCH(IF(A102="","",A102&amp;"|Reel"),Calc!$AN:$AN,0)),""))</f>
        <v/>
      </c>
      <c r="E102" s="60" t="str">
        <f t="array" ref="E102">IF(A102="","",IFERROR(INDEX(Calc!$H:$H,MATCH(IF(A102="","",A102&amp;"|Reel"),Calc!$AN:$AN,0)),""))</f>
        <v/>
      </c>
      <c r="F102" s="61" t="str">
        <f t="array" ref="F102">IF(A102="","",IFERROR(INDEX(Calc!$I:$I,MATCH(IF(A102="","",A102&amp;"|Reel"),Calc!$AN:$AN,0)),""))</f>
        <v/>
      </c>
      <c r="G102" s="61" t="str">
        <f t="array" ref="G102">IF(A102="","",IFERROR(INDEX(Calc!$J:$J,MATCH(IF(A102="","",A102&amp;"|Reel"),Calc!$AN:$AN,0)),""))</f>
        <v/>
      </c>
      <c r="H102" s="61" t="str">
        <f t="array" ref="H102">IF(A102="","",IFERROR(INDEX(Calc!$K:$K,MATCH(IF(A102="","",A102&amp;"|Reel"),Calc!$AN:$AN,0)),""))</f>
        <v/>
      </c>
      <c r="I102" s="61" t="str">
        <f t="array" ref="I102">IF(A102="","",IFERROR(INDEX(Calc!$L:$L,MATCH(IF(A102="","",A102&amp;"|Reel"),Calc!$AN:$AN,0)),""))</f>
        <v/>
      </c>
      <c r="J102" s="61" t="str">
        <f t="array" ref="J102">IF(A102="","",IFERROR(INDEX(Calc!$M:$M,MATCH(IF(A102="","",A102&amp;"|Reel"),Calc!$AN:$AN,0)),""))</f>
        <v/>
      </c>
      <c r="K102" s="61" t="str">
        <f t="array" ref="K102">IF(A102="","",IFERROR(INDEX(Calc!$N:$N,MATCH(IF(A102="","",A102&amp;"|Reel"),Calc!$AN:$AN,0)),""))</f>
        <v/>
      </c>
      <c r="L102" s="62" t="str">
        <f t="array" ref="L102">IF(A102="","",IFERROR(INDEX(Calc!$AI:$AI,MATCH(IF(A102="","",A102&amp;"|Reel"),Calc!$AN:$AN,0)),""))</f>
        <v/>
      </c>
    </row>
    <row r="103" ht="15.75" customHeight="1">
      <c r="A103" s="60" t="str">
        <f>IF(IFERROR(AGGREGATE(14,6,(Calc!$AP$2:$AP$501)/((Calc!$AM$2:$AM$501=1)*(Calc!$G$2:$G$501="Reel")),29),"")="","",LEFT(TEXT(IFERROR(AGGREGATE(14,6,(Calc!$AP$2:$AP$501)/((Calc!$AM$2:$AM$501=1)*(Calc!$G$2:$G$501="Reel")),29),""),"000000"),4)&amp;"-"&amp;RIGHT(TEXT(IFERROR(AGGREGATE(14,6,(Calc!$AP$2:$AP$501)/((Calc!$AM$2:$AM$501=1)*(Calc!$G$2:$G$501="Reel")),29),""),"000000"),2))</f>
        <v/>
      </c>
      <c r="B103" s="60" t="str">
        <f t="array" ref="B103">IF(A103="","",IFERROR(INDEX(Calc!$E:$E,MATCH(IF(A103="","",A103&amp;"|Reel"),Calc!$AN:$AN,0)),""))</f>
        <v/>
      </c>
      <c r="C103" s="60" t="str">
        <f t="array" ref="C103">IF(A103="","",IFERROR(INDEX(Calc!$D:$D,MATCH(IF(A103="","",A103&amp;"|Reel"),Calc!$AN:$AN,0)),""))</f>
        <v/>
      </c>
      <c r="D103" s="60" t="str">
        <f t="array" ref="D103">IF(A103="","",IFERROR(INDEX(Calc!$F:$F,MATCH(IF(A103="","",A103&amp;"|Reel"),Calc!$AN:$AN,0)),""))</f>
        <v/>
      </c>
      <c r="E103" s="60" t="str">
        <f t="array" ref="E103">IF(A103="","",IFERROR(INDEX(Calc!$H:$H,MATCH(IF(A103="","",A103&amp;"|Reel"),Calc!$AN:$AN,0)),""))</f>
        <v/>
      </c>
      <c r="F103" s="61" t="str">
        <f t="array" ref="F103">IF(A103="","",IFERROR(INDEX(Calc!$I:$I,MATCH(IF(A103="","",A103&amp;"|Reel"),Calc!$AN:$AN,0)),""))</f>
        <v/>
      </c>
      <c r="G103" s="61" t="str">
        <f t="array" ref="G103">IF(A103="","",IFERROR(INDEX(Calc!$J:$J,MATCH(IF(A103="","",A103&amp;"|Reel"),Calc!$AN:$AN,0)),""))</f>
        <v/>
      </c>
      <c r="H103" s="61" t="str">
        <f t="array" ref="H103">IF(A103="","",IFERROR(INDEX(Calc!$K:$K,MATCH(IF(A103="","",A103&amp;"|Reel"),Calc!$AN:$AN,0)),""))</f>
        <v/>
      </c>
      <c r="I103" s="61" t="str">
        <f t="array" ref="I103">IF(A103="","",IFERROR(INDEX(Calc!$L:$L,MATCH(IF(A103="","",A103&amp;"|Reel"),Calc!$AN:$AN,0)),""))</f>
        <v/>
      </c>
      <c r="J103" s="61" t="str">
        <f t="array" ref="J103">IF(A103="","",IFERROR(INDEX(Calc!$M:$M,MATCH(IF(A103="","",A103&amp;"|Reel"),Calc!$AN:$AN,0)),""))</f>
        <v/>
      </c>
      <c r="K103" s="61" t="str">
        <f t="array" ref="K103">IF(A103="","",IFERROR(INDEX(Calc!$N:$N,MATCH(IF(A103="","",A103&amp;"|Reel"),Calc!$AN:$AN,0)),""))</f>
        <v/>
      </c>
      <c r="L103" s="62" t="str">
        <f t="array" ref="L103">IF(A103="","",IFERROR(INDEX(Calc!$AI:$AI,MATCH(IF(A103="","",A103&amp;"|Reel"),Calc!$AN:$AN,0)),""))</f>
        <v/>
      </c>
    </row>
    <row r="104" ht="15.75" customHeight="1">
      <c r="A104" s="60" t="str">
        <f>IF(IFERROR(AGGREGATE(14,6,(Calc!$AP$2:$AP$501)/((Calc!$AM$2:$AM$501=1)*(Calc!$G$2:$G$501="Reel")),30),"")="","",LEFT(TEXT(IFERROR(AGGREGATE(14,6,(Calc!$AP$2:$AP$501)/((Calc!$AM$2:$AM$501=1)*(Calc!$G$2:$G$501="Reel")),30),""),"000000"),4)&amp;"-"&amp;RIGHT(TEXT(IFERROR(AGGREGATE(14,6,(Calc!$AP$2:$AP$501)/((Calc!$AM$2:$AM$501=1)*(Calc!$G$2:$G$501="Reel")),30),""),"000000"),2))</f>
        <v/>
      </c>
      <c r="B104" s="60" t="str">
        <f t="array" ref="B104">IF(A104="","",IFERROR(INDEX(Calc!$E:$E,MATCH(IF(A104="","",A104&amp;"|Reel"),Calc!$AN:$AN,0)),""))</f>
        <v/>
      </c>
      <c r="C104" s="60" t="str">
        <f t="array" ref="C104">IF(A104="","",IFERROR(INDEX(Calc!$D:$D,MATCH(IF(A104="","",A104&amp;"|Reel"),Calc!$AN:$AN,0)),""))</f>
        <v/>
      </c>
      <c r="D104" s="60" t="str">
        <f t="array" ref="D104">IF(A104="","",IFERROR(INDEX(Calc!$F:$F,MATCH(IF(A104="","",A104&amp;"|Reel"),Calc!$AN:$AN,0)),""))</f>
        <v/>
      </c>
      <c r="E104" s="60" t="str">
        <f t="array" ref="E104">IF(A104="","",IFERROR(INDEX(Calc!$H:$H,MATCH(IF(A104="","",A104&amp;"|Reel"),Calc!$AN:$AN,0)),""))</f>
        <v/>
      </c>
      <c r="F104" s="61" t="str">
        <f t="array" ref="F104">IF(A104="","",IFERROR(INDEX(Calc!$I:$I,MATCH(IF(A104="","",A104&amp;"|Reel"),Calc!$AN:$AN,0)),""))</f>
        <v/>
      </c>
      <c r="G104" s="61" t="str">
        <f t="array" ref="G104">IF(A104="","",IFERROR(INDEX(Calc!$J:$J,MATCH(IF(A104="","",A104&amp;"|Reel"),Calc!$AN:$AN,0)),""))</f>
        <v/>
      </c>
      <c r="H104" s="61" t="str">
        <f t="array" ref="H104">IF(A104="","",IFERROR(INDEX(Calc!$K:$K,MATCH(IF(A104="","",A104&amp;"|Reel"),Calc!$AN:$AN,0)),""))</f>
        <v/>
      </c>
      <c r="I104" s="61" t="str">
        <f t="array" ref="I104">IF(A104="","",IFERROR(INDEX(Calc!$L:$L,MATCH(IF(A104="","",A104&amp;"|Reel"),Calc!$AN:$AN,0)),""))</f>
        <v/>
      </c>
      <c r="J104" s="61" t="str">
        <f t="array" ref="J104">IF(A104="","",IFERROR(INDEX(Calc!$M:$M,MATCH(IF(A104="","",A104&amp;"|Reel"),Calc!$AN:$AN,0)),""))</f>
        <v/>
      </c>
      <c r="K104" s="61" t="str">
        <f t="array" ref="K104">IF(A104="","",IFERROR(INDEX(Calc!$N:$N,MATCH(IF(A104="","",A104&amp;"|Reel"),Calc!$AN:$AN,0)),""))</f>
        <v/>
      </c>
      <c r="L104" s="62" t="str">
        <f t="array" ref="L104">IF(A104="","",IFERROR(INDEX(Calc!$AI:$AI,MATCH(IF(A104="","",A104&amp;"|Reel"),Calc!$AN:$AN,0)),""))</f>
        <v/>
      </c>
    </row>
    <row r="105" ht="15.75" customHeight="1"/>
    <row r="106" ht="19.5" customHeight="1">
      <c r="A106" s="21" t="s">
        <v>148</v>
      </c>
      <c r="B106" s="22"/>
      <c r="C106" s="22"/>
      <c r="D106" s="22"/>
      <c r="E106" s="22"/>
      <c r="F106" s="22"/>
      <c r="G106" s="22"/>
      <c r="H106" s="22"/>
      <c r="I106" s="22"/>
      <c r="J106" s="22"/>
      <c r="K106" s="22"/>
      <c r="L106" s="22"/>
      <c r="M106" s="7"/>
    </row>
    <row r="107" ht="15.75" customHeight="1">
      <c r="A107" s="58" t="s">
        <v>149</v>
      </c>
      <c r="B107" s="58" t="s">
        <v>144</v>
      </c>
      <c r="C107" s="58" t="s">
        <v>19</v>
      </c>
      <c r="D107" s="58" t="s">
        <v>45</v>
      </c>
      <c r="E107" s="58" t="s">
        <v>31</v>
      </c>
      <c r="F107" s="58" t="s">
        <v>20</v>
      </c>
      <c r="G107" s="58" t="s">
        <v>48</v>
      </c>
      <c r="H107" s="58" t="s">
        <v>49</v>
      </c>
      <c r="I107" s="58" t="s">
        <v>50</v>
      </c>
      <c r="J107" s="58" t="s">
        <v>51</v>
      </c>
      <c r="K107" s="58" t="s">
        <v>145</v>
      </c>
      <c r="L107" s="58" t="s">
        <v>146</v>
      </c>
    </row>
    <row r="108" ht="15.75" customHeight="1">
      <c r="A108" s="60">
        <v>1.0</v>
      </c>
      <c r="B108" s="60" t="str">
        <f t="array" ref="B108">IFERROR(INDEX(Calc!$E:$E,MATCH(IFERROR(AGGREGATE(14,6,(Calc!$AO$2:$AO$501)/(Calc!$G$2:$G$501="Reel"),1),""),Calc!$AO:$AO,0)),"")</f>
        <v/>
      </c>
      <c r="C108" s="60" t="str">
        <f t="array" ref="C108">IFERROR(INDEX(Calc!$D:$D,MATCH(IFERROR(AGGREGATE(14,6,(Calc!$AO$2:$AO$501)/(Calc!$G$2:$G$501="Reel"),1),""),Calc!$AO:$AO,0)),"")</f>
        <v/>
      </c>
      <c r="D108" s="60" t="str">
        <f t="array" ref="D108">IFERROR(INDEX(Calc!$F:$F,MATCH(IFERROR(AGGREGATE(14,6,(Calc!$AO$2:$AO$501)/(Calc!$G$2:$G$501="Reel"),1),""),Calc!$AO:$AO,0)),"")</f>
        <v/>
      </c>
      <c r="E108" s="60" t="str">
        <f t="array" ref="E108">IFERROR(INDEX(Calc!$H:$H,MATCH(IFERROR(AGGREGATE(14,6,(Calc!$AO$2:$AO$501)/(Calc!$G$2:$G$501="Reel"),1),""),Calc!$AO:$AO,0)),"")</f>
        <v/>
      </c>
      <c r="F108" s="61" t="str">
        <f t="array" ref="F108">IFERROR(INDEX(Calc!$I:$I,MATCH(IFERROR(AGGREGATE(14,6,(Calc!$AO$2:$AO$501)/(Calc!$G$2:$G$501="Reel"),1),""),Calc!$AO:$AO,0)),"")</f>
        <v/>
      </c>
      <c r="G108" s="61" t="str">
        <f t="array" ref="G108">IFERROR(INDEX(Calc!$J:$J,MATCH(IFERROR(AGGREGATE(14,6,(Calc!$AO$2:$AO$501)/(Calc!$G$2:$G$501="Reel"),1),""),Calc!$AO:$AO,0)),"")</f>
        <v/>
      </c>
      <c r="H108" s="61" t="str">
        <f t="array" ref="H108">IFERROR(INDEX(Calc!$K:$K,MATCH(IFERROR(AGGREGATE(14,6,(Calc!$AO$2:$AO$501)/(Calc!$G$2:$G$501="Reel"),1),""),Calc!$AO:$AO,0)),"")</f>
        <v/>
      </c>
      <c r="I108" s="61" t="str">
        <f t="array" ref="I108">IFERROR(INDEX(Calc!$L:$L,MATCH(IFERROR(AGGREGATE(14,6,(Calc!$AO$2:$AO$501)/(Calc!$G$2:$G$501="Reel"),1),""),Calc!$AO:$AO,0)),"")</f>
        <v/>
      </c>
      <c r="J108" s="61" t="str">
        <f t="array" ref="J108">IFERROR(INDEX(Calc!$M:$M,MATCH(IFERROR(AGGREGATE(14,6,(Calc!$AO$2:$AO$501)/(Calc!$G$2:$G$501="Reel"),1),""),Calc!$AO:$AO,0)),"")</f>
        <v/>
      </c>
      <c r="K108" s="61" t="str">
        <f t="array" ref="K108">IFERROR(INDEX(Calc!$N:$N,MATCH(IFERROR(AGGREGATE(14,6,(Calc!$AO$2:$AO$501)/(Calc!$G$2:$G$501="Reel"),1),""),Calc!$AO:$AO,0)),"")</f>
        <v/>
      </c>
      <c r="L108" s="62" t="str">
        <f t="array" ref="L108">IFERROR(INDEX(Calc!$AJ:$AJ,MATCH(IFERROR(AGGREGATE(14,6,(Calc!$AO$2:$AO$501)/(Calc!$G$2:$G$501="Reel"),1),""),Calc!$AO:$AO,0)),"")</f>
        <v/>
      </c>
    </row>
    <row r="109" ht="15.75" customHeight="1">
      <c r="A109" s="60">
        <v>2.0</v>
      </c>
      <c r="B109" s="60" t="str">
        <f t="array" ref="B109">IFERROR(INDEX(Calc!$E:$E,MATCH(IFERROR(AGGREGATE(14,6,(Calc!$AO$2:$AO$501)/(Calc!$G$2:$G$501="Reel"),2),""),Calc!$AO:$AO,0)),"")</f>
        <v/>
      </c>
      <c r="C109" s="60" t="str">
        <f t="array" ref="C109">IFERROR(INDEX(Calc!$D:$D,MATCH(IFERROR(AGGREGATE(14,6,(Calc!$AO$2:$AO$501)/(Calc!$G$2:$G$501="Reel"),2),""),Calc!$AO:$AO,0)),"")</f>
        <v/>
      </c>
      <c r="D109" s="60" t="str">
        <f t="array" ref="D109">IFERROR(INDEX(Calc!$F:$F,MATCH(IFERROR(AGGREGATE(14,6,(Calc!$AO$2:$AO$501)/(Calc!$G$2:$G$501="Reel"),2),""),Calc!$AO:$AO,0)),"")</f>
        <v/>
      </c>
      <c r="E109" s="60" t="str">
        <f t="array" ref="E109">IFERROR(INDEX(Calc!$H:$H,MATCH(IFERROR(AGGREGATE(14,6,(Calc!$AO$2:$AO$501)/(Calc!$G$2:$G$501="Reel"),2),""),Calc!$AO:$AO,0)),"")</f>
        <v/>
      </c>
      <c r="F109" s="61" t="str">
        <f t="array" ref="F109">IFERROR(INDEX(Calc!$I:$I,MATCH(IFERROR(AGGREGATE(14,6,(Calc!$AO$2:$AO$501)/(Calc!$G$2:$G$501="Reel"),2),""),Calc!$AO:$AO,0)),"")</f>
        <v/>
      </c>
      <c r="G109" s="61" t="str">
        <f t="array" ref="G109">IFERROR(INDEX(Calc!$J:$J,MATCH(IFERROR(AGGREGATE(14,6,(Calc!$AO$2:$AO$501)/(Calc!$G$2:$G$501="Reel"),2),""),Calc!$AO:$AO,0)),"")</f>
        <v/>
      </c>
      <c r="H109" s="61" t="str">
        <f t="array" ref="H109">IFERROR(INDEX(Calc!$K:$K,MATCH(IFERROR(AGGREGATE(14,6,(Calc!$AO$2:$AO$501)/(Calc!$G$2:$G$501="Reel"),2),""),Calc!$AO:$AO,0)),"")</f>
        <v/>
      </c>
      <c r="I109" s="61" t="str">
        <f t="array" ref="I109">IFERROR(INDEX(Calc!$L:$L,MATCH(IFERROR(AGGREGATE(14,6,(Calc!$AO$2:$AO$501)/(Calc!$G$2:$G$501="Reel"),2),""),Calc!$AO:$AO,0)),"")</f>
        <v/>
      </c>
      <c r="J109" s="61" t="str">
        <f t="array" ref="J109">IFERROR(INDEX(Calc!$M:$M,MATCH(IFERROR(AGGREGATE(14,6,(Calc!$AO$2:$AO$501)/(Calc!$G$2:$G$501="Reel"),2),""),Calc!$AO:$AO,0)),"")</f>
        <v/>
      </c>
      <c r="K109" s="61" t="str">
        <f t="array" ref="K109">IFERROR(INDEX(Calc!$N:$N,MATCH(IFERROR(AGGREGATE(14,6,(Calc!$AO$2:$AO$501)/(Calc!$G$2:$G$501="Reel"),2),""),Calc!$AO:$AO,0)),"")</f>
        <v/>
      </c>
      <c r="L109" s="62" t="str">
        <f t="array" ref="L109">IFERROR(INDEX(Calc!$AJ:$AJ,MATCH(IFERROR(AGGREGATE(14,6,(Calc!$AO$2:$AO$501)/(Calc!$G$2:$G$501="Reel"),2),""),Calc!$AO:$AO,0)),"")</f>
        <v/>
      </c>
    </row>
    <row r="110" ht="15.75" customHeight="1">
      <c r="A110" s="60">
        <v>3.0</v>
      </c>
      <c r="B110" s="60" t="str">
        <f t="array" ref="B110">IFERROR(INDEX(Calc!$E:$E,MATCH(IFERROR(AGGREGATE(14,6,(Calc!$AO$2:$AO$501)/(Calc!$G$2:$G$501="Reel"),3),""),Calc!$AO:$AO,0)),"")</f>
        <v/>
      </c>
      <c r="C110" s="60" t="str">
        <f t="array" ref="C110">IFERROR(INDEX(Calc!$D:$D,MATCH(IFERROR(AGGREGATE(14,6,(Calc!$AO$2:$AO$501)/(Calc!$G$2:$G$501="Reel"),3),""),Calc!$AO:$AO,0)),"")</f>
        <v/>
      </c>
      <c r="D110" s="60" t="str">
        <f t="array" ref="D110">IFERROR(INDEX(Calc!$F:$F,MATCH(IFERROR(AGGREGATE(14,6,(Calc!$AO$2:$AO$501)/(Calc!$G$2:$G$501="Reel"),3),""),Calc!$AO:$AO,0)),"")</f>
        <v/>
      </c>
      <c r="E110" s="60" t="str">
        <f t="array" ref="E110">IFERROR(INDEX(Calc!$H:$H,MATCH(IFERROR(AGGREGATE(14,6,(Calc!$AO$2:$AO$501)/(Calc!$G$2:$G$501="Reel"),3),""),Calc!$AO:$AO,0)),"")</f>
        <v/>
      </c>
      <c r="F110" s="61" t="str">
        <f t="array" ref="F110">IFERROR(INDEX(Calc!$I:$I,MATCH(IFERROR(AGGREGATE(14,6,(Calc!$AO$2:$AO$501)/(Calc!$G$2:$G$501="Reel"),3),""),Calc!$AO:$AO,0)),"")</f>
        <v/>
      </c>
      <c r="G110" s="61" t="str">
        <f t="array" ref="G110">IFERROR(INDEX(Calc!$J:$J,MATCH(IFERROR(AGGREGATE(14,6,(Calc!$AO$2:$AO$501)/(Calc!$G$2:$G$501="Reel"),3),""),Calc!$AO:$AO,0)),"")</f>
        <v/>
      </c>
      <c r="H110" s="61" t="str">
        <f t="array" ref="H110">IFERROR(INDEX(Calc!$K:$K,MATCH(IFERROR(AGGREGATE(14,6,(Calc!$AO$2:$AO$501)/(Calc!$G$2:$G$501="Reel"),3),""),Calc!$AO:$AO,0)),"")</f>
        <v/>
      </c>
      <c r="I110" s="61" t="str">
        <f t="array" ref="I110">IFERROR(INDEX(Calc!$L:$L,MATCH(IFERROR(AGGREGATE(14,6,(Calc!$AO$2:$AO$501)/(Calc!$G$2:$G$501="Reel"),3),""),Calc!$AO:$AO,0)),"")</f>
        <v/>
      </c>
      <c r="J110" s="61" t="str">
        <f t="array" ref="J110">IFERROR(INDEX(Calc!$M:$M,MATCH(IFERROR(AGGREGATE(14,6,(Calc!$AO$2:$AO$501)/(Calc!$G$2:$G$501="Reel"),3),""),Calc!$AO:$AO,0)),"")</f>
        <v/>
      </c>
      <c r="K110" s="61" t="str">
        <f t="array" ref="K110">IFERROR(INDEX(Calc!$N:$N,MATCH(IFERROR(AGGREGATE(14,6,(Calc!$AO$2:$AO$501)/(Calc!$G$2:$G$501="Reel"),3),""),Calc!$AO:$AO,0)),"")</f>
        <v/>
      </c>
      <c r="L110" s="62" t="str">
        <f t="array" ref="L110">IFERROR(INDEX(Calc!$AJ:$AJ,MATCH(IFERROR(AGGREGATE(14,6,(Calc!$AO$2:$AO$501)/(Calc!$G$2:$G$501="Reel"),3),""),Calc!$AO:$AO,0)),"")</f>
        <v/>
      </c>
    </row>
    <row r="111" ht="15.75" customHeight="1">
      <c r="A111" s="60">
        <v>4.0</v>
      </c>
      <c r="B111" s="60" t="str">
        <f t="array" ref="B111">IFERROR(INDEX(Calc!$E:$E,MATCH(IFERROR(AGGREGATE(14,6,(Calc!$AO$2:$AO$501)/(Calc!$G$2:$G$501="Reel"),4),""),Calc!$AO:$AO,0)),"")</f>
        <v/>
      </c>
      <c r="C111" s="60" t="str">
        <f t="array" ref="C111">IFERROR(INDEX(Calc!$D:$D,MATCH(IFERROR(AGGREGATE(14,6,(Calc!$AO$2:$AO$501)/(Calc!$G$2:$G$501="Reel"),4),""),Calc!$AO:$AO,0)),"")</f>
        <v/>
      </c>
      <c r="D111" s="60" t="str">
        <f t="array" ref="D111">IFERROR(INDEX(Calc!$F:$F,MATCH(IFERROR(AGGREGATE(14,6,(Calc!$AO$2:$AO$501)/(Calc!$G$2:$G$501="Reel"),4),""),Calc!$AO:$AO,0)),"")</f>
        <v/>
      </c>
      <c r="E111" s="60" t="str">
        <f t="array" ref="E111">IFERROR(INDEX(Calc!$H:$H,MATCH(IFERROR(AGGREGATE(14,6,(Calc!$AO$2:$AO$501)/(Calc!$G$2:$G$501="Reel"),4),""),Calc!$AO:$AO,0)),"")</f>
        <v/>
      </c>
      <c r="F111" s="61" t="str">
        <f t="array" ref="F111">IFERROR(INDEX(Calc!$I:$I,MATCH(IFERROR(AGGREGATE(14,6,(Calc!$AO$2:$AO$501)/(Calc!$G$2:$G$501="Reel"),4),""),Calc!$AO:$AO,0)),"")</f>
        <v/>
      </c>
      <c r="G111" s="61" t="str">
        <f t="array" ref="G111">IFERROR(INDEX(Calc!$J:$J,MATCH(IFERROR(AGGREGATE(14,6,(Calc!$AO$2:$AO$501)/(Calc!$G$2:$G$501="Reel"),4),""),Calc!$AO:$AO,0)),"")</f>
        <v/>
      </c>
      <c r="H111" s="61" t="str">
        <f t="array" ref="H111">IFERROR(INDEX(Calc!$K:$K,MATCH(IFERROR(AGGREGATE(14,6,(Calc!$AO$2:$AO$501)/(Calc!$G$2:$G$501="Reel"),4),""),Calc!$AO:$AO,0)),"")</f>
        <v/>
      </c>
      <c r="I111" s="61" t="str">
        <f t="array" ref="I111">IFERROR(INDEX(Calc!$L:$L,MATCH(IFERROR(AGGREGATE(14,6,(Calc!$AO$2:$AO$501)/(Calc!$G$2:$G$501="Reel"),4),""),Calc!$AO:$AO,0)),"")</f>
        <v/>
      </c>
      <c r="J111" s="61" t="str">
        <f t="array" ref="J111">IFERROR(INDEX(Calc!$M:$M,MATCH(IFERROR(AGGREGATE(14,6,(Calc!$AO$2:$AO$501)/(Calc!$G$2:$G$501="Reel"),4),""),Calc!$AO:$AO,0)),"")</f>
        <v/>
      </c>
      <c r="K111" s="61" t="str">
        <f t="array" ref="K111">IFERROR(INDEX(Calc!$N:$N,MATCH(IFERROR(AGGREGATE(14,6,(Calc!$AO$2:$AO$501)/(Calc!$G$2:$G$501="Reel"),4),""),Calc!$AO:$AO,0)),"")</f>
        <v/>
      </c>
      <c r="L111" s="62" t="str">
        <f t="array" ref="L111">IFERROR(INDEX(Calc!$AJ:$AJ,MATCH(IFERROR(AGGREGATE(14,6,(Calc!$AO$2:$AO$501)/(Calc!$G$2:$G$501="Reel"),4),""),Calc!$AO:$AO,0)),"")</f>
        <v/>
      </c>
    </row>
    <row r="112" ht="15.75" customHeight="1">
      <c r="A112" s="60">
        <v>5.0</v>
      </c>
      <c r="B112" s="60" t="str">
        <f t="array" ref="B112">IFERROR(INDEX(Calc!$E:$E,MATCH(IFERROR(AGGREGATE(14,6,(Calc!$AO$2:$AO$501)/(Calc!$G$2:$G$501="Reel"),5),""),Calc!$AO:$AO,0)),"")</f>
        <v/>
      </c>
      <c r="C112" s="60" t="str">
        <f t="array" ref="C112">IFERROR(INDEX(Calc!$D:$D,MATCH(IFERROR(AGGREGATE(14,6,(Calc!$AO$2:$AO$501)/(Calc!$G$2:$G$501="Reel"),5),""),Calc!$AO:$AO,0)),"")</f>
        <v/>
      </c>
      <c r="D112" s="60" t="str">
        <f t="array" ref="D112">IFERROR(INDEX(Calc!$F:$F,MATCH(IFERROR(AGGREGATE(14,6,(Calc!$AO$2:$AO$501)/(Calc!$G$2:$G$501="Reel"),5),""),Calc!$AO:$AO,0)),"")</f>
        <v/>
      </c>
      <c r="E112" s="60" t="str">
        <f t="array" ref="E112">IFERROR(INDEX(Calc!$H:$H,MATCH(IFERROR(AGGREGATE(14,6,(Calc!$AO$2:$AO$501)/(Calc!$G$2:$G$501="Reel"),5),""),Calc!$AO:$AO,0)),"")</f>
        <v/>
      </c>
      <c r="F112" s="61" t="str">
        <f t="array" ref="F112">IFERROR(INDEX(Calc!$I:$I,MATCH(IFERROR(AGGREGATE(14,6,(Calc!$AO$2:$AO$501)/(Calc!$G$2:$G$501="Reel"),5),""),Calc!$AO:$AO,0)),"")</f>
        <v/>
      </c>
      <c r="G112" s="61" t="str">
        <f t="array" ref="G112">IFERROR(INDEX(Calc!$J:$J,MATCH(IFERROR(AGGREGATE(14,6,(Calc!$AO$2:$AO$501)/(Calc!$G$2:$G$501="Reel"),5),""),Calc!$AO:$AO,0)),"")</f>
        <v/>
      </c>
      <c r="H112" s="61" t="str">
        <f t="array" ref="H112">IFERROR(INDEX(Calc!$K:$K,MATCH(IFERROR(AGGREGATE(14,6,(Calc!$AO$2:$AO$501)/(Calc!$G$2:$G$501="Reel"),5),""),Calc!$AO:$AO,0)),"")</f>
        <v/>
      </c>
      <c r="I112" s="61" t="str">
        <f t="array" ref="I112">IFERROR(INDEX(Calc!$L:$L,MATCH(IFERROR(AGGREGATE(14,6,(Calc!$AO$2:$AO$501)/(Calc!$G$2:$G$501="Reel"),5),""),Calc!$AO:$AO,0)),"")</f>
        <v/>
      </c>
      <c r="J112" s="61" t="str">
        <f t="array" ref="J112">IFERROR(INDEX(Calc!$M:$M,MATCH(IFERROR(AGGREGATE(14,6,(Calc!$AO$2:$AO$501)/(Calc!$G$2:$G$501="Reel"),5),""),Calc!$AO:$AO,0)),"")</f>
        <v/>
      </c>
      <c r="K112" s="61" t="str">
        <f t="array" ref="K112">IFERROR(INDEX(Calc!$N:$N,MATCH(IFERROR(AGGREGATE(14,6,(Calc!$AO$2:$AO$501)/(Calc!$G$2:$G$501="Reel"),5),""),Calc!$AO:$AO,0)),"")</f>
        <v/>
      </c>
      <c r="L112" s="62" t="str">
        <f t="array" ref="L112">IFERROR(INDEX(Calc!$AJ:$AJ,MATCH(IFERROR(AGGREGATE(14,6,(Calc!$AO$2:$AO$501)/(Calc!$G$2:$G$501="Reel"),5),""),Calc!$AO:$AO,0)),"")</f>
        <v/>
      </c>
    </row>
    <row r="113" ht="15.75" customHeight="1">
      <c r="A113" s="60">
        <v>6.0</v>
      </c>
      <c r="B113" s="60" t="str">
        <f t="array" ref="B113">IFERROR(INDEX(Calc!$E:$E,MATCH(IFERROR(AGGREGATE(14,6,(Calc!$AO$2:$AO$501)/(Calc!$G$2:$G$501="Reel"),6),""),Calc!$AO:$AO,0)),"")</f>
        <v/>
      </c>
      <c r="C113" s="60" t="str">
        <f t="array" ref="C113">IFERROR(INDEX(Calc!$D:$D,MATCH(IFERROR(AGGREGATE(14,6,(Calc!$AO$2:$AO$501)/(Calc!$G$2:$G$501="Reel"),6),""),Calc!$AO:$AO,0)),"")</f>
        <v/>
      </c>
      <c r="D113" s="60" t="str">
        <f t="array" ref="D113">IFERROR(INDEX(Calc!$F:$F,MATCH(IFERROR(AGGREGATE(14,6,(Calc!$AO$2:$AO$501)/(Calc!$G$2:$G$501="Reel"),6),""),Calc!$AO:$AO,0)),"")</f>
        <v/>
      </c>
      <c r="E113" s="60" t="str">
        <f t="array" ref="E113">IFERROR(INDEX(Calc!$H:$H,MATCH(IFERROR(AGGREGATE(14,6,(Calc!$AO$2:$AO$501)/(Calc!$G$2:$G$501="Reel"),6),""),Calc!$AO:$AO,0)),"")</f>
        <v/>
      </c>
      <c r="F113" s="61" t="str">
        <f t="array" ref="F113">IFERROR(INDEX(Calc!$I:$I,MATCH(IFERROR(AGGREGATE(14,6,(Calc!$AO$2:$AO$501)/(Calc!$G$2:$G$501="Reel"),6),""),Calc!$AO:$AO,0)),"")</f>
        <v/>
      </c>
      <c r="G113" s="61" t="str">
        <f t="array" ref="G113">IFERROR(INDEX(Calc!$J:$J,MATCH(IFERROR(AGGREGATE(14,6,(Calc!$AO$2:$AO$501)/(Calc!$G$2:$G$501="Reel"),6),""),Calc!$AO:$AO,0)),"")</f>
        <v/>
      </c>
      <c r="H113" s="61" t="str">
        <f t="array" ref="H113">IFERROR(INDEX(Calc!$K:$K,MATCH(IFERROR(AGGREGATE(14,6,(Calc!$AO$2:$AO$501)/(Calc!$G$2:$G$501="Reel"),6),""),Calc!$AO:$AO,0)),"")</f>
        <v/>
      </c>
      <c r="I113" s="61" t="str">
        <f t="array" ref="I113">IFERROR(INDEX(Calc!$L:$L,MATCH(IFERROR(AGGREGATE(14,6,(Calc!$AO$2:$AO$501)/(Calc!$G$2:$G$501="Reel"),6),""),Calc!$AO:$AO,0)),"")</f>
        <v/>
      </c>
      <c r="J113" s="61" t="str">
        <f t="array" ref="J113">IFERROR(INDEX(Calc!$M:$M,MATCH(IFERROR(AGGREGATE(14,6,(Calc!$AO$2:$AO$501)/(Calc!$G$2:$G$501="Reel"),6),""),Calc!$AO:$AO,0)),"")</f>
        <v/>
      </c>
      <c r="K113" s="61" t="str">
        <f t="array" ref="K113">IFERROR(INDEX(Calc!$N:$N,MATCH(IFERROR(AGGREGATE(14,6,(Calc!$AO$2:$AO$501)/(Calc!$G$2:$G$501="Reel"),6),""),Calc!$AO:$AO,0)),"")</f>
        <v/>
      </c>
      <c r="L113" s="62" t="str">
        <f t="array" ref="L113">IFERROR(INDEX(Calc!$AJ:$AJ,MATCH(IFERROR(AGGREGATE(14,6,(Calc!$AO$2:$AO$501)/(Calc!$G$2:$G$501="Reel"),6),""),Calc!$AO:$AO,0)),"")</f>
        <v/>
      </c>
    </row>
    <row r="114" ht="15.75" customHeight="1">
      <c r="A114" s="60">
        <v>7.0</v>
      </c>
      <c r="B114" s="60" t="str">
        <f t="array" ref="B114">IFERROR(INDEX(Calc!$E:$E,MATCH(IFERROR(AGGREGATE(14,6,(Calc!$AO$2:$AO$501)/(Calc!$G$2:$G$501="Reel"),7),""),Calc!$AO:$AO,0)),"")</f>
        <v/>
      </c>
      <c r="C114" s="60" t="str">
        <f t="array" ref="C114">IFERROR(INDEX(Calc!$D:$D,MATCH(IFERROR(AGGREGATE(14,6,(Calc!$AO$2:$AO$501)/(Calc!$G$2:$G$501="Reel"),7),""),Calc!$AO:$AO,0)),"")</f>
        <v/>
      </c>
      <c r="D114" s="60" t="str">
        <f t="array" ref="D114">IFERROR(INDEX(Calc!$F:$F,MATCH(IFERROR(AGGREGATE(14,6,(Calc!$AO$2:$AO$501)/(Calc!$G$2:$G$501="Reel"),7),""),Calc!$AO:$AO,0)),"")</f>
        <v/>
      </c>
      <c r="E114" s="60" t="str">
        <f t="array" ref="E114">IFERROR(INDEX(Calc!$H:$H,MATCH(IFERROR(AGGREGATE(14,6,(Calc!$AO$2:$AO$501)/(Calc!$G$2:$G$501="Reel"),7),""),Calc!$AO:$AO,0)),"")</f>
        <v/>
      </c>
      <c r="F114" s="61" t="str">
        <f t="array" ref="F114">IFERROR(INDEX(Calc!$I:$I,MATCH(IFERROR(AGGREGATE(14,6,(Calc!$AO$2:$AO$501)/(Calc!$G$2:$G$501="Reel"),7),""),Calc!$AO:$AO,0)),"")</f>
        <v/>
      </c>
      <c r="G114" s="61" t="str">
        <f t="array" ref="G114">IFERROR(INDEX(Calc!$J:$J,MATCH(IFERROR(AGGREGATE(14,6,(Calc!$AO$2:$AO$501)/(Calc!$G$2:$G$501="Reel"),7),""),Calc!$AO:$AO,0)),"")</f>
        <v/>
      </c>
      <c r="H114" s="61" t="str">
        <f t="array" ref="H114">IFERROR(INDEX(Calc!$K:$K,MATCH(IFERROR(AGGREGATE(14,6,(Calc!$AO$2:$AO$501)/(Calc!$G$2:$G$501="Reel"),7),""),Calc!$AO:$AO,0)),"")</f>
        <v/>
      </c>
      <c r="I114" s="61" t="str">
        <f t="array" ref="I114">IFERROR(INDEX(Calc!$L:$L,MATCH(IFERROR(AGGREGATE(14,6,(Calc!$AO$2:$AO$501)/(Calc!$G$2:$G$501="Reel"),7),""),Calc!$AO:$AO,0)),"")</f>
        <v/>
      </c>
      <c r="J114" s="61" t="str">
        <f t="array" ref="J114">IFERROR(INDEX(Calc!$M:$M,MATCH(IFERROR(AGGREGATE(14,6,(Calc!$AO$2:$AO$501)/(Calc!$G$2:$G$501="Reel"),7),""),Calc!$AO:$AO,0)),"")</f>
        <v/>
      </c>
      <c r="K114" s="61" t="str">
        <f t="array" ref="K114">IFERROR(INDEX(Calc!$N:$N,MATCH(IFERROR(AGGREGATE(14,6,(Calc!$AO$2:$AO$501)/(Calc!$G$2:$G$501="Reel"),7),""),Calc!$AO:$AO,0)),"")</f>
        <v/>
      </c>
      <c r="L114" s="62" t="str">
        <f t="array" ref="L114">IFERROR(INDEX(Calc!$AJ:$AJ,MATCH(IFERROR(AGGREGATE(14,6,(Calc!$AO$2:$AO$501)/(Calc!$G$2:$G$501="Reel"),7),""),Calc!$AO:$AO,0)),"")</f>
        <v/>
      </c>
    </row>
    <row r="115" ht="15.75" customHeight="1">
      <c r="A115" s="60">
        <v>8.0</v>
      </c>
      <c r="B115" s="60" t="str">
        <f t="array" ref="B115">IFERROR(INDEX(Calc!$E:$E,MATCH(IFERROR(AGGREGATE(14,6,(Calc!$AO$2:$AO$501)/(Calc!$G$2:$G$501="Reel"),8),""),Calc!$AO:$AO,0)),"")</f>
        <v/>
      </c>
      <c r="C115" s="60" t="str">
        <f t="array" ref="C115">IFERROR(INDEX(Calc!$D:$D,MATCH(IFERROR(AGGREGATE(14,6,(Calc!$AO$2:$AO$501)/(Calc!$G$2:$G$501="Reel"),8),""),Calc!$AO:$AO,0)),"")</f>
        <v/>
      </c>
      <c r="D115" s="60" t="str">
        <f t="array" ref="D115">IFERROR(INDEX(Calc!$F:$F,MATCH(IFERROR(AGGREGATE(14,6,(Calc!$AO$2:$AO$501)/(Calc!$G$2:$G$501="Reel"),8),""),Calc!$AO:$AO,0)),"")</f>
        <v/>
      </c>
      <c r="E115" s="60" t="str">
        <f t="array" ref="E115">IFERROR(INDEX(Calc!$H:$H,MATCH(IFERROR(AGGREGATE(14,6,(Calc!$AO$2:$AO$501)/(Calc!$G$2:$G$501="Reel"),8),""),Calc!$AO:$AO,0)),"")</f>
        <v/>
      </c>
      <c r="F115" s="61" t="str">
        <f t="array" ref="F115">IFERROR(INDEX(Calc!$I:$I,MATCH(IFERROR(AGGREGATE(14,6,(Calc!$AO$2:$AO$501)/(Calc!$G$2:$G$501="Reel"),8),""),Calc!$AO:$AO,0)),"")</f>
        <v/>
      </c>
      <c r="G115" s="61" t="str">
        <f t="array" ref="G115">IFERROR(INDEX(Calc!$J:$J,MATCH(IFERROR(AGGREGATE(14,6,(Calc!$AO$2:$AO$501)/(Calc!$G$2:$G$501="Reel"),8),""),Calc!$AO:$AO,0)),"")</f>
        <v/>
      </c>
      <c r="H115" s="61" t="str">
        <f t="array" ref="H115">IFERROR(INDEX(Calc!$K:$K,MATCH(IFERROR(AGGREGATE(14,6,(Calc!$AO$2:$AO$501)/(Calc!$G$2:$G$501="Reel"),8),""),Calc!$AO:$AO,0)),"")</f>
        <v/>
      </c>
      <c r="I115" s="61" t="str">
        <f t="array" ref="I115">IFERROR(INDEX(Calc!$L:$L,MATCH(IFERROR(AGGREGATE(14,6,(Calc!$AO$2:$AO$501)/(Calc!$G$2:$G$501="Reel"),8),""),Calc!$AO:$AO,0)),"")</f>
        <v/>
      </c>
      <c r="J115" s="61" t="str">
        <f t="array" ref="J115">IFERROR(INDEX(Calc!$M:$M,MATCH(IFERROR(AGGREGATE(14,6,(Calc!$AO$2:$AO$501)/(Calc!$G$2:$G$501="Reel"),8),""),Calc!$AO:$AO,0)),"")</f>
        <v/>
      </c>
      <c r="K115" s="61" t="str">
        <f t="array" ref="K115">IFERROR(INDEX(Calc!$N:$N,MATCH(IFERROR(AGGREGATE(14,6,(Calc!$AO$2:$AO$501)/(Calc!$G$2:$G$501="Reel"),8),""),Calc!$AO:$AO,0)),"")</f>
        <v/>
      </c>
      <c r="L115" s="62" t="str">
        <f t="array" ref="L115">IFERROR(INDEX(Calc!$AJ:$AJ,MATCH(IFERROR(AGGREGATE(14,6,(Calc!$AO$2:$AO$501)/(Calc!$G$2:$G$501="Reel"),8),""),Calc!$AO:$AO,0)),"")</f>
        <v/>
      </c>
    </row>
    <row r="116" ht="15.75" customHeight="1">
      <c r="A116" s="60">
        <v>9.0</v>
      </c>
      <c r="B116" s="60" t="str">
        <f t="array" ref="B116">IFERROR(INDEX(Calc!$E:$E,MATCH(IFERROR(AGGREGATE(14,6,(Calc!$AO$2:$AO$501)/(Calc!$G$2:$G$501="Reel"),9),""),Calc!$AO:$AO,0)),"")</f>
        <v/>
      </c>
      <c r="C116" s="60" t="str">
        <f t="array" ref="C116">IFERROR(INDEX(Calc!$D:$D,MATCH(IFERROR(AGGREGATE(14,6,(Calc!$AO$2:$AO$501)/(Calc!$G$2:$G$501="Reel"),9),""),Calc!$AO:$AO,0)),"")</f>
        <v/>
      </c>
      <c r="D116" s="60" t="str">
        <f t="array" ref="D116">IFERROR(INDEX(Calc!$F:$F,MATCH(IFERROR(AGGREGATE(14,6,(Calc!$AO$2:$AO$501)/(Calc!$G$2:$G$501="Reel"),9),""),Calc!$AO:$AO,0)),"")</f>
        <v/>
      </c>
      <c r="E116" s="60" t="str">
        <f t="array" ref="E116">IFERROR(INDEX(Calc!$H:$H,MATCH(IFERROR(AGGREGATE(14,6,(Calc!$AO$2:$AO$501)/(Calc!$G$2:$G$501="Reel"),9),""),Calc!$AO:$AO,0)),"")</f>
        <v/>
      </c>
      <c r="F116" s="61" t="str">
        <f t="array" ref="F116">IFERROR(INDEX(Calc!$I:$I,MATCH(IFERROR(AGGREGATE(14,6,(Calc!$AO$2:$AO$501)/(Calc!$G$2:$G$501="Reel"),9),""),Calc!$AO:$AO,0)),"")</f>
        <v/>
      </c>
      <c r="G116" s="61" t="str">
        <f t="array" ref="G116">IFERROR(INDEX(Calc!$J:$J,MATCH(IFERROR(AGGREGATE(14,6,(Calc!$AO$2:$AO$501)/(Calc!$G$2:$G$501="Reel"),9),""),Calc!$AO:$AO,0)),"")</f>
        <v/>
      </c>
      <c r="H116" s="61" t="str">
        <f t="array" ref="H116">IFERROR(INDEX(Calc!$K:$K,MATCH(IFERROR(AGGREGATE(14,6,(Calc!$AO$2:$AO$501)/(Calc!$G$2:$G$501="Reel"),9),""),Calc!$AO:$AO,0)),"")</f>
        <v/>
      </c>
      <c r="I116" s="61" t="str">
        <f t="array" ref="I116">IFERROR(INDEX(Calc!$L:$L,MATCH(IFERROR(AGGREGATE(14,6,(Calc!$AO$2:$AO$501)/(Calc!$G$2:$G$501="Reel"),9),""),Calc!$AO:$AO,0)),"")</f>
        <v/>
      </c>
      <c r="J116" s="61" t="str">
        <f t="array" ref="J116">IFERROR(INDEX(Calc!$M:$M,MATCH(IFERROR(AGGREGATE(14,6,(Calc!$AO$2:$AO$501)/(Calc!$G$2:$G$501="Reel"),9),""),Calc!$AO:$AO,0)),"")</f>
        <v/>
      </c>
      <c r="K116" s="61" t="str">
        <f t="array" ref="K116">IFERROR(INDEX(Calc!$N:$N,MATCH(IFERROR(AGGREGATE(14,6,(Calc!$AO$2:$AO$501)/(Calc!$G$2:$G$501="Reel"),9),""),Calc!$AO:$AO,0)),"")</f>
        <v/>
      </c>
      <c r="L116" s="62" t="str">
        <f t="array" ref="L116">IFERROR(INDEX(Calc!$AJ:$AJ,MATCH(IFERROR(AGGREGATE(14,6,(Calc!$AO$2:$AO$501)/(Calc!$G$2:$G$501="Reel"),9),""),Calc!$AO:$AO,0)),"")</f>
        <v/>
      </c>
    </row>
    <row r="117" ht="15.75" customHeight="1">
      <c r="A117" s="60">
        <v>10.0</v>
      </c>
      <c r="B117" s="60" t="str">
        <f t="array" ref="B117">IFERROR(INDEX(Calc!$E:$E,MATCH(IFERROR(AGGREGATE(14,6,(Calc!$AO$2:$AO$501)/(Calc!$G$2:$G$501="Reel"),10),""),Calc!$AO:$AO,0)),"")</f>
        <v/>
      </c>
      <c r="C117" s="60" t="str">
        <f t="array" ref="C117">IFERROR(INDEX(Calc!$D:$D,MATCH(IFERROR(AGGREGATE(14,6,(Calc!$AO$2:$AO$501)/(Calc!$G$2:$G$501="Reel"),10),""),Calc!$AO:$AO,0)),"")</f>
        <v/>
      </c>
      <c r="D117" s="60" t="str">
        <f t="array" ref="D117">IFERROR(INDEX(Calc!$F:$F,MATCH(IFERROR(AGGREGATE(14,6,(Calc!$AO$2:$AO$501)/(Calc!$G$2:$G$501="Reel"),10),""),Calc!$AO:$AO,0)),"")</f>
        <v/>
      </c>
      <c r="E117" s="60" t="str">
        <f t="array" ref="E117">IFERROR(INDEX(Calc!$H:$H,MATCH(IFERROR(AGGREGATE(14,6,(Calc!$AO$2:$AO$501)/(Calc!$G$2:$G$501="Reel"),10),""),Calc!$AO:$AO,0)),"")</f>
        <v/>
      </c>
      <c r="F117" s="61" t="str">
        <f t="array" ref="F117">IFERROR(INDEX(Calc!$I:$I,MATCH(IFERROR(AGGREGATE(14,6,(Calc!$AO$2:$AO$501)/(Calc!$G$2:$G$501="Reel"),10),""),Calc!$AO:$AO,0)),"")</f>
        <v/>
      </c>
      <c r="G117" s="61" t="str">
        <f t="array" ref="G117">IFERROR(INDEX(Calc!$J:$J,MATCH(IFERROR(AGGREGATE(14,6,(Calc!$AO$2:$AO$501)/(Calc!$G$2:$G$501="Reel"),10),""),Calc!$AO:$AO,0)),"")</f>
        <v/>
      </c>
      <c r="H117" s="61" t="str">
        <f t="array" ref="H117">IFERROR(INDEX(Calc!$K:$K,MATCH(IFERROR(AGGREGATE(14,6,(Calc!$AO$2:$AO$501)/(Calc!$G$2:$G$501="Reel"),10),""),Calc!$AO:$AO,0)),"")</f>
        <v/>
      </c>
      <c r="I117" s="61" t="str">
        <f t="array" ref="I117">IFERROR(INDEX(Calc!$L:$L,MATCH(IFERROR(AGGREGATE(14,6,(Calc!$AO$2:$AO$501)/(Calc!$G$2:$G$501="Reel"),10),""),Calc!$AO:$AO,0)),"")</f>
        <v/>
      </c>
      <c r="J117" s="61" t="str">
        <f t="array" ref="J117">IFERROR(INDEX(Calc!$M:$M,MATCH(IFERROR(AGGREGATE(14,6,(Calc!$AO$2:$AO$501)/(Calc!$G$2:$G$501="Reel"),10),""),Calc!$AO:$AO,0)),"")</f>
        <v/>
      </c>
      <c r="K117" s="61" t="str">
        <f t="array" ref="K117">IFERROR(INDEX(Calc!$N:$N,MATCH(IFERROR(AGGREGATE(14,6,(Calc!$AO$2:$AO$501)/(Calc!$G$2:$G$501="Reel"),10),""),Calc!$AO:$AO,0)),"")</f>
        <v/>
      </c>
      <c r="L117" s="62" t="str">
        <f t="array" ref="L117">IFERROR(INDEX(Calc!$AJ:$AJ,MATCH(IFERROR(AGGREGATE(14,6,(Calc!$AO$2:$AO$501)/(Calc!$G$2:$G$501="Reel"),10),""),Calc!$AO:$AO,0)),"")</f>
        <v/>
      </c>
    </row>
    <row r="118" ht="15.75" customHeight="1">
      <c r="A118" s="60">
        <v>11.0</v>
      </c>
      <c r="B118" s="60" t="str">
        <f t="array" ref="B118">IFERROR(INDEX(Calc!$E:$E,MATCH(IFERROR(AGGREGATE(14,6,(Calc!$AO$2:$AO$501)/(Calc!$G$2:$G$501="Reel"),11),""),Calc!$AO:$AO,0)),"")</f>
        <v/>
      </c>
      <c r="C118" s="60" t="str">
        <f t="array" ref="C118">IFERROR(INDEX(Calc!$D:$D,MATCH(IFERROR(AGGREGATE(14,6,(Calc!$AO$2:$AO$501)/(Calc!$G$2:$G$501="Reel"),11),""),Calc!$AO:$AO,0)),"")</f>
        <v/>
      </c>
      <c r="D118" s="60" t="str">
        <f t="array" ref="D118">IFERROR(INDEX(Calc!$F:$F,MATCH(IFERROR(AGGREGATE(14,6,(Calc!$AO$2:$AO$501)/(Calc!$G$2:$G$501="Reel"),11),""),Calc!$AO:$AO,0)),"")</f>
        <v/>
      </c>
      <c r="E118" s="60" t="str">
        <f t="array" ref="E118">IFERROR(INDEX(Calc!$H:$H,MATCH(IFERROR(AGGREGATE(14,6,(Calc!$AO$2:$AO$501)/(Calc!$G$2:$G$501="Reel"),11),""),Calc!$AO:$AO,0)),"")</f>
        <v/>
      </c>
      <c r="F118" s="61" t="str">
        <f t="array" ref="F118">IFERROR(INDEX(Calc!$I:$I,MATCH(IFERROR(AGGREGATE(14,6,(Calc!$AO$2:$AO$501)/(Calc!$G$2:$G$501="Reel"),11),""),Calc!$AO:$AO,0)),"")</f>
        <v/>
      </c>
      <c r="G118" s="61" t="str">
        <f t="array" ref="G118">IFERROR(INDEX(Calc!$J:$J,MATCH(IFERROR(AGGREGATE(14,6,(Calc!$AO$2:$AO$501)/(Calc!$G$2:$G$501="Reel"),11),""),Calc!$AO:$AO,0)),"")</f>
        <v/>
      </c>
      <c r="H118" s="61" t="str">
        <f t="array" ref="H118">IFERROR(INDEX(Calc!$K:$K,MATCH(IFERROR(AGGREGATE(14,6,(Calc!$AO$2:$AO$501)/(Calc!$G$2:$G$501="Reel"),11),""),Calc!$AO:$AO,0)),"")</f>
        <v/>
      </c>
      <c r="I118" s="61" t="str">
        <f t="array" ref="I118">IFERROR(INDEX(Calc!$L:$L,MATCH(IFERROR(AGGREGATE(14,6,(Calc!$AO$2:$AO$501)/(Calc!$G$2:$G$501="Reel"),11),""),Calc!$AO:$AO,0)),"")</f>
        <v/>
      </c>
      <c r="J118" s="61" t="str">
        <f t="array" ref="J118">IFERROR(INDEX(Calc!$M:$M,MATCH(IFERROR(AGGREGATE(14,6,(Calc!$AO$2:$AO$501)/(Calc!$G$2:$G$501="Reel"),11),""),Calc!$AO:$AO,0)),"")</f>
        <v/>
      </c>
      <c r="K118" s="61" t="str">
        <f t="array" ref="K118">IFERROR(INDEX(Calc!$N:$N,MATCH(IFERROR(AGGREGATE(14,6,(Calc!$AO$2:$AO$501)/(Calc!$G$2:$G$501="Reel"),11),""),Calc!$AO:$AO,0)),"")</f>
        <v/>
      </c>
      <c r="L118" s="62" t="str">
        <f t="array" ref="L118">IFERROR(INDEX(Calc!$AJ:$AJ,MATCH(IFERROR(AGGREGATE(14,6,(Calc!$AO$2:$AO$501)/(Calc!$G$2:$G$501="Reel"),11),""),Calc!$AO:$AO,0)),"")</f>
        <v/>
      </c>
    </row>
    <row r="119" ht="15.75" customHeight="1">
      <c r="A119" s="60">
        <v>12.0</v>
      </c>
      <c r="B119" s="60" t="str">
        <f t="array" ref="B119">IFERROR(INDEX(Calc!$E:$E,MATCH(IFERROR(AGGREGATE(14,6,(Calc!$AO$2:$AO$501)/(Calc!$G$2:$G$501="Reel"),12),""),Calc!$AO:$AO,0)),"")</f>
        <v/>
      </c>
      <c r="C119" s="60" t="str">
        <f t="array" ref="C119">IFERROR(INDEX(Calc!$D:$D,MATCH(IFERROR(AGGREGATE(14,6,(Calc!$AO$2:$AO$501)/(Calc!$G$2:$G$501="Reel"),12),""),Calc!$AO:$AO,0)),"")</f>
        <v/>
      </c>
      <c r="D119" s="60" t="str">
        <f t="array" ref="D119">IFERROR(INDEX(Calc!$F:$F,MATCH(IFERROR(AGGREGATE(14,6,(Calc!$AO$2:$AO$501)/(Calc!$G$2:$G$501="Reel"),12),""),Calc!$AO:$AO,0)),"")</f>
        <v/>
      </c>
      <c r="E119" s="60" t="str">
        <f t="array" ref="E119">IFERROR(INDEX(Calc!$H:$H,MATCH(IFERROR(AGGREGATE(14,6,(Calc!$AO$2:$AO$501)/(Calc!$G$2:$G$501="Reel"),12),""),Calc!$AO:$AO,0)),"")</f>
        <v/>
      </c>
      <c r="F119" s="61" t="str">
        <f t="array" ref="F119">IFERROR(INDEX(Calc!$I:$I,MATCH(IFERROR(AGGREGATE(14,6,(Calc!$AO$2:$AO$501)/(Calc!$G$2:$G$501="Reel"),12),""),Calc!$AO:$AO,0)),"")</f>
        <v/>
      </c>
      <c r="G119" s="61" t="str">
        <f t="array" ref="G119">IFERROR(INDEX(Calc!$J:$J,MATCH(IFERROR(AGGREGATE(14,6,(Calc!$AO$2:$AO$501)/(Calc!$G$2:$G$501="Reel"),12),""),Calc!$AO:$AO,0)),"")</f>
        <v/>
      </c>
      <c r="H119" s="61" t="str">
        <f t="array" ref="H119">IFERROR(INDEX(Calc!$K:$K,MATCH(IFERROR(AGGREGATE(14,6,(Calc!$AO$2:$AO$501)/(Calc!$G$2:$G$501="Reel"),12),""),Calc!$AO:$AO,0)),"")</f>
        <v/>
      </c>
      <c r="I119" s="61" t="str">
        <f t="array" ref="I119">IFERROR(INDEX(Calc!$L:$L,MATCH(IFERROR(AGGREGATE(14,6,(Calc!$AO$2:$AO$501)/(Calc!$G$2:$G$501="Reel"),12),""),Calc!$AO:$AO,0)),"")</f>
        <v/>
      </c>
      <c r="J119" s="61" t="str">
        <f t="array" ref="J119">IFERROR(INDEX(Calc!$M:$M,MATCH(IFERROR(AGGREGATE(14,6,(Calc!$AO$2:$AO$501)/(Calc!$G$2:$G$501="Reel"),12),""),Calc!$AO:$AO,0)),"")</f>
        <v/>
      </c>
      <c r="K119" s="61" t="str">
        <f t="array" ref="K119">IFERROR(INDEX(Calc!$N:$N,MATCH(IFERROR(AGGREGATE(14,6,(Calc!$AO$2:$AO$501)/(Calc!$G$2:$G$501="Reel"),12),""),Calc!$AO:$AO,0)),"")</f>
        <v/>
      </c>
      <c r="L119" s="62" t="str">
        <f t="array" ref="L119">IFERROR(INDEX(Calc!$AJ:$AJ,MATCH(IFERROR(AGGREGATE(14,6,(Calc!$AO$2:$AO$501)/(Calc!$G$2:$G$501="Reel"),12),""),Calc!$AO:$AO,0)),"")</f>
        <v/>
      </c>
    </row>
    <row r="120" ht="15.75" customHeight="1">
      <c r="A120" s="60">
        <v>13.0</v>
      </c>
      <c r="B120" s="60" t="str">
        <f t="array" ref="B120">IFERROR(INDEX(Calc!$E:$E,MATCH(IFERROR(AGGREGATE(14,6,(Calc!$AO$2:$AO$501)/(Calc!$G$2:$G$501="Reel"),13),""),Calc!$AO:$AO,0)),"")</f>
        <v/>
      </c>
      <c r="C120" s="60" t="str">
        <f t="array" ref="C120">IFERROR(INDEX(Calc!$D:$D,MATCH(IFERROR(AGGREGATE(14,6,(Calc!$AO$2:$AO$501)/(Calc!$G$2:$G$501="Reel"),13),""),Calc!$AO:$AO,0)),"")</f>
        <v/>
      </c>
      <c r="D120" s="60" t="str">
        <f t="array" ref="D120">IFERROR(INDEX(Calc!$F:$F,MATCH(IFERROR(AGGREGATE(14,6,(Calc!$AO$2:$AO$501)/(Calc!$G$2:$G$501="Reel"),13),""),Calc!$AO:$AO,0)),"")</f>
        <v/>
      </c>
      <c r="E120" s="60" t="str">
        <f t="array" ref="E120">IFERROR(INDEX(Calc!$H:$H,MATCH(IFERROR(AGGREGATE(14,6,(Calc!$AO$2:$AO$501)/(Calc!$G$2:$G$501="Reel"),13),""),Calc!$AO:$AO,0)),"")</f>
        <v/>
      </c>
      <c r="F120" s="61" t="str">
        <f t="array" ref="F120">IFERROR(INDEX(Calc!$I:$I,MATCH(IFERROR(AGGREGATE(14,6,(Calc!$AO$2:$AO$501)/(Calc!$G$2:$G$501="Reel"),13),""),Calc!$AO:$AO,0)),"")</f>
        <v/>
      </c>
      <c r="G120" s="61" t="str">
        <f t="array" ref="G120">IFERROR(INDEX(Calc!$J:$J,MATCH(IFERROR(AGGREGATE(14,6,(Calc!$AO$2:$AO$501)/(Calc!$G$2:$G$501="Reel"),13),""),Calc!$AO:$AO,0)),"")</f>
        <v/>
      </c>
      <c r="H120" s="61" t="str">
        <f t="array" ref="H120">IFERROR(INDEX(Calc!$K:$K,MATCH(IFERROR(AGGREGATE(14,6,(Calc!$AO$2:$AO$501)/(Calc!$G$2:$G$501="Reel"),13),""),Calc!$AO:$AO,0)),"")</f>
        <v/>
      </c>
      <c r="I120" s="61" t="str">
        <f t="array" ref="I120">IFERROR(INDEX(Calc!$L:$L,MATCH(IFERROR(AGGREGATE(14,6,(Calc!$AO$2:$AO$501)/(Calc!$G$2:$G$501="Reel"),13),""),Calc!$AO:$AO,0)),"")</f>
        <v/>
      </c>
      <c r="J120" s="61" t="str">
        <f t="array" ref="J120">IFERROR(INDEX(Calc!$M:$M,MATCH(IFERROR(AGGREGATE(14,6,(Calc!$AO$2:$AO$501)/(Calc!$G$2:$G$501="Reel"),13),""),Calc!$AO:$AO,0)),"")</f>
        <v/>
      </c>
      <c r="K120" s="61" t="str">
        <f t="array" ref="K120">IFERROR(INDEX(Calc!$N:$N,MATCH(IFERROR(AGGREGATE(14,6,(Calc!$AO$2:$AO$501)/(Calc!$G$2:$G$501="Reel"),13),""),Calc!$AO:$AO,0)),"")</f>
        <v/>
      </c>
      <c r="L120" s="62" t="str">
        <f t="array" ref="L120">IFERROR(INDEX(Calc!$AJ:$AJ,MATCH(IFERROR(AGGREGATE(14,6,(Calc!$AO$2:$AO$501)/(Calc!$G$2:$G$501="Reel"),13),""),Calc!$AO:$AO,0)),"")</f>
        <v/>
      </c>
    </row>
    <row r="121" ht="15.75" customHeight="1">
      <c r="A121" s="60">
        <v>14.0</v>
      </c>
      <c r="B121" s="60" t="str">
        <f t="array" ref="B121">IFERROR(INDEX(Calc!$E:$E,MATCH(IFERROR(AGGREGATE(14,6,(Calc!$AO$2:$AO$501)/(Calc!$G$2:$G$501="Reel"),14),""),Calc!$AO:$AO,0)),"")</f>
        <v/>
      </c>
      <c r="C121" s="60" t="str">
        <f t="array" ref="C121">IFERROR(INDEX(Calc!$D:$D,MATCH(IFERROR(AGGREGATE(14,6,(Calc!$AO$2:$AO$501)/(Calc!$G$2:$G$501="Reel"),14),""),Calc!$AO:$AO,0)),"")</f>
        <v/>
      </c>
      <c r="D121" s="60" t="str">
        <f t="array" ref="D121">IFERROR(INDEX(Calc!$F:$F,MATCH(IFERROR(AGGREGATE(14,6,(Calc!$AO$2:$AO$501)/(Calc!$G$2:$G$501="Reel"),14),""),Calc!$AO:$AO,0)),"")</f>
        <v/>
      </c>
      <c r="E121" s="60" t="str">
        <f t="array" ref="E121">IFERROR(INDEX(Calc!$H:$H,MATCH(IFERROR(AGGREGATE(14,6,(Calc!$AO$2:$AO$501)/(Calc!$G$2:$G$501="Reel"),14),""),Calc!$AO:$AO,0)),"")</f>
        <v/>
      </c>
      <c r="F121" s="61" t="str">
        <f t="array" ref="F121">IFERROR(INDEX(Calc!$I:$I,MATCH(IFERROR(AGGREGATE(14,6,(Calc!$AO$2:$AO$501)/(Calc!$G$2:$G$501="Reel"),14),""),Calc!$AO:$AO,0)),"")</f>
        <v/>
      </c>
      <c r="G121" s="61" t="str">
        <f t="array" ref="G121">IFERROR(INDEX(Calc!$J:$J,MATCH(IFERROR(AGGREGATE(14,6,(Calc!$AO$2:$AO$501)/(Calc!$G$2:$G$501="Reel"),14),""),Calc!$AO:$AO,0)),"")</f>
        <v/>
      </c>
      <c r="H121" s="61" t="str">
        <f t="array" ref="H121">IFERROR(INDEX(Calc!$K:$K,MATCH(IFERROR(AGGREGATE(14,6,(Calc!$AO$2:$AO$501)/(Calc!$G$2:$G$501="Reel"),14),""),Calc!$AO:$AO,0)),"")</f>
        <v/>
      </c>
      <c r="I121" s="61" t="str">
        <f t="array" ref="I121">IFERROR(INDEX(Calc!$L:$L,MATCH(IFERROR(AGGREGATE(14,6,(Calc!$AO$2:$AO$501)/(Calc!$G$2:$G$501="Reel"),14),""),Calc!$AO:$AO,0)),"")</f>
        <v/>
      </c>
      <c r="J121" s="61" t="str">
        <f t="array" ref="J121">IFERROR(INDEX(Calc!$M:$M,MATCH(IFERROR(AGGREGATE(14,6,(Calc!$AO$2:$AO$501)/(Calc!$G$2:$G$501="Reel"),14),""),Calc!$AO:$AO,0)),"")</f>
        <v/>
      </c>
      <c r="K121" s="61" t="str">
        <f t="array" ref="K121">IFERROR(INDEX(Calc!$N:$N,MATCH(IFERROR(AGGREGATE(14,6,(Calc!$AO$2:$AO$501)/(Calc!$G$2:$G$501="Reel"),14),""),Calc!$AO:$AO,0)),"")</f>
        <v/>
      </c>
      <c r="L121" s="62" t="str">
        <f t="array" ref="L121">IFERROR(INDEX(Calc!$AJ:$AJ,MATCH(IFERROR(AGGREGATE(14,6,(Calc!$AO$2:$AO$501)/(Calc!$G$2:$G$501="Reel"),14),""),Calc!$AO:$AO,0)),"")</f>
        <v/>
      </c>
    </row>
    <row r="122" ht="15.75" customHeight="1">
      <c r="A122" s="60">
        <v>15.0</v>
      </c>
      <c r="B122" s="60" t="str">
        <f t="array" ref="B122">IFERROR(INDEX(Calc!$E:$E,MATCH(IFERROR(AGGREGATE(14,6,(Calc!$AO$2:$AO$501)/(Calc!$G$2:$G$501="Reel"),15),""),Calc!$AO:$AO,0)),"")</f>
        <v/>
      </c>
      <c r="C122" s="60" t="str">
        <f t="array" ref="C122">IFERROR(INDEX(Calc!$D:$D,MATCH(IFERROR(AGGREGATE(14,6,(Calc!$AO$2:$AO$501)/(Calc!$G$2:$G$501="Reel"),15),""),Calc!$AO:$AO,0)),"")</f>
        <v/>
      </c>
      <c r="D122" s="60" t="str">
        <f t="array" ref="D122">IFERROR(INDEX(Calc!$F:$F,MATCH(IFERROR(AGGREGATE(14,6,(Calc!$AO$2:$AO$501)/(Calc!$G$2:$G$501="Reel"),15),""),Calc!$AO:$AO,0)),"")</f>
        <v/>
      </c>
      <c r="E122" s="60" t="str">
        <f t="array" ref="E122">IFERROR(INDEX(Calc!$H:$H,MATCH(IFERROR(AGGREGATE(14,6,(Calc!$AO$2:$AO$501)/(Calc!$G$2:$G$501="Reel"),15),""),Calc!$AO:$AO,0)),"")</f>
        <v/>
      </c>
      <c r="F122" s="61" t="str">
        <f t="array" ref="F122">IFERROR(INDEX(Calc!$I:$I,MATCH(IFERROR(AGGREGATE(14,6,(Calc!$AO$2:$AO$501)/(Calc!$G$2:$G$501="Reel"),15),""),Calc!$AO:$AO,0)),"")</f>
        <v/>
      </c>
      <c r="G122" s="61" t="str">
        <f t="array" ref="G122">IFERROR(INDEX(Calc!$J:$J,MATCH(IFERROR(AGGREGATE(14,6,(Calc!$AO$2:$AO$501)/(Calc!$G$2:$G$501="Reel"),15),""),Calc!$AO:$AO,0)),"")</f>
        <v/>
      </c>
      <c r="H122" s="61" t="str">
        <f t="array" ref="H122">IFERROR(INDEX(Calc!$K:$K,MATCH(IFERROR(AGGREGATE(14,6,(Calc!$AO$2:$AO$501)/(Calc!$G$2:$G$501="Reel"),15),""),Calc!$AO:$AO,0)),"")</f>
        <v/>
      </c>
      <c r="I122" s="61" t="str">
        <f t="array" ref="I122">IFERROR(INDEX(Calc!$L:$L,MATCH(IFERROR(AGGREGATE(14,6,(Calc!$AO$2:$AO$501)/(Calc!$G$2:$G$501="Reel"),15),""),Calc!$AO:$AO,0)),"")</f>
        <v/>
      </c>
      <c r="J122" s="61" t="str">
        <f t="array" ref="J122">IFERROR(INDEX(Calc!$M:$M,MATCH(IFERROR(AGGREGATE(14,6,(Calc!$AO$2:$AO$501)/(Calc!$G$2:$G$501="Reel"),15),""),Calc!$AO:$AO,0)),"")</f>
        <v/>
      </c>
      <c r="K122" s="61" t="str">
        <f t="array" ref="K122">IFERROR(INDEX(Calc!$N:$N,MATCH(IFERROR(AGGREGATE(14,6,(Calc!$AO$2:$AO$501)/(Calc!$G$2:$G$501="Reel"),15),""),Calc!$AO:$AO,0)),"")</f>
        <v/>
      </c>
      <c r="L122" s="62" t="str">
        <f t="array" ref="L122">IFERROR(INDEX(Calc!$AJ:$AJ,MATCH(IFERROR(AGGREGATE(14,6,(Calc!$AO$2:$AO$501)/(Calc!$G$2:$G$501="Reel"),15),""),Calc!$AO:$AO,0)),"")</f>
        <v/>
      </c>
    </row>
    <row r="123" ht="15.75" customHeight="1">
      <c r="A123" s="60">
        <v>16.0</v>
      </c>
      <c r="B123" s="60" t="str">
        <f t="array" ref="B123">IFERROR(INDEX(Calc!$E:$E,MATCH(IFERROR(AGGREGATE(14,6,(Calc!$AO$2:$AO$501)/(Calc!$G$2:$G$501="Reel"),16),""),Calc!$AO:$AO,0)),"")</f>
        <v/>
      </c>
      <c r="C123" s="60" t="str">
        <f t="array" ref="C123">IFERROR(INDEX(Calc!$D:$D,MATCH(IFERROR(AGGREGATE(14,6,(Calc!$AO$2:$AO$501)/(Calc!$G$2:$G$501="Reel"),16),""),Calc!$AO:$AO,0)),"")</f>
        <v/>
      </c>
      <c r="D123" s="60" t="str">
        <f t="array" ref="D123">IFERROR(INDEX(Calc!$F:$F,MATCH(IFERROR(AGGREGATE(14,6,(Calc!$AO$2:$AO$501)/(Calc!$G$2:$G$501="Reel"),16),""),Calc!$AO:$AO,0)),"")</f>
        <v/>
      </c>
      <c r="E123" s="60" t="str">
        <f t="array" ref="E123">IFERROR(INDEX(Calc!$H:$H,MATCH(IFERROR(AGGREGATE(14,6,(Calc!$AO$2:$AO$501)/(Calc!$G$2:$G$501="Reel"),16),""),Calc!$AO:$AO,0)),"")</f>
        <v/>
      </c>
      <c r="F123" s="61" t="str">
        <f t="array" ref="F123">IFERROR(INDEX(Calc!$I:$I,MATCH(IFERROR(AGGREGATE(14,6,(Calc!$AO$2:$AO$501)/(Calc!$G$2:$G$501="Reel"),16),""),Calc!$AO:$AO,0)),"")</f>
        <v/>
      </c>
      <c r="G123" s="61" t="str">
        <f t="array" ref="G123">IFERROR(INDEX(Calc!$J:$J,MATCH(IFERROR(AGGREGATE(14,6,(Calc!$AO$2:$AO$501)/(Calc!$G$2:$G$501="Reel"),16),""),Calc!$AO:$AO,0)),"")</f>
        <v/>
      </c>
      <c r="H123" s="61" t="str">
        <f t="array" ref="H123">IFERROR(INDEX(Calc!$K:$K,MATCH(IFERROR(AGGREGATE(14,6,(Calc!$AO$2:$AO$501)/(Calc!$G$2:$G$501="Reel"),16),""),Calc!$AO:$AO,0)),"")</f>
        <v/>
      </c>
      <c r="I123" s="61" t="str">
        <f t="array" ref="I123">IFERROR(INDEX(Calc!$L:$L,MATCH(IFERROR(AGGREGATE(14,6,(Calc!$AO$2:$AO$501)/(Calc!$G$2:$G$501="Reel"),16),""),Calc!$AO:$AO,0)),"")</f>
        <v/>
      </c>
      <c r="J123" s="61" t="str">
        <f t="array" ref="J123">IFERROR(INDEX(Calc!$M:$M,MATCH(IFERROR(AGGREGATE(14,6,(Calc!$AO$2:$AO$501)/(Calc!$G$2:$G$501="Reel"),16),""),Calc!$AO:$AO,0)),"")</f>
        <v/>
      </c>
      <c r="K123" s="61" t="str">
        <f t="array" ref="K123">IFERROR(INDEX(Calc!$N:$N,MATCH(IFERROR(AGGREGATE(14,6,(Calc!$AO$2:$AO$501)/(Calc!$G$2:$G$501="Reel"),16),""),Calc!$AO:$AO,0)),"")</f>
        <v/>
      </c>
      <c r="L123" s="62" t="str">
        <f t="array" ref="L123">IFERROR(INDEX(Calc!$AJ:$AJ,MATCH(IFERROR(AGGREGATE(14,6,(Calc!$AO$2:$AO$501)/(Calc!$G$2:$G$501="Reel"),16),""),Calc!$AO:$AO,0)),"")</f>
        <v/>
      </c>
    </row>
    <row r="124" ht="15.75" customHeight="1">
      <c r="A124" s="60">
        <v>17.0</v>
      </c>
      <c r="B124" s="60" t="str">
        <f t="array" ref="B124">IFERROR(INDEX(Calc!$E:$E,MATCH(IFERROR(AGGREGATE(14,6,(Calc!$AO$2:$AO$501)/(Calc!$G$2:$G$501="Reel"),17),""),Calc!$AO:$AO,0)),"")</f>
        <v/>
      </c>
      <c r="C124" s="60" t="str">
        <f t="array" ref="C124">IFERROR(INDEX(Calc!$D:$D,MATCH(IFERROR(AGGREGATE(14,6,(Calc!$AO$2:$AO$501)/(Calc!$G$2:$G$501="Reel"),17),""),Calc!$AO:$AO,0)),"")</f>
        <v/>
      </c>
      <c r="D124" s="60" t="str">
        <f t="array" ref="D124">IFERROR(INDEX(Calc!$F:$F,MATCH(IFERROR(AGGREGATE(14,6,(Calc!$AO$2:$AO$501)/(Calc!$G$2:$G$501="Reel"),17),""),Calc!$AO:$AO,0)),"")</f>
        <v/>
      </c>
      <c r="E124" s="60" t="str">
        <f t="array" ref="E124">IFERROR(INDEX(Calc!$H:$H,MATCH(IFERROR(AGGREGATE(14,6,(Calc!$AO$2:$AO$501)/(Calc!$G$2:$G$501="Reel"),17),""),Calc!$AO:$AO,0)),"")</f>
        <v/>
      </c>
      <c r="F124" s="61" t="str">
        <f t="array" ref="F124">IFERROR(INDEX(Calc!$I:$I,MATCH(IFERROR(AGGREGATE(14,6,(Calc!$AO$2:$AO$501)/(Calc!$G$2:$G$501="Reel"),17),""),Calc!$AO:$AO,0)),"")</f>
        <v/>
      </c>
      <c r="G124" s="61" t="str">
        <f t="array" ref="G124">IFERROR(INDEX(Calc!$J:$J,MATCH(IFERROR(AGGREGATE(14,6,(Calc!$AO$2:$AO$501)/(Calc!$G$2:$G$501="Reel"),17),""),Calc!$AO:$AO,0)),"")</f>
        <v/>
      </c>
      <c r="H124" s="61" t="str">
        <f t="array" ref="H124">IFERROR(INDEX(Calc!$K:$K,MATCH(IFERROR(AGGREGATE(14,6,(Calc!$AO$2:$AO$501)/(Calc!$G$2:$G$501="Reel"),17),""),Calc!$AO:$AO,0)),"")</f>
        <v/>
      </c>
      <c r="I124" s="61" t="str">
        <f t="array" ref="I124">IFERROR(INDEX(Calc!$L:$L,MATCH(IFERROR(AGGREGATE(14,6,(Calc!$AO$2:$AO$501)/(Calc!$G$2:$G$501="Reel"),17),""),Calc!$AO:$AO,0)),"")</f>
        <v/>
      </c>
      <c r="J124" s="61" t="str">
        <f t="array" ref="J124">IFERROR(INDEX(Calc!$M:$M,MATCH(IFERROR(AGGREGATE(14,6,(Calc!$AO$2:$AO$501)/(Calc!$G$2:$G$501="Reel"),17),""),Calc!$AO:$AO,0)),"")</f>
        <v/>
      </c>
      <c r="K124" s="61" t="str">
        <f t="array" ref="K124">IFERROR(INDEX(Calc!$N:$N,MATCH(IFERROR(AGGREGATE(14,6,(Calc!$AO$2:$AO$501)/(Calc!$G$2:$G$501="Reel"),17),""),Calc!$AO:$AO,0)),"")</f>
        <v/>
      </c>
      <c r="L124" s="62" t="str">
        <f t="array" ref="L124">IFERROR(INDEX(Calc!$AJ:$AJ,MATCH(IFERROR(AGGREGATE(14,6,(Calc!$AO$2:$AO$501)/(Calc!$G$2:$G$501="Reel"),17),""),Calc!$AO:$AO,0)),"")</f>
        <v/>
      </c>
    </row>
    <row r="125" ht="15.75" customHeight="1">
      <c r="A125" s="60">
        <v>18.0</v>
      </c>
      <c r="B125" s="60" t="str">
        <f t="array" ref="B125">IFERROR(INDEX(Calc!$E:$E,MATCH(IFERROR(AGGREGATE(14,6,(Calc!$AO$2:$AO$501)/(Calc!$G$2:$G$501="Reel"),18),""),Calc!$AO:$AO,0)),"")</f>
        <v/>
      </c>
      <c r="C125" s="60" t="str">
        <f t="array" ref="C125">IFERROR(INDEX(Calc!$D:$D,MATCH(IFERROR(AGGREGATE(14,6,(Calc!$AO$2:$AO$501)/(Calc!$G$2:$G$501="Reel"),18),""),Calc!$AO:$AO,0)),"")</f>
        <v/>
      </c>
      <c r="D125" s="60" t="str">
        <f t="array" ref="D125">IFERROR(INDEX(Calc!$F:$F,MATCH(IFERROR(AGGREGATE(14,6,(Calc!$AO$2:$AO$501)/(Calc!$G$2:$G$501="Reel"),18),""),Calc!$AO:$AO,0)),"")</f>
        <v/>
      </c>
      <c r="E125" s="60" t="str">
        <f t="array" ref="E125">IFERROR(INDEX(Calc!$H:$H,MATCH(IFERROR(AGGREGATE(14,6,(Calc!$AO$2:$AO$501)/(Calc!$G$2:$G$501="Reel"),18),""),Calc!$AO:$AO,0)),"")</f>
        <v/>
      </c>
      <c r="F125" s="61" t="str">
        <f t="array" ref="F125">IFERROR(INDEX(Calc!$I:$I,MATCH(IFERROR(AGGREGATE(14,6,(Calc!$AO$2:$AO$501)/(Calc!$G$2:$G$501="Reel"),18),""),Calc!$AO:$AO,0)),"")</f>
        <v/>
      </c>
      <c r="G125" s="61" t="str">
        <f t="array" ref="G125">IFERROR(INDEX(Calc!$J:$J,MATCH(IFERROR(AGGREGATE(14,6,(Calc!$AO$2:$AO$501)/(Calc!$G$2:$G$501="Reel"),18),""),Calc!$AO:$AO,0)),"")</f>
        <v/>
      </c>
      <c r="H125" s="61" t="str">
        <f t="array" ref="H125">IFERROR(INDEX(Calc!$K:$K,MATCH(IFERROR(AGGREGATE(14,6,(Calc!$AO$2:$AO$501)/(Calc!$G$2:$G$501="Reel"),18),""),Calc!$AO:$AO,0)),"")</f>
        <v/>
      </c>
      <c r="I125" s="61" t="str">
        <f t="array" ref="I125">IFERROR(INDEX(Calc!$L:$L,MATCH(IFERROR(AGGREGATE(14,6,(Calc!$AO$2:$AO$501)/(Calc!$G$2:$G$501="Reel"),18),""),Calc!$AO:$AO,0)),"")</f>
        <v/>
      </c>
      <c r="J125" s="61" t="str">
        <f t="array" ref="J125">IFERROR(INDEX(Calc!$M:$M,MATCH(IFERROR(AGGREGATE(14,6,(Calc!$AO$2:$AO$501)/(Calc!$G$2:$G$501="Reel"),18),""),Calc!$AO:$AO,0)),"")</f>
        <v/>
      </c>
      <c r="K125" s="61" t="str">
        <f t="array" ref="K125">IFERROR(INDEX(Calc!$N:$N,MATCH(IFERROR(AGGREGATE(14,6,(Calc!$AO$2:$AO$501)/(Calc!$G$2:$G$501="Reel"),18),""),Calc!$AO:$AO,0)),"")</f>
        <v/>
      </c>
      <c r="L125" s="62" t="str">
        <f t="array" ref="L125">IFERROR(INDEX(Calc!$AJ:$AJ,MATCH(IFERROR(AGGREGATE(14,6,(Calc!$AO$2:$AO$501)/(Calc!$G$2:$G$501="Reel"),18),""),Calc!$AO:$AO,0)),"")</f>
        <v/>
      </c>
    </row>
    <row r="126" ht="15.75" customHeight="1">
      <c r="A126" s="60">
        <v>19.0</v>
      </c>
      <c r="B126" s="60" t="str">
        <f t="array" ref="B126">IFERROR(INDEX(Calc!$E:$E,MATCH(IFERROR(AGGREGATE(14,6,(Calc!$AO$2:$AO$501)/(Calc!$G$2:$G$501="Reel"),19),""),Calc!$AO:$AO,0)),"")</f>
        <v/>
      </c>
      <c r="C126" s="60" t="str">
        <f t="array" ref="C126">IFERROR(INDEX(Calc!$D:$D,MATCH(IFERROR(AGGREGATE(14,6,(Calc!$AO$2:$AO$501)/(Calc!$G$2:$G$501="Reel"),19),""),Calc!$AO:$AO,0)),"")</f>
        <v/>
      </c>
      <c r="D126" s="60" t="str">
        <f t="array" ref="D126">IFERROR(INDEX(Calc!$F:$F,MATCH(IFERROR(AGGREGATE(14,6,(Calc!$AO$2:$AO$501)/(Calc!$G$2:$G$501="Reel"),19),""),Calc!$AO:$AO,0)),"")</f>
        <v/>
      </c>
      <c r="E126" s="60" t="str">
        <f t="array" ref="E126">IFERROR(INDEX(Calc!$H:$H,MATCH(IFERROR(AGGREGATE(14,6,(Calc!$AO$2:$AO$501)/(Calc!$G$2:$G$501="Reel"),19),""),Calc!$AO:$AO,0)),"")</f>
        <v/>
      </c>
      <c r="F126" s="61" t="str">
        <f t="array" ref="F126">IFERROR(INDEX(Calc!$I:$I,MATCH(IFERROR(AGGREGATE(14,6,(Calc!$AO$2:$AO$501)/(Calc!$G$2:$G$501="Reel"),19),""),Calc!$AO:$AO,0)),"")</f>
        <v/>
      </c>
      <c r="G126" s="61" t="str">
        <f t="array" ref="G126">IFERROR(INDEX(Calc!$J:$J,MATCH(IFERROR(AGGREGATE(14,6,(Calc!$AO$2:$AO$501)/(Calc!$G$2:$G$501="Reel"),19),""),Calc!$AO:$AO,0)),"")</f>
        <v/>
      </c>
      <c r="H126" s="61" t="str">
        <f t="array" ref="H126">IFERROR(INDEX(Calc!$K:$K,MATCH(IFERROR(AGGREGATE(14,6,(Calc!$AO$2:$AO$501)/(Calc!$G$2:$G$501="Reel"),19),""),Calc!$AO:$AO,0)),"")</f>
        <v/>
      </c>
      <c r="I126" s="61" t="str">
        <f t="array" ref="I126">IFERROR(INDEX(Calc!$L:$L,MATCH(IFERROR(AGGREGATE(14,6,(Calc!$AO$2:$AO$501)/(Calc!$G$2:$G$501="Reel"),19),""),Calc!$AO:$AO,0)),"")</f>
        <v/>
      </c>
      <c r="J126" s="61" t="str">
        <f t="array" ref="J126">IFERROR(INDEX(Calc!$M:$M,MATCH(IFERROR(AGGREGATE(14,6,(Calc!$AO$2:$AO$501)/(Calc!$G$2:$G$501="Reel"),19),""),Calc!$AO:$AO,0)),"")</f>
        <v/>
      </c>
      <c r="K126" s="61" t="str">
        <f t="array" ref="K126">IFERROR(INDEX(Calc!$N:$N,MATCH(IFERROR(AGGREGATE(14,6,(Calc!$AO$2:$AO$501)/(Calc!$G$2:$G$501="Reel"),19),""),Calc!$AO:$AO,0)),"")</f>
        <v/>
      </c>
      <c r="L126" s="62" t="str">
        <f t="array" ref="L126">IFERROR(INDEX(Calc!$AJ:$AJ,MATCH(IFERROR(AGGREGATE(14,6,(Calc!$AO$2:$AO$501)/(Calc!$G$2:$G$501="Reel"),19),""),Calc!$AO:$AO,0)),"")</f>
        <v/>
      </c>
    </row>
    <row r="127" ht="15.75" customHeight="1">
      <c r="A127" s="60">
        <v>20.0</v>
      </c>
      <c r="B127" s="60" t="str">
        <f t="array" ref="B127">IFERROR(INDEX(Calc!$E:$E,MATCH(IFERROR(AGGREGATE(14,6,(Calc!$AO$2:$AO$501)/(Calc!$G$2:$G$501="Reel"),20),""),Calc!$AO:$AO,0)),"")</f>
        <v/>
      </c>
      <c r="C127" s="60" t="str">
        <f t="array" ref="C127">IFERROR(INDEX(Calc!$D:$D,MATCH(IFERROR(AGGREGATE(14,6,(Calc!$AO$2:$AO$501)/(Calc!$G$2:$G$501="Reel"),20),""),Calc!$AO:$AO,0)),"")</f>
        <v/>
      </c>
      <c r="D127" s="60" t="str">
        <f t="array" ref="D127">IFERROR(INDEX(Calc!$F:$F,MATCH(IFERROR(AGGREGATE(14,6,(Calc!$AO$2:$AO$501)/(Calc!$G$2:$G$501="Reel"),20),""),Calc!$AO:$AO,0)),"")</f>
        <v/>
      </c>
      <c r="E127" s="60" t="str">
        <f t="array" ref="E127">IFERROR(INDEX(Calc!$H:$H,MATCH(IFERROR(AGGREGATE(14,6,(Calc!$AO$2:$AO$501)/(Calc!$G$2:$G$501="Reel"),20),""),Calc!$AO:$AO,0)),"")</f>
        <v/>
      </c>
      <c r="F127" s="61" t="str">
        <f t="array" ref="F127">IFERROR(INDEX(Calc!$I:$I,MATCH(IFERROR(AGGREGATE(14,6,(Calc!$AO$2:$AO$501)/(Calc!$G$2:$G$501="Reel"),20),""),Calc!$AO:$AO,0)),"")</f>
        <v/>
      </c>
      <c r="G127" s="61" t="str">
        <f t="array" ref="G127">IFERROR(INDEX(Calc!$J:$J,MATCH(IFERROR(AGGREGATE(14,6,(Calc!$AO$2:$AO$501)/(Calc!$G$2:$G$501="Reel"),20),""),Calc!$AO:$AO,0)),"")</f>
        <v/>
      </c>
      <c r="H127" s="61" t="str">
        <f t="array" ref="H127">IFERROR(INDEX(Calc!$K:$K,MATCH(IFERROR(AGGREGATE(14,6,(Calc!$AO$2:$AO$501)/(Calc!$G$2:$G$501="Reel"),20),""),Calc!$AO:$AO,0)),"")</f>
        <v/>
      </c>
      <c r="I127" s="61" t="str">
        <f t="array" ref="I127">IFERROR(INDEX(Calc!$L:$L,MATCH(IFERROR(AGGREGATE(14,6,(Calc!$AO$2:$AO$501)/(Calc!$G$2:$G$501="Reel"),20),""),Calc!$AO:$AO,0)),"")</f>
        <v/>
      </c>
      <c r="J127" s="61" t="str">
        <f t="array" ref="J127">IFERROR(INDEX(Calc!$M:$M,MATCH(IFERROR(AGGREGATE(14,6,(Calc!$AO$2:$AO$501)/(Calc!$G$2:$G$501="Reel"),20),""),Calc!$AO:$AO,0)),"")</f>
        <v/>
      </c>
      <c r="K127" s="61" t="str">
        <f t="array" ref="K127">IFERROR(INDEX(Calc!$N:$N,MATCH(IFERROR(AGGREGATE(14,6,(Calc!$AO$2:$AO$501)/(Calc!$G$2:$G$501="Reel"),20),""),Calc!$AO:$AO,0)),"")</f>
        <v/>
      </c>
      <c r="L127" s="62" t="str">
        <f t="array" ref="L127">IFERROR(INDEX(Calc!$AJ:$AJ,MATCH(IFERROR(AGGREGATE(14,6,(Calc!$AO$2:$AO$501)/(Calc!$G$2:$G$501="Reel"),20),""),Calc!$AO:$AO,0)),"")</f>
        <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D4"/>
    <mergeCell ref="F4:I4"/>
    <mergeCell ref="A5:D5"/>
    <mergeCell ref="F5:I5"/>
    <mergeCell ref="A10:M10"/>
    <mergeCell ref="A73:M73"/>
    <mergeCell ref="A106:M106"/>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C3483"/>
    <pageSetUpPr/>
  </sheetPr>
  <sheetViews>
    <sheetView showGridLines="0" workbookViewId="0"/>
  </sheetViews>
  <sheetFormatPr customHeight="1" defaultColWidth="14.43" defaultRowHeight="15.0"/>
  <cols>
    <col customWidth="1" min="1" max="1" width="13.0"/>
    <col customWidth="1" min="2" max="2" width="30.0"/>
    <col customWidth="1" min="3" max="3" width="16.0"/>
    <col customWidth="1" min="4" max="4" width="30.0"/>
    <col customWidth="1" min="5" max="5" width="18.0"/>
    <col customWidth="1" min="6" max="10" width="10.0"/>
    <col customWidth="1" min="11" max="11" width="12.0"/>
    <col customWidth="1" min="12" max="13" width="10.0"/>
    <col customWidth="1" min="14" max="26" width="8.71"/>
  </cols>
  <sheetData>
    <row r="1">
      <c r="A1" s="1" t="s">
        <v>150</v>
      </c>
    </row>
    <row r="2">
      <c r="A2" s="5" t="s">
        <v>124</v>
      </c>
    </row>
    <row r="4">
      <c r="A4" s="10" t="s">
        <v>151</v>
      </c>
      <c r="B4" s="22"/>
      <c r="C4" s="22"/>
      <c r="D4" s="7"/>
      <c r="F4" s="10" t="s">
        <v>152</v>
      </c>
      <c r="G4" s="22"/>
      <c r="H4" s="22"/>
      <c r="I4" s="7"/>
    </row>
    <row r="5">
      <c r="A5" s="63" t="str">
        <f t="array" ref="A5">IFERROR(INDEX(Calc!$E:$E,MATCH(TEXT(TODAY()-WEEKDAY(TODAY(),2)+1,"YYYYMMDD")&amp;"|Carousel",Calc!$AL:$AL,0)),"No Carousel posted this week yet")</f>
        <v>Indian sitting for a whole day</v>
      </c>
      <c r="B5" s="22"/>
      <c r="C5" s="22"/>
      <c r="D5" s="7"/>
      <c r="F5" s="63" t="str">
        <f t="array" ref="F5">IFERROR(INDEX(Calc!$E:$E,MATCH(TEXT(TODAY(),"YYYY-MM")&amp;"|Carousel",Calc!$AN:$AN,0)),"No Carousel posted this month yet")</f>
        <v>Indian sitting for a whole day</v>
      </c>
      <c r="G5" s="22"/>
      <c r="H5" s="22"/>
      <c r="I5" s="7"/>
    </row>
    <row r="6">
      <c r="A6" s="64" t="s">
        <v>137</v>
      </c>
      <c r="B6" s="64" t="s">
        <v>138</v>
      </c>
      <c r="C6" s="64" t="s">
        <v>139</v>
      </c>
      <c r="D6" s="64" t="s">
        <v>140</v>
      </c>
      <c r="E6" s="64" t="s">
        <v>141</v>
      </c>
      <c r="F6" s="64" t="s">
        <v>137</v>
      </c>
      <c r="G6" s="64" t="s">
        <v>138</v>
      </c>
      <c r="H6" s="64" t="s">
        <v>139</v>
      </c>
      <c r="I6" s="64" t="s">
        <v>140</v>
      </c>
    </row>
    <row r="7">
      <c r="A7" s="57">
        <f t="array" ref="A7">IFERROR(INDEX(Calc!$I:$I,MATCH(TEXT(TODAY()-WEEKDAY(TODAY(),2)+1,"YYYYMMDD")&amp;"|Carousel",Calc!$AL:$AL,0)),"")</f>
        <v>88168</v>
      </c>
      <c r="B7" s="57">
        <f t="array" ref="B7">IFERROR(INDEX(Calc!$J:$J,MATCH(TEXT(TODAY()-WEEKDAY(TODAY(),2)+1,"YYYYMMDD")&amp;"|Carousel",Calc!$AL:$AL,0)),"")</f>
        <v>612</v>
      </c>
      <c r="C7" s="57">
        <f t="array" ref="C7">IFERROR(INDEX(Calc!$K:$K,MATCH(TEXT(TODAY()-WEEKDAY(TODAY(),2)+1,"YYYYMMDD")&amp;"|Carousel",Calc!$AL:$AL,0)),"")</f>
        <v>4</v>
      </c>
      <c r="D7" s="57">
        <f t="array" ref="D7">IFERROR(INDEX(Calc!$L:$L,MATCH(TEXT(TODAY()-WEEKDAY(TODAY(),2)+1,"YYYYMMDD")&amp;"|Carousel",Calc!$AL:$AL,0)),"")</f>
        <v>638</v>
      </c>
      <c r="E7" s="57">
        <f t="array" ref="E7">IFERROR(INDEX(Calc!$M:$M,MATCH(TEXT(TODAY()-WEEKDAY(TODAY(),2)+1,"YYYYMMDD")&amp;"|Carousel",Calc!$AL:$AL,0)),"")</f>
        <v>476</v>
      </c>
      <c r="F7" s="57">
        <f t="array" ref="F7">IFERROR(INDEX(Calc!$I:$I,MATCH(TEXT(TODAY(),"YYYY-MM")&amp;"|Carousel",Calc!$AN:$AN,0)),"")</f>
        <v>88168</v>
      </c>
      <c r="G7" s="57">
        <f t="array" ref="G7">IFERROR(INDEX(Calc!$J:$J,MATCH(TEXT(TODAY(),"YYYY-MM")&amp;"|Carousel",Calc!$AN:$AN,0)),"")</f>
        <v>612</v>
      </c>
      <c r="H7" s="57">
        <f t="array" ref="H7">IFERROR(INDEX(Calc!$K:$K,MATCH(TEXT(TODAY(),"YYYY-MM")&amp;"|Carousel",Calc!$AN:$AN,0)),"")</f>
        <v>4</v>
      </c>
      <c r="I7" s="57">
        <f t="array" ref="I7">IFERROR(INDEX(Calc!$L:$L,MATCH(TEXT(TODAY(),"YYYY-MM")&amp;"|Carousel",Calc!$AN:$AN,0)),"")</f>
        <v>638</v>
      </c>
    </row>
    <row r="10" ht="19.5" customHeight="1">
      <c r="A10" s="21" t="s">
        <v>153</v>
      </c>
      <c r="B10" s="22"/>
      <c r="C10" s="22"/>
      <c r="D10" s="22"/>
      <c r="E10" s="22"/>
      <c r="F10" s="22"/>
      <c r="G10" s="22"/>
      <c r="H10" s="22"/>
      <c r="I10" s="22"/>
      <c r="J10" s="22"/>
      <c r="K10" s="22"/>
      <c r="L10" s="22"/>
      <c r="M10" s="7"/>
    </row>
    <row r="11">
      <c r="A11" s="58" t="s">
        <v>143</v>
      </c>
      <c r="B11" s="58" t="s">
        <v>144</v>
      </c>
      <c r="C11" s="58" t="s">
        <v>19</v>
      </c>
      <c r="D11" s="58" t="s">
        <v>45</v>
      </c>
      <c r="E11" s="58" t="s">
        <v>31</v>
      </c>
      <c r="F11" s="58" t="s">
        <v>20</v>
      </c>
      <c r="G11" s="58" t="s">
        <v>48</v>
      </c>
      <c r="H11" s="58" t="s">
        <v>49</v>
      </c>
      <c r="I11" s="58" t="s">
        <v>50</v>
      </c>
      <c r="J11" s="58" t="s">
        <v>51</v>
      </c>
      <c r="K11" s="58" t="s">
        <v>145</v>
      </c>
      <c r="L11" s="58" t="s">
        <v>146</v>
      </c>
    </row>
    <row r="12">
      <c r="A12" s="59" t="str">
        <f>IFERROR(AGGREGATE(14,6,(Calc!$B$2:$B$501)/((Calc!$AK$2:$AK$501=1)*(Calc!$G$2:$G$501="Carousel")),1),"")</f>
        <v/>
      </c>
      <c r="B12" s="60" t="str">
        <f t="array" ref="B12">IF(A12="","",IFERROR(INDEX(Calc!$E:$E,MATCH(IF(A12="","",TEXT(A12,"YYYYMMDD")&amp;"|Carousel"),Calc!$AL:$AL,0)),""))</f>
        <v/>
      </c>
      <c r="C12" s="60" t="str">
        <f t="array" ref="C12">IF(A12="","",IFERROR(INDEX(Calc!$D:$D,MATCH(IF(A12="","",TEXT(A12,"YYYYMMDD")&amp;"|Carousel"),Calc!$AL:$AL,0)),""))</f>
        <v/>
      </c>
      <c r="D12" s="60" t="str">
        <f t="array" ref="D12">IF(A12="","",IFERROR(INDEX(Calc!$F:$F,MATCH(IF(A12="","",TEXT(A12,"YYYYMMDD")&amp;"|Carousel"),Calc!$AL:$AL,0)),""))</f>
        <v/>
      </c>
      <c r="E12" s="60" t="str">
        <f t="array" ref="E12">IF(A12="","",IFERROR(INDEX(Calc!$H:$H,MATCH(IF(A12="","",TEXT(A12,"YYYYMMDD")&amp;"|Carousel"),Calc!$AL:$AL,0)),""))</f>
        <v/>
      </c>
      <c r="F12" s="61" t="str">
        <f t="array" ref="F12">IF(A12="","",IFERROR(INDEX(Calc!$I:$I,MATCH(IF(A12="","",TEXT(A12,"YYYYMMDD")&amp;"|Carousel"),Calc!$AL:$AL,0)),""))</f>
        <v/>
      </c>
      <c r="G12" s="61" t="str">
        <f t="array" ref="G12">IF(A12="","",IFERROR(INDEX(Calc!$J:$J,MATCH(IF(A12="","",TEXT(A12,"YYYYMMDD")&amp;"|Carousel"),Calc!$AL:$AL,0)),""))</f>
        <v/>
      </c>
      <c r="H12" s="61" t="str">
        <f t="array" ref="H12">IF(A12="","",IFERROR(INDEX(Calc!$K:$K,MATCH(IF(A12="","",TEXT(A12,"YYYYMMDD")&amp;"|Carousel"),Calc!$AL:$AL,0)),""))</f>
        <v/>
      </c>
      <c r="I12" s="61" t="str">
        <f t="array" ref="I12">IF(A12="","",IFERROR(INDEX(Calc!$L:$L,MATCH(IF(A12="","",TEXT(A12,"YYYYMMDD")&amp;"|Carousel"),Calc!$AL:$AL,0)),""))</f>
        <v/>
      </c>
      <c r="J12" s="61" t="str">
        <f t="array" ref="J12">IF(A12="","",IFERROR(INDEX(Calc!$M:$M,MATCH(IF(A12="","",TEXT(A12,"YYYYMMDD")&amp;"|Carousel"),Calc!$AL:$AL,0)),""))</f>
        <v/>
      </c>
      <c r="K12" s="61" t="str">
        <f t="array" ref="K12">IF(A12="","",IFERROR(INDEX(Calc!$N:$N,MATCH(IF(A12="","",TEXT(A12,"YYYYMMDD")&amp;"|Carousel"),Calc!$AL:$AL,0)),""))</f>
        <v/>
      </c>
      <c r="L12" s="62" t="str">
        <f t="array" ref="L12">IF(A12="","",IFERROR(INDEX(Calc!$AH:$AH,MATCH(IF(A12="","",TEXT(A12,"YYYYMMDD")&amp;"|Carousel"),Calc!$AL:$AL,0)),""))</f>
        <v/>
      </c>
    </row>
    <row r="13">
      <c r="A13" s="59" t="str">
        <f>IFERROR(AGGREGATE(14,6,(Calc!$B$2:$B$501)/((Calc!$AK$2:$AK$501=1)*(Calc!$G$2:$G$501="Carousel")),2),"")</f>
        <v/>
      </c>
      <c r="B13" s="60" t="str">
        <f t="array" ref="B13">IF(A13="","",IFERROR(INDEX(Calc!$E:$E,MATCH(IF(A13="","",TEXT(A13,"YYYYMMDD")&amp;"|Carousel"),Calc!$AL:$AL,0)),""))</f>
        <v/>
      </c>
      <c r="C13" s="60" t="str">
        <f t="array" ref="C13">IF(A13="","",IFERROR(INDEX(Calc!$D:$D,MATCH(IF(A13="","",TEXT(A13,"YYYYMMDD")&amp;"|Carousel"),Calc!$AL:$AL,0)),""))</f>
        <v/>
      </c>
      <c r="D13" s="60" t="str">
        <f t="array" ref="D13">IF(A13="","",IFERROR(INDEX(Calc!$F:$F,MATCH(IF(A13="","",TEXT(A13,"YYYYMMDD")&amp;"|Carousel"),Calc!$AL:$AL,0)),""))</f>
        <v/>
      </c>
      <c r="E13" s="60" t="str">
        <f t="array" ref="E13">IF(A13="","",IFERROR(INDEX(Calc!$H:$H,MATCH(IF(A13="","",TEXT(A13,"YYYYMMDD")&amp;"|Carousel"),Calc!$AL:$AL,0)),""))</f>
        <v/>
      </c>
      <c r="F13" s="61" t="str">
        <f t="array" ref="F13">IF(A13="","",IFERROR(INDEX(Calc!$I:$I,MATCH(IF(A13="","",TEXT(A13,"YYYYMMDD")&amp;"|Carousel"),Calc!$AL:$AL,0)),""))</f>
        <v/>
      </c>
      <c r="G13" s="61" t="str">
        <f t="array" ref="G13">IF(A13="","",IFERROR(INDEX(Calc!$J:$J,MATCH(IF(A13="","",TEXT(A13,"YYYYMMDD")&amp;"|Carousel"),Calc!$AL:$AL,0)),""))</f>
        <v/>
      </c>
      <c r="H13" s="61" t="str">
        <f t="array" ref="H13">IF(A13="","",IFERROR(INDEX(Calc!$K:$K,MATCH(IF(A13="","",TEXT(A13,"YYYYMMDD")&amp;"|Carousel"),Calc!$AL:$AL,0)),""))</f>
        <v/>
      </c>
      <c r="I13" s="61" t="str">
        <f t="array" ref="I13">IF(A13="","",IFERROR(INDEX(Calc!$L:$L,MATCH(IF(A13="","",TEXT(A13,"YYYYMMDD")&amp;"|Carousel"),Calc!$AL:$AL,0)),""))</f>
        <v/>
      </c>
      <c r="J13" s="61" t="str">
        <f t="array" ref="J13">IF(A13="","",IFERROR(INDEX(Calc!$M:$M,MATCH(IF(A13="","",TEXT(A13,"YYYYMMDD")&amp;"|Carousel"),Calc!$AL:$AL,0)),""))</f>
        <v/>
      </c>
      <c r="K13" s="61" t="str">
        <f t="array" ref="K13">IF(A13="","",IFERROR(INDEX(Calc!$N:$N,MATCH(IF(A13="","",TEXT(A13,"YYYYMMDD")&amp;"|Carousel"),Calc!$AL:$AL,0)),""))</f>
        <v/>
      </c>
      <c r="L13" s="62" t="str">
        <f t="array" ref="L13">IF(A13="","",IFERROR(INDEX(Calc!$AH:$AH,MATCH(IF(A13="","",TEXT(A13,"YYYYMMDD")&amp;"|Carousel"),Calc!$AL:$AL,0)),""))</f>
        <v/>
      </c>
    </row>
    <row r="14">
      <c r="A14" s="59" t="str">
        <f>IFERROR(AGGREGATE(14,6,(Calc!$B$2:$B$501)/((Calc!$AK$2:$AK$501=1)*(Calc!$G$2:$G$501="Carousel")),3),"")</f>
        <v/>
      </c>
      <c r="B14" s="60" t="str">
        <f t="array" ref="B14">IF(A14="","",IFERROR(INDEX(Calc!$E:$E,MATCH(IF(A14="","",TEXT(A14,"YYYYMMDD")&amp;"|Carousel"),Calc!$AL:$AL,0)),""))</f>
        <v/>
      </c>
      <c r="C14" s="60" t="str">
        <f t="array" ref="C14">IF(A14="","",IFERROR(INDEX(Calc!$D:$D,MATCH(IF(A14="","",TEXT(A14,"YYYYMMDD")&amp;"|Carousel"),Calc!$AL:$AL,0)),""))</f>
        <v/>
      </c>
      <c r="D14" s="60" t="str">
        <f t="array" ref="D14">IF(A14="","",IFERROR(INDEX(Calc!$F:$F,MATCH(IF(A14="","",TEXT(A14,"YYYYMMDD")&amp;"|Carousel"),Calc!$AL:$AL,0)),""))</f>
        <v/>
      </c>
      <c r="E14" s="60" t="str">
        <f t="array" ref="E14">IF(A14="","",IFERROR(INDEX(Calc!$H:$H,MATCH(IF(A14="","",TEXT(A14,"YYYYMMDD")&amp;"|Carousel"),Calc!$AL:$AL,0)),""))</f>
        <v/>
      </c>
      <c r="F14" s="61" t="str">
        <f t="array" ref="F14">IF(A14="","",IFERROR(INDEX(Calc!$I:$I,MATCH(IF(A14="","",TEXT(A14,"YYYYMMDD")&amp;"|Carousel"),Calc!$AL:$AL,0)),""))</f>
        <v/>
      </c>
      <c r="G14" s="61" t="str">
        <f t="array" ref="G14">IF(A14="","",IFERROR(INDEX(Calc!$J:$J,MATCH(IF(A14="","",TEXT(A14,"YYYYMMDD")&amp;"|Carousel"),Calc!$AL:$AL,0)),""))</f>
        <v/>
      </c>
      <c r="H14" s="61" t="str">
        <f t="array" ref="H14">IF(A14="","",IFERROR(INDEX(Calc!$K:$K,MATCH(IF(A14="","",TEXT(A14,"YYYYMMDD")&amp;"|Carousel"),Calc!$AL:$AL,0)),""))</f>
        <v/>
      </c>
      <c r="I14" s="61" t="str">
        <f t="array" ref="I14">IF(A14="","",IFERROR(INDEX(Calc!$L:$L,MATCH(IF(A14="","",TEXT(A14,"YYYYMMDD")&amp;"|Carousel"),Calc!$AL:$AL,0)),""))</f>
        <v/>
      </c>
      <c r="J14" s="61" t="str">
        <f t="array" ref="J14">IF(A14="","",IFERROR(INDEX(Calc!$M:$M,MATCH(IF(A14="","",TEXT(A14,"YYYYMMDD")&amp;"|Carousel"),Calc!$AL:$AL,0)),""))</f>
        <v/>
      </c>
      <c r="K14" s="61" t="str">
        <f t="array" ref="K14">IF(A14="","",IFERROR(INDEX(Calc!$N:$N,MATCH(IF(A14="","",TEXT(A14,"YYYYMMDD")&amp;"|Carousel"),Calc!$AL:$AL,0)),""))</f>
        <v/>
      </c>
      <c r="L14" s="62" t="str">
        <f t="array" ref="L14">IF(A14="","",IFERROR(INDEX(Calc!$AH:$AH,MATCH(IF(A14="","",TEXT(A14,"YYYYMMDD")&amp;"|Carousel"),Calc!$AL:$AL,0)),""))</f>
        <v/>
      </c>
    </row>
    <row r="15">
      <c r="A15" s="59" t="str">
        <f>IFERROR(AGGREGATE(14,6,(Calc!$B$2:$B$501)/((Calc!$AK$2:$AK$501=1)*(Calc!$G$2:$G$501="Carousel")),4),"")</f>
        <v/>
      </c>
      <c r="B15" s="60" t="str">
        <f t="array" ref="B15">IF(A15="","",IFERROR(INDEX(Calc!$E:$E,MATCH(IF(A15="","",TEXT(A15,"YYYYMMDD")&amp;"|Carousel"),Calc!$AL:$AL,0)),""))</f>
        <v/>
      </c>
      <c r="C15" s="60" t="str">
        <f t="array" ref="C15">IF(A15="","",IFERROR(INDEX(Calc!$D:$D,MATCH(IF(A15="","",TEXT(A15,"YYYYMMDD")&amp;"|Carousel"),Calc!$AL:$AL,0)),""))</f>
        <v/>
      </c>
      <c r="D15" s="60" t="str">
        <f t="array" ref="D15">IF(A15="","",IFERROR(INDEX(Calc!$F:$F,MATCH(IF(A15="","",TEXT(A15,"YYYYMMDD")&amp;"|Carousel"),Calc!$AL:$AL,0)),""))</f>
        <v/>
      </c>
      <c r="E15" s="60" t="str">
        <f t="array" ref="E15">IF(A15="","",IFERROR(INDEX(Calc!$H:$H,MATCH(IF(A15="","",TEXT(A15,"YYYYMMDD")&amp;"|Carousel"),Calc!$AL:$AL,0)),""))</f>
        <v/>
      </c>
      <c r="F15" s="61" t="str">
        <f t="array" ref="F15">IF(A15="","",IFERROR(INDEX(Calc!$I:$I,MATCH(IF(A15="","",TEXT(A15,"YYYYMMDD")&amp;"|Carousel"),Calc!$AL:$AL,0)),""))</f>
        <v/>
      </c>
      <c r="G15" s="61" t="str">
        <f t="array" ref="G15">IF(A15="","",IFERROR(INDEX(Calc!$J:$J,MATCH(IF(A15="","",TEXT(A15,"YYYYMMDD")&amp;"|Carousel"),Calc!$AL:$AL,0)),""))</f>
        <v/>
      </c>
      <c r="H15" s="61" t="str">
        <f t="array" ref="H15">IF(A15="","",IFERROR(INDEX(Calc!$K:$K,MATCH(IF(A15="","",TEXT(A15,"YYYYMMDD")&amp;"|Carousel"),Calc!$AL:$AL,0)),""))</f>
        <v/>
      </c>
      <c r="I15" s="61" t="str">
        <f t="array" ref="I15">IF(A15="","",IFERROR(INDEX(Calc!$L:$L,MATCH(IF(A15="","",TEXT(A15,"YYYYMMDD")&amp;"|Carousel"),Calc!$AL:$AL,0)),""))</f>
        <v/>
      </c>
      <c r="J15" s="61" t="str">
        <f t="array" ref="J15">IF(A15="","",IFERROR(INDEX(Calc!$M:$M,MATCH(IF(A15="","",TEXT(A15,"YYYYMMDD")&amp;"|Carousel"),Calc!$AL:$AL,0)),""))</f>
        <v/>
      </c>
      <c r="K15" s="61" t="str">
        <f t="array" ref="K15">IF(A15="","",IFERROR(INDEX(Calc!$N:$N,MATCH(IF(A15="","",TEXT(A15,"YYYYMMDD")&amp;"|Carousel"),Calc!$AL:$AL,0)),""))</f>
        <v/>
      </c>
      <c r="L15" s="62" t="str">
        <f t="array" ref="L15">IF(A15="","",IFERROR(INDEX(Calc!$AH:$AH,MATCH(IF(A15="","",TEXT(A15,"YYYYMMDD")&amp;"|Carousel"),Calc!$AL:$AL,0)),""))</f>
        <v/>
      </c>
    </row>
    <row r="16">
      <c r="A16" s="59" t="str">
        <f>IFERROR(AGGREGATE(14,6,(Calc!$B$2:$B$501)/((Calc!$AK$2:$AK$501=1)*(Calc!$G$2:$G$501="Carousel")),5),"")</f>
        <v/>
      </c>
      <c r="B16" s="60" t="str">
        <f t="array" ref="B16">IF(A16="","",IFERROR(INDEX(Calc!$E:$E,MATCH(IF(A16="","",TEXT(A16,"YYYYMMDD")&amp;"|Carousel"),Calc!$AL:$AL,0)),""))</f>
        <v/>
      </c>
      <c r="C16" s="60" t="str">
        <f t="array" ref="C16">IF(A16="","",IFERROR(INDEX(Calc!$D:$D,MATCH(IF(A16="","",TEXT(A16,"YYYYMMDD")&amp;"|Carousel"),Calc!$AL:$AL,0)),""))</f>
        <v/>
      </c>
      <c r="D16" s="60" t="str">
        <f t="array" ref="D16">IF(A16="","",IFERROR(INDEX(Calc!$F:$F,MATCH(IF(A16="","",TEXT(A16,"YYYYMMDD")&amp;"|Carousel"),Calc!$AL:$AL,0)),""))</f>
        <v/>
      </c>
      <c r="E16" s="60" t="str">
        <f t="array" ref="E16">IF(A16="","",IFERROR(INDEX(Calc!$H:$H,MATCH(IF(A16="","",TEXT(A16,"YYYYMMDD")&amp;"|Carousel"),Calc!$AL:$AL,0)),""))</f>
        <v/>
      </c>
      <c r="F16" s="61" t="str">
        <f t="array" ref="F16">IF(A16="","",IFERROR(INDEX(Calc!$I:$I,MATCH(IF(A16="","",TEXT(A16,"YYYYMMDD")&amp;"|Carousel"),Calc!$AL:$AL,0)),""))</f>
        <v/>
      </c>
      <c r="G16" s="61" t="str">
        <f t="array" ref="G16">IF(A16="","",IFERROR(INDEX(Calc!$J:$J,MATCH(IF(A16="","",TEXT(A16,"YYYYMMDD")&amp;"|Carousel"),Calc!$AL:$AL,0)),""))</f>
        <v/>
      </c>
      <c r="H16" s="61" t="str">
        <f t="array" ref="H16">IF(A16="","",IFERROR(INDEX(Calc!$K:$K,MATCH(IF(A16="","",TEXT(A16,"YYYYMMDD")&amp;"|Carousel"),Calc!$AL:$AL,0)),""))</f>
        <v/>
      </c>
      <c r="I16" s="61" t="str">
        <f t="array" ref="I16">IF(A16="","",IFERROR(INDEX(Calc!$L:$L,MATCH(IF(A16="","",TEXT(A16,"YYYYMMDD")&amp;"|Carousel"),Calc!$AL:$AL,0)),""))</f>
        <v/>
      </c>
      <c r="J16" s="61" t="str">
        <f t="array" ref="J16">IF(A16="","",IFERROR(INDEX(Calc!$M:$M,MATCH(IF(A16="","",TEXT(A16,"YYYYMMDD")&amp;"|Carousel"),Calc!$AL:$AL,0)),""))</f>
        <v/>
      </c>
      <c r="K16" s="61" t="str">
        <f t="array" ref="K16">IF(A16="","",IFERROR(INDEX(Calc!$N:$N,MATCH(IF(A16="","",TEXT(A16,"YYYYMMDD")&amp;"|Carousel"),Calc!$AL:$AL,0)),""))</f>
        <v/>
      </c>
      <c r="L16" s="62" t="str">
        <f t="array" ref="L16">IF(A16="","",IFERROR(INDEX(Calc!$AH:$AH,MATCH(IF(A16="","",TEXT(A16,"YYYYMMDD")&amp;"|Carousel"),Calc!$AL:$AL,0)),""))</f>
        <v/>
      </c>
    </row>
    <row r="17">
      <c r="A17" s="59" t="str">
        <f>IFERROR(AGGREGATE(14,6,(Calc!$B$2:$B$501)/((Calc!$AK$2:$AK$501=1)*(Calc!$G$2:$G$501="Carousel")),6),"")</f>
        <v/>
      </c>
      <c r="B17" s="60" t="str">
        <f t="array" ref="B17">IF(A17="","",IFERROR(INDEX(Calc!$E:$E,MATCH(IF(A17="","",TEXT(A17,"YYYYMMDD")&amp;"|Carousel"),Calc!$AL:$AL,0)),""))</f>
        <v/>
      </c>
      <c r="C17" s="60" t="str">
        <f t="array" ref="C17">IF(A17="","",IFERROR(INDEX(Calc!$D:$D,MATCH(IF(A17="","",TEXT(A17,"YYYYMMDD")&amp;"|Carousel"),Calc!$AL:$AL,0)),""))</f>
        <v/>
      </c>
      <c r="D17" s="60" t="str">
        <f t="array" ref="D17">IF(A17="","",IFERROR(INDEX(Calc!$F:$F,MATCH(IF(A17="","",TEXT(A17,"YYYYMMDD")&amp;"|Carousel"),Calc!$AL:$AL,0)),""))</f>
        <v/>
      </c>
      <c r="E17" s="60" t="str">
        <f t="array" ref="E17">IF(A17="","",IFERROR(INDEX(Calc!$H:$H,MATCH(IF(A17="","",TEXT(A17,"YYYYMMDD")&amp;"|Carousel"),Calc!$AL:$AL,0)),""))</f>
        <v/>
      </c>
      <c r="F17" s="61" t="str">
        <f t="array" ref="F17">IF(A17="","",IFERROR(INDEX(Calc!$I:$I,MATCH(IF(A17="","",TEXT(A17,"YYYYMMDD")&amp;"|Carousel"),Calc!$AL:$AL,0)),""))</f>
        <v/>
      </c>
      <c r="G17" s="61" t="str">
        <f t="array" ref="G17">IF(A17="","",IFERROR(INDEX(Calc!$J:$J,MATCH(IF(A17="","",TEXT(A17,"YYYYMMDD")&amp;"|Carousel"),Calc!$AL:$AL,0)),""))</f>
        <v/>
      </c>
      <c r="H17" s="61" t="str">
        <f t="array" ref="H17">IF(A17="","",IFERROR(INDEX(Calc!$K:$K,MATCH(IF(A17="","",TEXT(A17,"YYYYMMDD")&amp;"|Carousel"),Calc!$AL:$AL,0)),""))</f>
        <v/>
      </c>
      <c r="I17" s="61" t="str">
        <f t="array" ref="I17">IF(A17="","",IFERROR(INDEX(Calc!$L:$L,MATCH(IF(A17="","",TEXT(A17,"YYYYMMDD")&amp;"|Carousel"),Calc!$AL:$AL,0)),""))</f>
        <v/>
      </c>
      <c r="J17" s="61" t="str">
        <f t="array" ref="J17">IF(A17="","",IFERROR(INDEX(Calc!$M:$M,MATCH(IF(A17="","",TEXT(A17,"YYYYMMDD")&amp;"|Carousel"),Calc!$AL:$AL,0)),""))</f>
        <v/>
      </c>
      <c r="K17" s="61" t="str">
        <f t="array" ref="K17">IF(A17="","",IFERROR(INDEX(Calc!$N:$N,MATCH(IF(A17="","",TEXT(A17,"YYYYMMDD")&amp;"|Carousel"),Calc!$AL:$AL,0)),""))</f>
        <v/>
      </c>
      <c r="L17" s="62" t="str">
        <f t="array" ref="L17">IF(A17="","",IFERROR(INDEX(Calc!$AH:$AH,MATCH(IF(A17="","",TEXT(A17,"YYYYMMDD")&amp;"|Carousel"),Calc!$AL:$AL,0)),""))</f>
        <v/>
      </c>
    </row>
    <row r="18">
      <c r="A18" s="59" t="str">
        <f>IFERROR(AGGREGATE(14,6,(Calc!$B$2:$B$501)/((Calc!$AK$2:$AK$501=1)*(Calc!$G$2:$G$501="Carousel")),7),"")</f>
        <v/>
      </c>
      <c r="B18" s="60" t="str">
        <f t="array" ref="B18">IF(A18="","",IFERROR(INDEX(Calc!$E:$E,MATCH(IF(A18="","",TEXT(A18,"YYYYMMDD")&amp;"|Carousel"),Calc!$AL:$AL,0)),""))</f>
        <v/>
      </c>
      <c r="C18" s="60" t="str">
        <f t="array" ref="C18">IF(A18="","",IFERROR(INDEX(Calc!$D:$D,MATCH(IF(A18="","",TEXT(A18,"YYYYMMDD")&amp;"|Carousel"),Calc!$AL:$AL,0)),""))</f>
        <v/>
      </c>
      <c r="D18" s="60" t="str">
        <f t="array" ref="D18">IF(A18="","",IFERROR(INDEX(Calc!$F:$F,MATCH(IF(A18="","",TEXT(A18,"YYYYMMDD")&amp;"|Carousel"),Calc!$AL:$AL,0)),""))</f>
        <v/>
      </c>
      <c r="E18" s="60" t="str">
        <f t="array" ref="E18">IF(A18="","",IFERROR(INDEX(Calc!$H:$H,MATCH(IF(A18="","",TEXT(A18,"YYYYMMDD")&amp;"|Carousel"),Calc!$AL:$AL,0)),""))</f>
        <v/>
      </c>
      <c r="F18" s="61" t="str">
        <f t="array" ref="F18">IF(A18="","",IFERROR(INDEX(Calc!$I:$I,MATCH(IF(A18="","",TEXT(A18,"YYYYMMDD")&amp;"|Carousel"),Calc!$AL:$AL,0)),""))</f>
        <v/>
      </c>
      <c r="G18" s="61" t="str">
        <f t="array" ref="G18">IF(A18="","",IFERROR(INDEX(Calc!$J:$J,MATCH(IF(A18="","",TEXT(A18,"YYYYMMDD")&amp;"|Carousel"),Calc!$AL:$AL,0)),""))</f>
        <v/>
      </c>
      <c r="H18" s="61" t="str">
        <f t="array" ref="H18">IF(A18="","",IFERROR(INDEX(Calc!$K:$K,MATCH(IF(A18="","",TEXT(A18,"YYYYMMDD")&amp;"|Carousel"),Calc!$AL:$AL,0)),""))</f>
        <v/>
      </c>
      <c r="I18" s="61" t="str">
        <f t="array" ref="I18">IF(A18="","",IFERROR(INDEX(Calc!$L:$L,MATCH(IF(A18="","",TEXT(A18,"YYYYMMDD")&amp;"|Carousel"),Calc!$AL:$AL,0)),""))</f>
        <v/>
      </c>
      <c r="J18" s="61" t="str">
        <f t="array" ref="J18">IF(A18="","",IFERROR(INDEX(Calc!$M:$M,MATCH(IF(A18="","",TEXT(A18,"YYYYMMDD")&amp;"|Carousel"),Calc!$AL:$AL,0)),""))</f>
        <v/>
      </c>
      <c r="K18" s="61" t="str">
        <f t="array" ref="K18">IF(A18="","",IFERROR(INDEX(Calc!$N:$N,MATCH(IF(A18="","",TEXT(A18,"YYYYMMDD")&amp;"|Carousel"),Calc!$AL:$AL,0)),""))</f>
        <v/>
      </c>
      <c r="L18" s="62" t="str">
        <f t="array" ref="L18">IF(A18="","",IFERROR(INDEX(Calc!$AH:$AH,MATCH(IF(A18="","",TEXT(A18,"YYYYMMDD")&amp;"|Carousel"),Calc!$AL:$AL,0)),""))</f>
        <v/>
      </c>
    </row>
    <row r="19">
      <c r="A19" s="59" t="str">
        <f>IFERROR(AGGREGATE(14,6,(Calc!$B$2:$B$501)/((Calc!$AK$2:$AK$501=1)*(Calc!$G$2:$G$501="Carousel")),8),"")</f>
        <v/>
      </c>
      <c r="B19" s="60" t="str">
        <f t="array" ref="B19">IF(A19="","",IFERROR(INDEX(Calc!$E:$E,MATCH(IF(A19="","",TEXT(A19,"YYYYMMDD")&amp;"|Carousel"),Calc!$AL:$AL,0)),""))</f>
        <v/>
      </c>
      <c r="C19" s="60" t="str">
        <f t="array" ref="C19">IF(A19="","",IFERROR(INDEX(Calc!$D:$D,MATCH(IF(A19="","",TEXT(A19,"YYYYMMDD")&amp;"|Carousel"),Calc!$AL:$AL,0)),""))</f>
        <v/>
      </c>
      <c r="D19" s="60" t="str">
        <f t="array" ref="D19">IF(A19="","",IFERROR(INDEX(Calc!$F:$F,MATCH(IF(A19="","",TEXT(A19,"YYYYMMDD")&amp;"|Carousel"),Calc!$AL:$AL,0)),""))</f>
        <v/>
      </c>
      <c r="E19" s="60" t="str">
        <f t="array" ref="E19">IF(A19="","",IFERROR(INDEX(Calc!$H:$H,MATCH(IF(A19="","",TEXT(A19,"YYYYMMDD")&amp;"|Carousel"),Calc!$AL:$AL,0)),""))</f>
        <v/>
      </c>
      <c r="F19" s="61" t="str">
        <f t="array" ref="F19">IF(A19="","",IFERROR(INDEX(Calc!$I:$I,MATCH(IF(A19="","",TEXT(A19,"YYYYMMDD")&amp;"|Carousel"),Calc!$AL:$AL,0)),""))</f>
        <v/>
      </c>
      <c r="G19" s="61" t="str">
        <f t="array" ref="G19">IF(A19="","",IFERROR(INDEX(Calc!$J:$J,MATCH(IF(A19="","",TEXT(A19,"YYYYMMDD")&amp;"|Carousel"),Calc!$AL:$AL,0)),""))</f>
        <v/>
      </c>
      <c r="H19" s="61" t="str">
        <f t="array" ref="H19">IF(A19="","",IFERROR(INDEX(Calc!$K:$K,MATCH(IF(A19="","",TEXT(A19,"YYYYMMDD")&amp;"|Carousel"),Calc!$AL:$AL,0)),""))</f>
        <v/>
      </c>
      <c r="I19" s="61" t="str">
        <f t="array" ref="I19">IF(A19="","",IFERROR(INDEX(Calc!$L:$L,MATCH(IF(A19="","",TEXT(A19,"YYYYMMDD")&amp;"|Carousel"),Calc!$AL:$AL,0)),""))</f>
        <v/>
      </c>
      <c r="J19" s="61" t="str">
        <f t="array" ref="J19">IF(A19="","",IFERROR(INDEX(Calc!$M:$M,MATCH(IF(A19="","",TEXT(A19,"YYYYMMDD")&amp;"|Carousel"),Calc!$AL:$AL,0)),""))</f>
        <v/>
      </c>
      <c r="K19" s="61" t="str">
        <f t="array" ref="K19">IF(A19="","",IFERROR(INDEX(Calc!$N:$N,MATCH(IF(A19="","",TEXT(A19,"YYYYMMDD")&amp;"|Carousel"),Calc!$AL:$AL,0)),""))</f>
        <v/>
      </c>
      <c r="L19" s="62" t="str">
        <f t="array" ref="L19">IF(A19="","",IFERROR(INDEX(Calc!$AH:$AH,MATCH(IF(A19="","",TEXT(A19,"YYYYMMDD")&amp;"|Carousel"),Calc!$AL:$AL,0)),""))</f>
        <v/>
      </c>
    </row>
    <row r="20">
      <c r="A20" s="59" t="str">
        <f>IFERROR(AGGREGATE(14,6,(Calc!$B$2:$B$501)/((Calc!$AK$2:$AK$501=1)*(Calc!$G$2:$G$501="Carousel")),9),"")</f>
        <v/>
      </c>
      <c r="B20" s="60" t="str">
        <f t="array" ref="B20">IF(A20="","",IFERROR(INDEX(Calc!$E:$E,MATCH(IF(A20="","",TEXT(A20,"YYYYMMDD")&amp;"|Carousel"),Calc!$AL:$AL,0)),""))</f>
        <v/>
      </c>
      <c r="C20" s="60" t="str">
        <f t="array" ref="C20">IF(A20="","",IFERROR(INDEX(Calc!$D:$D,MATCH(IF(A20="","",TEXT(A20,"YYYYMMDD")&amp;"|Carousel"),Calc!$AL:$AL,0)),""))</f>
        <v/>
      </c>
      <c r="D20" s="60" t="str">
        <f t="array" ref="D20">IF(A20="","",IFERROR(INDEX(Calc!$F:$F,MATCH(IF(A20="","",TEXT(A20,"YYYYMMDD")&amp;"|Carousel"),Calc!$AL:$AL,0)),""))</f>
        <v/>
      </c>
      <c r="E20" s="60" t="str">
        <f t="array" ref="E20">IF(A20="","",IFERROR(INDEX(Calc!$H:$H,MATCH(IF(A20="","",TEXT(A20,"YYYYMMDD")&amp;"|Carousel"),Calc!$AL:$AL,0)),""))</f>
        <v/>
      </c>
      <c r="F20" s="61" t="str">
        <f t="array" ref="F20">IF(A20="","",IFERROR(INDEX(Calc!$I:$I,MATCH(IF(A20="","",TEXT(A20,"YYYYMMDD")&amp;"|Carousel"),Calc!$AL:$AL,0)),""))</f>
        <v/>
      </c>
      <c r="G20" s="61" t="str">
        <f t="array" ref="G20">IF(A20="","",IFERROR(INDEX(Calc!$J:$J,MATCH(IF(A20="","",TEXT(A20,"YYYYMMDD")&amp;"|Carousel"),Calc!$AL:$AL,0)),""))</f>
        <v/>
      </c>
      <c r="H20" s="61" t="str">
        <f t="array" ref="H20">IF(A20="","",IFERROR(INDEX(Calc!$K:$K,MATCH(IF(A20="","",TEXT(A20,"YYYYMMDD")&amp;"|Carousel"),Calc!$AL:$AL,0)),""))</f>
        <v/>
      </c>
      <c r="I20" s="61" t="str">
        <f t="array" ref="I20">IF(A20="","",IFERROR(INDEX(Calc!$L:$L,MATCH(IF(A20="","",TEXT(A20,"YYYYMMDD")&amp;"|Carousel"),Calc!$AL:$AL,0)),""))</f>
        <v/>
      </c>
      <c r="J20" s="61" t="str">
        <f t="array" ref="J20">IF(A20="","",IFERROR(INDEX(Calc!$M:$M,MATCH(IF(A20="","",TEXT(A20,"YYYYMMDD")&amp;"|Carousel"),Calc!$AL:$AL,0)),""))</f>
        <v/>
      </c>
      <c r="K20" s="61" t="str">
        <f t="array" ref="K20">IF(A20="","",IFERROR(INDEX(Calc!$N:$N,MATCH(IF(A20="","",TEXT(A20,"YYYYMMDD")&amp;"|Carousel"),Calc!$AL:$AL,0)),""))</f>
        <v/>
      </c>
      <c r="L20" s="62" t="str">
        <f t="array" ref="L20">IF(A20="","",IFERROR(INDEX(Calc!$AH:$AH,MATCH(IF(A20="","",TEXT(A20,"YYYYMMDD")&amp;"|Carousel"),Calc!$AL:$AL,0)),""))</f>
        <v/>
      </c>
    </row>
    <row r="21" ht="15.75" customHeight="1">
      <c r="A21" s="59" t="str">
        <f>IFERROR(AGGREGATE(14,6,(Calc!$B$2:$B$501)/((Calc!$AK$2:$AK$501=1)*(Calc!$G$2:$G$501="Carousel")),10),"")</f>
        <v/>
      </c>
      <c r="B21" s="60" t="str">
        <f t="array" ref="B21">IF(A21="","",IFERROR(INDEX(Calc!$E:$E,MATCH(IF(A21="","",TEXT(A21,"YYYYMMDD")&amp;"|Carousel"),Calc!$AL:$AL,0)),""))</f>
        <v/>
      </c>
      <c r="C21" s="60" t="str">
        <f t="array" ref="C21">IF(A21="","",IFERROR(INDEX(Calc!$D:$D,MATCH(IF(A21="","",TEXT(A21,"YYYYMMDD")&amp;"|Carousel"),Calc!$AL:$AL,0)),""))</f>
        <v/>
      </c>
      <c r="D21" s="60" t="str">
        <f t="array" ref="D21">IF(A21="","",IFERROR(INDEX(Calc!$F:$F,MATCH(IF(A21="","",TEXT(A21,"YYYYMMDD")&amp;"|Carousel"),Calc!$AL:$AL,0)),""))</f>
        <v/>
      </c>
      <c r="E21" s="60" t="str">
        <f t="array" ref="E21">IF(A21="","",IFERROR(INDEX(Calc!$H:$H,MATCH(IF(A21="","",TEXT(A21,"YYYYMMDD")&amp;"|Carousel"),Calc!$AL:$AL,0)),""))</f>
        <v/>
      </c>
      <c r="F21" s="61" t="str">
        <f t="array" ref="F21">IF(A21="","",IFERROR(INDEX(Calc!$I:$I,MATCH(IF(A21="","",TEXT(A21,"YYYYMMDD")&amp;"|Carousel"),Calc!$AL:$AL,0)),""))</f>
        <v/>
      </c>
      <c r="G21" s="61" t="str">
        <f t="array" ref="G21">IF(A21="","",IFERROR(INDEX(Calc!$J:$J,MATCH(IF(A21="","",TEXT(A21,"YYYYMMDD")&amp;"|Carousel"),Calc!$AL:$AL,0)),""))</f>
        <v/>
      </c>
      <c r="H21" s="61" t="str">
        <f t="array" ref="H21">IF(A21="","",IFERROR(INDEX(Calc!$K:$K,MATCH(IF(A21="","",TEXT(A21,"YYYYMMDD")&amp;"|Carousel"),Calc!$AL:$AL,0)),""))</f>
        <v/>
      </c>
      <c r="I21" s="61" t="str">
        <f t="array" ref="I21">IF(A21="","",IFERROR(INDEX(Calc!$L:$L,MATCH(IF(A21="","",TEXT(A21,"YYYYMMDD")&amp;"|Carousel"),Calc!$AL:$AL,0)),""))</f>
        <v/>
      </c>
      <c r="J21" s="61" t="str">
        <f t="array" ref="J21">IF(A21="","",IFERROR(INDEX(Calc!$M:$M,MATCH(IF(A21="","",TEXT(A21,"YYYYMMDD")&amp;"|Carousel"),Calc!$AL:$AL,0)),""))</f>
        <v/>
      </c>
      <c r="K21" s="61" t="str">
        <f t="array" ref="K21">IF(A21="","",IFERROR(INDEX(Calc!$N:$N,MATCH(IF(A21="","",TEXT(A21,"YYYYMMDD")&amp;"|Carousel"),Calc!$AL:$AL,0)),""))</f>
        <v/>
      </c>
      <c r="L21" s="62" t="str">
        <f t="array" ref="L21">IF(A21="","",IFERROR(INDEX(Calc!$AH:$AH,MATCH(IF(A21="","",TEXT(A21,"YYYYMMDD")&amp;"|Carousel"),Calc!$AL:$AL,0)),""))</f>
        <v/>
      </c>
    </row>
    <row r="22" ht="15.75" customHeight="1">
      <c r="A22" s="59" t="str">
        <f>IFERROR(AGGREGATE(14,6,(Calc!$B$2:$B$501)/((Calc!$AK$2:$AK$501=1)*(Calc!$G$2:$G$501="Carousel")),11),"")</f>
        <v/>
      </c>
      <c r="B22" s="60" t="str">
        <f t="array" ref="B22">IF(A22="","",IFERROR(INDEX(Calc!$E:$E,MATCH(IF(A22="","",TEXT(A22,"YYYYMMDD")&amp;"|Carousel"),Calc!$AL:$AL,0)),""))</f>
        <v/>
      </c>
      <c r="C22" s="60" t="str">
        <f t="array" ref="C22">IF(A22="","",IFERROR(INDEX(Calc!$D:$D,MATCH(IF(A22="","",TEXT(A22,"YYYYMMDD")&amp;"|Carousel"),Calc!$AL:$AL,0)),""))</f>
        <v/>
      </c>
      <c r="D22" s="60" t="str">
        <f t="array" ref="D22">IF(A22="","",IFERROR(INDEX(Calc!$F:$F,MATCH(IF(A22="","",TEXT(A22,"YYYYMMDD")&amp;"|Carousel"),Calc!$AL:$AL,0)),""))</f>
        <v/>
      </c>
      <c r="E22" s="60" t="str">
        <f t="array" ref="E22">IF(A22="","",IFERROR(INDEX(Calc!$H:$H,MATCH(IF(A22="","",TEXT(A22,"YYYYMMDD")&amp;"|Carousel"),Calc!$AL:$AL,0)),""))</f>
        <v/>
      </c>
      <c r="F22" s="61" t="str">
        <f t="array" ref="F22">IF(A22="","",IFERROR(INDEX(Calc!$I:$I,MATCH(IF(A22="","",TEXT(A22,"YYYYMMDD")&amp;"|Carousel"),Calc!$AL:$AL,0)),""))</f>
        <v/>
      </c>
      <c r="G22" s="61" t="str">
        <f t="array" ref="G22">IF(A22="","",IFERROR(INDEX(Calc!$J:$J,MATCH(IF(A22="","",TEXT(A22,"YYYYMMDD")&amp;"|Carousel"),Calc!$AL:$AL,0)),""))</f>
        <v/>
      </c>
      <c r="H22" s="61" t="str">
        <f t="array" ref="H22">IF(A22="","",IFERROR(INDEX(Calc!$K:$K,MATCH(IF(A22="","",TEXT(A22,"YYYYMMDD")&amp;"|Carousel"),Calc!$AL:$AL,0)),""))</f>
        <v/>
      </c>
      <c r="I22" s="61" t="str">
        <f t="array" ref="I22">IF(A22="","",IFERROR(INDEX(Calc!$L:$L,MATCH(IF(A22="","",TEXT(A22,"YYYYMMDD")&amp;"|Carousel"),Calc!$AL:$AL,0)),""))</f>
        <v/>
      </c>
      <c r="J22" s="61" t="str">
        <f t="array" ref="J22">IF(A22="","",IFERROR(INDEX(Calc!$M:$M,MATCH(IF(A22="","",TEXT(A22,"YYYYMMDD")&amp;"|Carousel"),Calc!$AL:$AL,0)),""))</f>
        <v/>
      </c>
      <c r="K22" s="61" t="str">
        <f t="array" ref="K22">IF(A22="","",IFERROR(INDEX(Calc!$N:$N,MATCH(IF(A22="","",TEXT(A22,"YYYYMMDD")&amp;"|Carousel"),Calc!$AL:$AL,0)),""))</f>
        <v/>
      </c>
      <c r="L22" s="62" t="str">
        <f t="array" ref="L22">IF(A22="","",IFERROR(INDEX(Calc!$AH:$AH,MATCH(IF(A22="","",TEXT(A22,"YYYYMMDD")&amp;"|Carousel"),Calc!$AL:$AL,0)),""))</f>
        <v/>
      </c>
    </row>
    <row r="23" ht="15.75" customHeight="1">
      <c r="A23" s="59" t="str">
        <f>IFERROR(AGGREGATE(14,6,(Calc!$B$2:$B$501)/((Calc!$AK$2:$AK$501=1)*(Calc!$G$2:$G$501="Carousel")),12),"")</f>
        <v/>
      </c>
      <c r="B23" s="60" t="str">
        <f t="array" ref="B23">IF(A23="","",IFERROR(INDEX(Calc!$E:$E,MATCH(IF(A23="","",TEXT(A23,"YYYYMMDD")&amp;"|Carousel"),Calc!$AL:$AL,0)),""))</f>
        <v/>
      </c>
      <c r="C23" s="60" t="str">
        <f t="array" ref="C23">IF(A23="","",IFERROR(INDEX(Calc!$D:$D,MATCH(IF(A23="","",TEXT(A23,"YYYYMMDD")&amp;"|Carousel"),Calc!$AL:$AL,0)),""))</f>
        <v/>
      </c>
      <c r="D23" s="60" t="str">
        <f t="array" ref="D23">IF(A23="","",IFERROR(INDEX(Calc!$F:$F,MATCH(IF(A23="","",TEXT(A23,"YYYYMMDD")&amp;"|Carousel"),Calc!$AL:$AL,0)),""))</f>
        <v/>
      </c>
      <c r="E23" s="60" t="str">
        <f t="array" ref="E23">IF(A23="","",IFERROR(INDEX(Calc!$H:$H,MATCH(IF(A23="","",TEXT(A23,"YYYYMMDD")&amp;"|Carousel"),Calc!$AL:$AL,0)),""))</f>
        <v/>
      </c>
      <c r="F23" s="61" t="str">
        <f t="array" ref="F23">IF(A23="","",IFERROR(INDEX(Calc!$I:$I,MATCH(IF(A23="","",TEXT(A23,"YYYYMMDD")&amp;"|Carousel"),Calc!$AL:$AL,0)),""))</f>
        <v/>
      </c>
      <c r="G23" s="61" t="str">
        <f t="array" ref="G23">IF(A23="","",IFERROR(INDEX(Calc!$J:$J,MATCH(IF(A23="","",TEXT(A23,"YYYYMMDD")&amp;"|Carousel"),Calc!$AL:$AL,0)),""))</f>
        <v/>
      </c>
      <c r="H23" s="61" t="str">
        <f t="array" ref="H23">IF(A23="","",IFERROR(INDEX(Calc!$K:$K,MATCH(IF(A23="","",TEXT(A23,"YYYYMMDD")&amp;"|Carousel"),Calc!$AL:$AL,0)),""))</f>
        <v/>
      </c>
      <c r="I23" s="61" t="str">
        <f t="array" ref="I23">IF(A23="","",IFERROR(INDEX(Calc!$L:$L,MATCH(IF(A23="","",TEXT(A23,"YYYYMMDD")&amp;"|Carousel"),Calc!$AL:$AL,0)),""))</f>
        <v/>
      </c>
      <c r="J23" s="61" t="str">
        <f t="array" ref="J23">IF(A23="","",IFERROR(INDEX(Calc!$M:$M,MATCH(IF(A23="","",TEXT(A23,"YYYYMMDD")&amp;"|Carousel"),Calc!$AL:$AL,0)),""))</f>
        <v/>
      </c>
      <c r="K23" s="61" t="str">
        <f t="array" ref="K23">IF(A23="","",IFERROR(INDEX(Calc!$N:$N,MATCH(IF(A23="","",TEXT(A23,"YYYYMMDD")&amp;"|Carousel"),Calc!$AL:$AL,0)),""))</f>
        <v/>
      </c>
      <c r="L23" s="62" t="str">
        <f t="array" ref="L23">IF(A23="","",IFERROR(INDEX(Calc!$AH:$AH,MATCH(IF(A23="","",TEXT(A23,"YYYYMMDD")&amp;"|Carousel"),Calc!$AL:$AL,0)),""))</f>
        <v/>
      </c>
    </row>
    <row r="24" ht="15.75" customHeight="1">
      <c r="A24" s="59" t="str">
        <f>IFERROR(AGGREGATE(14,6,(Calc!$B$2:$B$501)/((Calc!$AK$2:$AK$501=1)*(Calc!$G$2:$G$501="Carousel")),13),"")</f>
        <v/>
      </c>
      <c r="B24" s="60" t="str">
        <f t="array" ref="B24">IF(A24="","",IFERROR(INDEX(Calc!$E:$E,MATCH(IF(A24="","",TEXT(A24,"YYYYMMDD")&amp;"|Carousel"),Calc!$AL:$AL,0)),""))</f>
        <v/>
      </c>
      <c r="C24" s="60" t="str">
        <f t="array" ref="C24">IF(A24="","",IFERROR(INDEX(Calc!$D:$D,MATCH(IF(A24="","",TEXT(A24,"YYYYMMDD")&amp;"|Carousel"),Calc!$AL:$AL,0)),""))</f>
        <v/>
      </c>
      <c r="D24" s="60" t="str">
        <f t="array" ref="D24">IF(A24="","",IFERROR(INDEX(Calc!$F:$F,MATCH(IF(A24="","",TEXT(A24,"YYYYMMDD")&amp;"|Carousel"),Calc!$AL:$AL,0)),""))</f>
        <v/>
      </c>
      <c r="E24" s="60" t="str">
        <f t="array" ref="E24">IF(A24="","",IFERROR(INDEX(Calc!$H:$H,MATCH(IF(A24="","",TEXT(A24,"YYYYMMDD")&amp;"|Carousel"),Calc!$AL:$AL,0)),""))</f>
        <v/>
      </c>
      <c r="F24" s="61" t="str">
        <f t="array" ref="F24">IF(A24="","",IFERROR(INDEX(Calc!$I:$I,MATCH(IF(A24="","",TEXT(A24,"YYYYMMDD")&amp;"|Carousel"),Calc!$AL:$AL,0)),""))</f>
        <v/>
      </c>
      <c r="G24" s="61" t="str">
        <f t="array" ref="G24">IF(A24="","",IFERROR(INDEX(Calc!$J:$J,MATCH(IF(A24="","",TEXT(A24,"YYYYMMDD")&amp;"|Carousel"),Calc!$AL:$AL,0)),""))</f>
        <v/>
      </c>
      <c r="H24" s="61" t="str">
        <f t="array" ref="H24">IF(A24="","",IFERROR(INDEX(Calc!$K:$K,MATCH(IF(A24="","",TEXT(A24,"YYYYMMDD")&amp;"|Carousel"),Calc!$AL:$AL,0)),""))</f>
        <v/>
      </c>
      <c r="I24" s="61" t="str">
        <f t="array" ref="I24">IF(A24="","",IFERROR(INDEX(Calc!$L:$L,MATCH(IF(A24="","",TEXT(A24,"YYYYMMDD")&amp;"|Carousel"),Calc!$AL:$AL,0)),""))</f>
        <v/>
      </c>
      <c r="J24" s="61" t="str">
        <f t="array" ref="J24">IF(A24="","",IFERROR(INDEX(Calc!$M:$M,MATCH(IF(A24="","",TEXT(A24,"YYYYMMDD")&amp;"|Carousel"),Calc!$AL:$AL,0)),""))</f>
        <v/>
      </c>
      <c r="K24" s="61" t="str">
        <f t="array" ref="K24">IF(A24="","",IFERROR(INDEX(Calc!$N:$N,MATCH(IF(A24="","",TEXT(A24,"YYYYMMDD")&amp;"|Carousel"),Calc!$AL:$AL,0)),""))</f>
        <v/>
      </c>
      <c r="L24" s="62" t="str">
        <f t="array" ref="L24">IF(A24="","",IFERROR(INDEX(Calc!$AH:$AH,MATCH(IF(A24="","",TEXT(A24,"YYYYMMDD")&amp;"|Carousel"),Calc!$AL:$AL,0)),""))</f>
        <v/>
      </c>
    </row>
    <row r="25" ht="15.75" customHeight="1">
      <c r="A25" s="59" t="str">
        <f>IFERROR(AGGREGATE(14,6,(Calc!$B$2:$B$501)/((Calc!$AK$2:$AK$501=1)*(Calc!$G$2:$G$501="Carousel")),14),"")</f>
        <v/>
      </c>
      <c r="B25" s="60" t="str">
        <f t="array" ref="B25">IF(A25="","",IFERROR(INDEX(Calc!$E:$E,MATCH(IF(A25="","",TEXT(A25,"YYYYMMDD")&amp;"|Carousel"),Calc!$AL:$AL,0)),""))</f>
        <v/>
      </c>
      <c r="C25" s="60" t="str">
        <f t="array" ref="C25">IF(A25="","",IFERROR(INDEX(Calc!$D:$D,MATCH(IF(A25="","",TEXT(A25,"YYYYMMDD")&amp;"|Carousel"),Calc!$AL:$AL,0)),""))</f>
        <v/>
      </c>
      <c r="D25" s="60" t="str">
        <f t="array" ref="D25">IF(A25="","",IFERROR(INDEX(Calc!$F:$F,MATCH(IF(A25="","",TEXT(A25,"YYYYMMDD")&amp;"|Carousel"),Calc!$AL:$AL,0)),""))</f>
        <v/>
      </c>
      <c r="E25" s="60" t="str">
        <f t="array" ref="E25">IF(A25="","",IFERROR(INDEX(Calc!$H:$H,MATCH(IF(A25="","",TEXT(A25,"YYYYMMDD")&amp;"|Carousel"),Calc!$AL:$AL,0)),""))</f>
        <v/>
      </c>
      <c r="F25" s="61" t="str">
        <f t="array" ref="F25">IF(A25="","",IFERROR(INDEX(Calc!$I:$I,MATCH(IF(A25="","",TEXT(A25,"YYYYMMDD")&amp;"|Carousel"),Calc!$AL:$AL,0)),""))</f>
        <v/>
      </c>
      <c r="G25" s="61" t="str">
        <f t="array" ref="G25">IF(A25="","",IFERROR(INDEX(Calc!$J:$J,MATCH(IF(A25="","",TEXT(A25,"YYYYMMDD")&amp;"|Carousel"),Calc!$AL:$AL,0)),""))</f>
        <v/>
      </c>
      <c r="H25" s="61" t="str">
        <f t="array" ref="H25">IF(A25="","",IFERROR(INDEX(Calc!$K:$K,MATCH(IF(A25="","",TEXT(A25,"YYYYMMDD")&amp;"|Carousel"),Calc!$AL:$AL,0)),""))</f>
        <v/>
      </c>
      <c r="I25" s="61" t="str">
        <f t="array" ref="I25">IF(A25="","",IFERROR(INDEX(Calc!$L:$L,MATCH(IF(A25="","",TEXT(A25,"YYYYMMDD")&amp;"|Carousel"),Calc!$AL:$AL,0)),""))</f>
        <v/>
      </c>
      <c r="J25" s="61" t="str">
        <f t="array" ref="J25">IF(A25="","",IFERROR(INDEX(Calc!$M:$M,MATCH(IF(A25="","",TEXT(A25,"YYYYMMDD")&amp;"|Carousel"),Calc!$AL:$AL,0)),""))</f>
        <v/>
      </c>
      <c r="K25" s="61" t="str">
        <f t="array" ref="K25">IF(A25="","",IFERROR(INDEX(Calc!$N:$N,MATCH(IF(A25="","",TEXT(A25,"YYYYMMDD")&amp;"|Carousel"),Calc!$AL:$AL,0)),""))</f>
        <v/>
      </c>
      <c r="L25" s="62" t="str">
        <f t="array" ref="L25">IF(A25="","",IFERROR(INDEX(Calc!$AH:$AH,MATCH(IF(A25="","",TEXT(A25,"YYYYMMDD")&amp;"|Carousel"),Calc!$AL:$AL,0)),""))</f>
        <v/>
      </c>
    </row>
    <row r="26" ht="15.75" customHeight="1">
      <c r="A26" s="59" t="str">
        <f>IFERROR(AGGREGATE(14,6,(Calc!$B$2:$B$501)/((Calc!$AK$2:$AK$501=1)*(Calc!$G$2:$G$501="Carousel")),15),"")</f>
        <v/>
      </c>
      <c r="B26" s="60" t="str">
        <f t="array" ref="B26">IF(A26="","",IFERROR(INDEX(Calc!$E:$E,MATCH(IF(A26="","",TEXT(A26,"YYYYMMDD")&amp;"|Carousel"),Calc!$AL:$AL,0)),""))</f>
        <v/>
      </c>
      <c r="C26" s="60" t="str">
        <f t="array" ref="C26">IF(A26="","",IFERROR(INDEX(Calc!$D:$D,MATCH(IF(A26="","",TEXT(A26,"YYYYMMDD")&amp;"|Carousel"),Calc!$AL:$AL,0)),""))</f>
        <v/>
      </c>
      <c r="D26" s="60" t="str">
        <f t="array" ref="D26">IF(A26="","",IFERROR(INDEX(Calc!$F:$F,MATCH(IF(A26="","",TEXT(A26,"YYYYMMDD")&amp;"|Carousel"),Calc!$AL:$AL,0)),""))</f>
        <v/>
      </c>
      <c r="E26" s="60" t="str">
        <f t="array" ref="E26">IF(A26="","",IFERROR(INDEX(Calc!$H:$H,MATCH(IF(A26="","",TEXT(A26,"YYYYMMDD")&amp;"|Carousel"),Calc!$AL:$AL,0)),""))</f>
        <v/>
      </c>
      <c r="F26" s="61" t="str">
        <f t="array" ref="F26">IF(A26="","",IFERROR(INDEX(Calc!$I:$I,MATCH(IF(A26="","",TEXT(A26,"YYYYMMDD")&amp;"|Carousel"),Calc!$AL:$AL,0)),""))</f>
        <v/>
      </c>
      <c r="G26" s="61" t="str">
        <f t="array" ref="G26">IF(A26="","",IFERROR(INDEX(Calc!$J:$J,MATCH(IF(A26="","",TEXT(A26,"YYYYMMDD")&amp;"|Carousel"),Calc!$AL:$AL,0)),""))</f>
        <v/>
      </c>
      <c r="H26" s="61" t="str">
        <f t="array" ref="H26">IF(A26="","",IFERROR(INDEX(Calc!$K:$K,MATCH(IF(A26="","",TEXT(A26,"YYYYMMDD")&amp;"|Carousel"),Calc!$AL:$AL,0)),""))</f>
        <v/>
      </c>
      <c r="I26" s="61" t="str">
        <f t="array" ref="I26">IF(A26="","",IFERROR(INDEX(Calc!$L:$L,MATCH(IF(A26="","",TEXT(A26,"YYYYMMDD")&amp;"|Carousel"),Calc!$AL:$AL,0)),""))</f>
        <v/>
      </c>
      <c r="J26" s="61" t="str">
        <f t="array" ref="J26">IF(A26="","",IFERROR(INDEX(Calc!$M:$M,MATCH(IF(A26="","",TEXT(A26,"YYYYMMDD")&amp;"|Carousel"),Calc!$AL:$AL,0)),""))</f>
        <v/>
      </c>
      <c r="K26" s="61" t="str">
        <f t="array" ref="K26">IF(A26="","",IFERROR(INDEX(Calc!$N:$N,MATCH(IF(A26="","",TEXT(A26,"YYYYMMDD")&amp;"|Carousel"),Calc!$AL:$AL,0)),""))</f>
        <v/>
      </c>
      <c r="L26" s="62" t="str">
        <f t="array" ref="L26">IF(A26="","",IFERROR(INDEX(Calc!$AH:$AH,MATCH(IF(A26="","",TEXT(A26,"YYYYMMDD")&amp;"|Carousel"),Calc!$AL:$AL,0)),""))</f>
        <v/>
      </c>
    </row>
    <row r="27" ht="15.75" customHeight="1">
      <c r="A27" s="59" t="str">
        <f>IFERROR(AGGREGATE(14,6,(Calc!$B$2:$B$501)/((Calc!$AK$2:$AK$501=1)*(Calc!$G$2:$G$501="Carousel")),16),"")</f>
        <v/>
      </c>
      <c r="B27" s="60" t="str">
        <f t="array" ref="B27">IF(A27="","",IFERROR(INDEX(Calc!$E:$E,MATCH(IF(A27="","",TEXT(A27,"YYYYMMDD")&amp;"|Carousel"),Calc!$AL:$AL,0)),""))</f>
        <v/>
      </c>
      <c r="C27" s="60" t="str">
        <f t="array" ref="C27">IF(A27="","",IFERROR(INDEX(Calc!$D:$D,MATCH(IF(A27="","",TEXT(A27,"YYYYMMDD")&amp;"|Carousel"),Calc!$AL:$AL,0)),""))</f>
        <v/>
      </c>
      <c r="D27" s="60" t="str">
        <f t="array" ref="D27">IF(A27="","",IFERROR(INDEX(Calc!$F:$F,MATCH(IF(A27="","",TEXT(A27,"YYYYMMDD")&amp;"|Carousel"),Calc!$AL:$AL,0)),""))</f>
        <v/>
      </c>
      <c r="E27" s="60" t="str">
        <f t="array" ref="E27">IF(A27="","",IFERROR(INDEX(Calc!$H:$H,MATCH(IF(A27="","",TEXT(A27,"YYYYMMDD")&amp;"|Carousel"),Calc!$AL:$AL,0)),""))</f>
        <v/>
      </c>
      <c r="F27" s="61" t="str">
        <f t="array" ref="F27">IF(A27="","",IFERROR(INDEX(Calc!$I:$I,MATCH(IF(A27="","",TEXT(A27,"YYYYMMDD")&amp;"|Carousel"),Calc!$AL:$AL,0)),""))</f>
        <v/>
      </c>
      <c r="G27" s="61" t="str">
        <f t="array" ref="G27">IF(A27="","",IFERROR(INDEX(Calc!$J:$J,MATCH(IF(A27="","",TEXT(A27,"YYYYMMDD")&amp;"|Carousel"),Calc!$AL:$AL,0)),""))</f>
        <v/>
      </c>
      <c r="H27" s="61" t="str">
        <f t="array" ref="H27">IF(A27="","",IFERROR(INDEX(Calc!$K:$K,MATCH(IF(A27="","",TEXT(A27,"YYYYMMDD")&amp;"|Carousel"),Calc!$AL:$AL,0)),""))</f>
        <v/>
      </c>
      <c r="I27" s="61" t="str">
        <f t="array" ref="I27">IF(A27="","",IFERROR(INDEX(Calc!$L:$L,MATCH(IF(A27="","",TEXT(A27,"YYYYMMDD")&amp;"|Carousel"),Calc!$AL:$AL,0)),""))</f>
        <v/>
      </c>
      <c r="J27" s="61" t="str">
        <f t="array" ref="J27">IF(A27="","",IFERROR(INDEX(Calc!$M:$M,MATCH(IF(A27="","",TEXT(A27,"YYYYMMDD")&amp;"|Carousel"),Calc!$AL:$AL,0)),""))</f>
        <v/>
      </c>
      <c r="K27" s="61" t="str">
        <f t="array" ref="K27">IF(A27="","",IFERROR(INDEX(Calc!$N:$N,MATCH(IF(A27="","",TEXT(A27,"YYYYMMDD")&amp;"|Carousel"),Calc!$AL:$AL,0)),""))</f>
        <v/>
      </c>
      <c r="L27" s="62" t="str">
        <f t="array" ref="L27">IF(A27="","",IFERROR(INDEX(Calc!$AH:$AH,MATCH(IF(A27="","",TEXT(A27,"YYYYMMDD")&amp;"|Carousel"),Calc!$AL:$AL,0)),""))</f>
        <v/>
      </c>
    </row>
    <row r="28" ht="15.75" customHeight="1">
      <c r="A28" s="59" t="str">
        <f>IFERROR(AGGREGATE(14,6,(Calc!$B$2:$B$501)/((Calc!$AK$2:$AK$501=1)*(Calc!$G$2:$G$501="Carousel")),17),"")</f>
        <v/>
      </c>
      <c r="B28" s="60" t="str">
        <f t="array" ref="B28">IF(A28="","",IFERROR(INDEX(Calc!$E:$E,MATCH(IF(A28="","",TEXT(A28,"YYYYMMDD")&amp;"|Carousel"),Calc!$AL:$AL,0)),""))</f>
        <v/>
      </c>
      <c r="C28" s="60" t="str">
        <f t="array" ref="C28">IF(A28="","",IFERROR(INDEX(Calc!$D:$D,MATCH(IF(A28="","",TEXT(A28,"YYYYMMDD")&amp;"|Carousel"),Calc!$AL:$AL,0)),""))</f>
        <v/>
      </c>
      <c r="D28" s="60" t="str">
        <f t="array" ref="D28">IF(A28="","",IFERROR(INDEX(Calc!$F:$F,MATCH(IF(A28="","",TEXT(A28,"YYYYMMDD")&amp;"|Carousel"),Calc!$AL:$AL,0)),""))</f>
        <v/>
      </c>
      <c r="E28" s="60" t="str">
        <f t="array" ref="E28">IF(A28="","",IFERROR(INDEX(Calc!$H:$H,MATCH(IF(A28="","",TEXT(A28,"YYYYMMDD")&amp;"|Carousel"),Calc!$AL:$AL,0)),""))</f>
        <v/>
      </c>
      <c r="F28" s="61" t="str">
        <f t="array" ref="F28">IF(A28="","",IFERROR(INDEX(Calc!$I:$I,MATCH(IF(A28="","",TEXT(A28,"YYYYMMDD")&amp;"|Carousel"),Calc!$AL:$AL,0)),""))</f>
        <v/>
      </c>
      <c r="G28" s="61" t="str">
        <f t="array" ref="G28">IF(A28="","",IFERROR(INDEX(Calc!$J:$J,MATCH(IF(A28="","",TEXT(A28,"YYYYMMDD")&amp;"|Carousel"),Calc!$AL:$AL,0)),""))</f>
        <v/>
      </c>
      <c r="H28" s="61" t="str">
        <f t="array" ref="H28">IF(A28="","",IFERROR(INDEX(Calc!$K:$K,MATCH(IF(A28="","",TEXT(A28,"YYYYMMDD")&amp;"|Carousel"),Calc!$AL:$AL,0)),""))</f>
        <v/>
      </c>
      <c r="I28" s="61" t="str">
        <f t="array" ref="I28">IF(A28="","",IFERROR(INDEX(Calc!$L:$L,MATCH(IF(A28="","",TEXT(A28,"YYYYMMDD")&amp;"|Carousel"),Calc!$AL:$AL,0)),""))</f>
        <v/>
      </c>
      <c r="J28" s="61" t="str">
        <f t="array" ref="J28">IF(A28="","",IFERROR(INDEX(Calc!$M:$M,MATCH(IF(A28="","",TEXT(A28,"YYYYMMDD")&amp;"|Carousel"),Calc!$AL:$AL,0)),""))</f>
        <v/>
      </c>
      <c r="K28" s="61" t="str">
        <f t="array" ref="K28">IF(A28="","",IFERROR(INDEX(Calc!$N:$N,MATCH(IF(A28="","",TEXT(A28,"YYYYMMDD")&amp;"|Carousel"),Calc!$AL:$AL,0)),""))</f>
        <v/>
      </c>
      <c r="L28" s="62" t="str">
        <f t="array" ref="L28">IF(A28="","",IFERROR(INDEX(Calc!$AH:$AH,MATCH(IF(A28="","",TEXT(A28,"YYYYMMDD")&amp;"|Carousel"),Calc!$AL:$AL,0)),""))</f>
        <v/>
      </c>
    </row>
    <row r="29" ht="15.75" customHeight="1">
      <c r="A29" s="59" t="str">
        <f>IFERROR(AGGREGATE(14,6,(Calc!$B$2:$B$501)/((Calc!$AK$2:$AK$501=1)*(Calc!$G$2:$G$501="Carousel")),18),"")</f>
        <v/>
      </c>
      <c r="B29" s="60" t="str">
        <f t="array" ref="B29">IF(A29="","",IFERROR(INDEX(Calc!$E:$E,MATCH(IF(A29="","",TEXT(A29,"YYYYMMDD")&amp;"|Carousel"),Calc!$AL:$AL,0)),""))</f>
        <v/>
      </c>
      <c r="C29" s="60" t="str">
        <f t="array" ref="C29">IF(A29="","",IFERROR(INDEX(Calc!$D:$D,MATCH(IF(A29="","",TEXT(A29,"YYYYMMDD")&amp;"|Carousel"),Calc!$AL:$AL,0)),""))</f>
        <v/>
      </c>
      <c r="D29" s="60" t="str">
        <f t="array" ref="D29">IF(A29="","",IFERROR(INDEX(Calc!$F:$F,MATCH(IF(A29="","",TEXT(A29,"YYYYMMDD")&amp;"|Carousel"),Calc!$AL:$AL,0)),""))</f>
        <v/>
      </c>
      <c r="E29" s="60" t="str">
        <f t="array" ref="E29">IF(A29="","",IFERROR(INDEX(Calc!$H:$H,MATCH(IF(A29="","",TEXT(A29,"YYYYMMDD")&amp;"|Carousel"),Calc!$AL:$AL,0)),""))</f>
        <v/>
      </c>
      <c r="F29" s="61" t="str">
        <f t="array" ref="F29">IF(A29="","",IFERROR(INDEX(Calc!$I:$I,MATCH(IF(A29="","",TEXT(A29,"YYYYMMDD")&amp;"|Carousel"),Calc!$AL:$AL,0)),""))</f>
        <v/>
      </c>
      <c r="G29" s="61" t="str">
        <f t="array" ref="G29">IF(A29="","",IFERROR(INDEX(Calc!$J:$J,MATCH(IF(A29="","",TEXT(A29,"YYYYMMDD")&amp;"|Carousel"),Calc!$AL:$AL,0)),""))</f>
        <v/>
      </c>
      <c r="H29" s="61" t="str">
        <f t="array" ref="H29">IF(A29="","",IFERROR(INDEX(Calc!$K:$K,MATCH(IF(A29="","",TEXT(A29,"YYYYMMDD")&amp;"|Carousel"),Calc!$AL:$AL,0)),""))</f>
        <v/>
      </c>
      <c r="I29" s="61" t="str">
        <f t="array" ref="I29">IF(A29="","",IFERROR(INDEX(Calc!$L:$L,MATCH(IF(A29="","",TEXT(A29,"YYYYMMDD")&amp;"|Carousel"),Calc!$AL:$AL,0)),""))</f>
        <v/>
      </c>
      <c r="J29" s="61" t="str">
        <f t="array" ref="J29">IF(A29="","",IFERROR(INDEX(Calc!$M:$M,MATCH(IF(A29="","",TEXT(A29,"YYYYMMDD")&amp;"|Carousel"),Calc!$AL:$AL,0)),""))</f>
        <v/>
      </c>
      <c r="K29" s="61" t="str">
        <f t="array" ref="K29">IF(A29="","",IFERROR(INDEX(Calc!$N:$N,MATCH(IF(A29="","",TEXT(A29,"YYYYMMDD")&amp;"|Carousel"),Calc!$AL:$AL,0)),""))</f>
        <v/>
      </c>
      <c r="L29" s="62" t="str">
        <f t="array" ref="L29">IF(A29="","",IFERROR(INDEX(Calc!$AH:$AH,MATCH(IF(A29="","",TEXT(A29,"YYYYMMDD")&amp;"|Carousel"),Calc!$AL:$AL,0)),""))</f>
        <v/>
      </c>
    </row>
    <row r="30" ht="15.75" customHeight="1">
      <c r="A30" s="59" t="str">
        <f>IFERROR(AGGREGATE(14,6,(Calc!$B$2:$B$501)/((Calc!$AK$2:$AK$501=1)*(Calc!$G$2:$G$501="Carousel")),19),"")</f>
        <v/>
      </c>
      <c r="B30" s="60" t="str">
        <f t="array" ref="B30">IF(A30="","",IFERROR(INDEX(Calc!$E:$E,MATCH(IF(A30="","",TEXT(A30,"YYYYMMDD")&amp;"|Carousel"),Calc!$AL:$AL,0)),""))</f>
        <v/>
      </c>
      <c r="C30" s="60" t="str">
        <f t="array" ref="C30">IF(A30="","",IFERROR(INDEX(Calc!$D:$D,MATCH(IF(A30="","",TEXT(A30,"YYYYMMDD")&amp;"|Carousel"),Calc!$AL:$AL,0)),""))</f>
        <v/>
      </c>
      <c r="D30" s="60" t="str">
        <f t="array" ref="D30">IF(A30="","",IFERROR(INDEX(Calc!$F:$F,MATCH(IF(A30="","",TEXT(A30,"YYYYMMDD")&amp;"|Carousel"),Calc!$AL:$AL,0)),""))</f>
        <v/>
      </c>
      <c r="E30" s="60" t="str">
        <f t="array" ref="E30">IF(A30="","",IFERROR(INDEX(Calc!$H:$H,MATCH(IF(A30="","",TEXT(A30,"YYYYMMDD")&amp;"|Carousel"),Calc!$AL:$AL,0)),""))</f>
        <v/>
      </c>
      <c r="F30" s="61" t="str">
        <f t="array" ref="F30">IF(A30="","",IFERROR(INDEX(Calc!$I:$I,MATCH(IF(A30="","",TEXT(A30,"YYYYMMDD")&amp;"|Carousel"),Calc!$AL:$AL,0)),""))</f>
        <v/>
      </c>
      <c r="G30" s="61" t="str">
        <f t="array" ref="G30">IF(A30="","",IFERROR(INDEX(Calc!$J:$J,MATCH(IF(A30="","",TEXT(A30,"YYYYMMDD")&amp;"|Carousel"),Calc!$AL:$AL,0)),""))</f>
        <v/>
      </c>
      <c r="H30" s="61" t="str">
        <f t="array" ref="H30">IF(A30="","",IFERROR(INDEX(Calc!$K:$K,MATCH(IF(A30="","",TEXT(A30,"YYYYMMDD")&amp;"|Carousel"),Calc!$AL:$AL,0)),""))</f>
        <v/>
      </c>
      <c r="I30" s="61" t="str">
        <f t="array" ref="I30">IF(A30="","",IFERROR(INDEX(Calc!$L:$L,MATCH(IF(A30="","",TEXT(A30,"YYYYMMDD")&amp;"|Carousel"),Calc!$AL:$AL,0)),""))</f>
        <v/>
      </c>
      <c r="J30" s="61" t="str">
        <f t="array" ref="J30">IF(A30="","",IFERROR(INDEX(Calc!$M:$M,MATCH(IF(A30="","",TEXT(A30,"YYYYMMDD")&amp;"|Carousel"),Calc!$AL:$AL,0)),""))</f>
        <v/>
      </c>
      <c r="K30" s="61" t="str">
        <f t="array" ref="K30">IF(A30="","",IFERROR(INDEX(Calc!$N:$N,MATCH(IF(A30="","",TEXT(A30,"YYYYMMDD")&amp;"|Carousel"),Calc!$AL:$AL,0)),""))</f>
        <v/>
      </c>
      <c r="L30" s="62" t="str">
        <f t="array" ref="L30">IF(A30="","",IFERROR(INDEX(Calc!$AH:$AH,MATCH(IF(A30="","",TEXT(A30,"YYYYMMDD")&amp;"|Carousel"),Calc!$AL:$AL,0)),""))</f>
        <v/>
      </c>
    </row>
    <row r="31" ht="15.75" customHeight="1">
      <c r="A31" s="59" t="str">
        <f>IFERROR(AGGREGATE(14,6,(Calc!$B$2:$B$501)/((Calc!$AK$2:$AK$501=1)*(Calc!$G$2:$G$501="Carousel")),20),"")</f>
        <v/>
      </c>
      <c r="B31" s="60" t="str">
        <f t="array" ref="B31">IF(A31="","",IFERROR(INDEX(Calc!$E:$E,MATCH(IF(A31="","",TEXT(A31,"YYYYMMDD")&amp;"|Carousel"),Calc!$AL:$AL,0)),""))</f>
        <v/>
      </c>
      <c r="C31" s="60" t="str">
        <f t="array" ref="C31">IF(A31="","",IFERROR(INDEX(Calc!$D:$D,MATCH(IF(A31="","",TEXT(A31,"YYYYMMDD")&amp;"|Carousel"),Calc!$AL:$AL,0)),""))</f>
        <v/>
      </c>
      <c r="D31" s="60" t="str">
        <f t="array" ref="D31">IF(A31="","",IFERROR(INDEX(Calc!$F:$F,MATCH(IF(A31="","",TEXT(A31,"YYYYMMDD")&amp;"|Carousel"),Calc!$AL:$AL,0)),""))</f>
        <v/>
      </c>
      <c r="E31" s="60" t="str">
        <f t="array" ref="E31">IF(A31="","",IFERROR(INDEX(Calc!$H:$H,MATCH(IF(A31="","",TEXT(A31,"YYYYMMDD")&amp;"|Carousel"),Calc!$AL:$AL,0)),""))</f>
        <v/>
      </c>
      <c r="F31" s="61" t="str">
        <f t="array" ref="F31">IF(A31="","",IFERROR(INDEX(Calc!$I:$I,MATCH(IF(A31="","",TEXT(A31,"YYYYMMDD")&amp;"|Carousel"),Calc!$AL:$AL,0)),""))</f>
        <v/>
      </c>
      <c r="G31" s="61" t="str">
        <f t="array" ref="G31">IF(A31="","",IFERROR(INDEX(Calc!$J:$J,MATCH(IF(A31="","",TEXT(A31,"YYYYMMDD")&amp;"|Carousel"),Calc!$AL:$AL,0)),""))</f>
        <v/>
      </c>
      <c r="H31" s="61" t="str">
        <f t="array" ref="H31">IF(A31="","",IFERROR(INDEX(Calc!$K:$K,MATCH(IF(A31="","",TEXT(A31,"YYYYMMDD")&amp;"|Carousel"),Calc!$AL:$AL,0)),""))</f>
        <v/>
      </c>
      <c r="I31" s="61" t="str">
        <f t="array" ref="I31">IF(A31="","",IFERROR(INDEX(Calc!$L:$L,MATCH(IF(A31="","",TEXT(A31,"YYYYMMDD")&amp;"|Carousel"),Calc!$AL:$AL,0)),""))</f>
        <v/>
      </c>
      <c r="J31" s="61" t="str">
        <f t="array" ref="J31">IF(A31="","",IFERROR(INDEX(Calc!$M:$M,MATCH(IF(A31="","",TEXT(A31,"YYYYMMDD")&amp;"|Carousel"),Calc!$AL:$AL,0)),""))</f>
        <v/>
      </c>
      <c r="K31" s="61" t="str">
        <f t="array" ref="K31">IF(A31="","",IFERROR(INDEX(Calc!$N:$N,MATCH(IF(A31="","",TEXT(A31,"YYYYMMDD")&amp;"|Carousel"),Calc!$AL:$AL,0)),""))</f>
        <v/>
      </c>
      <c r="L31" s="62" t="str">
        <f t="array" ref="L31">IF(A31="","",IFERROR(INDEX(Calc!$AH:$AH,MATCH(IF(A31="","",TEXT(A31,"YYYYMMDD")&amp;"|Carousel"),Calc!$AL:$AL,0)),""))</f>
        <v/>
      </c>
    </row>
    <row r="32" ht="15.75" customHeight="1">
      <c r="A32" s="59" t="str">
        <f>IFERROR(AGGREGATE(14,6,(Calc!$B$2:$B$501)/((Calc!$AK$2:$AK$501=1)*(Calc!$G$2:$G$501="Carousel")),21),"")</f>
        <v/>
      </c>
      <c r="B32" s="60" t="str">
        <f t="array" ref="B32">IF(A32="","",IFERROR(INDEX(Calc!$E:$E,MATCH(IF(A32="","",TEXT(A32,"YYYYMMDD")&amp;"|Carousel"),Calc!$AL:$AL,0)),""))</f>
        <v/>
      </c>
      <c r="C32" s="60" t="str">
        <f t="array" ref="C32">IF(A32="","",IFERROR(INDEX(Calc!$D:$D,MATCH(IF(A32="","",TEXT(A32,"YYYYMMDD")&amp;"|Carousel"),Calc!$AL:$AL,0)),""))</f>
        <v/>
      </c>
      <c r="D32" s="60" t="str">
        <f t="array" ref="D32">IF(A32="","",IFERROR(INDEX(Calc!$F:$F,MATCH(IF(A32="","",TEXT(A32,"YYYYMMDD")&amp;"|Carousel"),Calc!$AL:$AL,0)),""))</f>
        <v/>
      </c>
      <c r="E32" s="60" t="str">
        <f t="array" ref="E32">IF(A32="","",IFERROR(INDEX(Calc!$H:$H,MATCH(IF(A32="","",TEXT(A32,"YYYYMMDD")&amp;"|Carousel"),Calc!$AL:$AL,0)),""))</f>
        <v/>
      </c>
      <c r="F32" s="61" t="str">
        <f t="array" ref="F32">IF(A32="","",IFERROR(INDEX(Calc!$I:$I,MATCH(IF(A32="","",TEXT(A32,"YYYYMMDD")&amp;"|Carousel"),Calc!$AL:$AL,0)),""))</f>
        <v/>
      </c>
      <c r="G32" s="61" t="str">
        <f t="array" ref="G32">IF(A32="","",IFERROR(INDEX(Calc!$J:$J,MATCH(IF(A32="","",TEXT(A32,"YYYYMMDD")&amp;"|Carousel"),Calc!$AL:$AL,0)),""))</f>
        <v/>
      </c>
      <c r="H32" s="61" t="str">
        <f t="array" ref="H32">IF(A32="","",IFERROR(INDEX(Calc!$K:$K,MATCH(IF(A32="","",TEXT(A32,"YYYYMMDD")&amp;"|Carousel"),Calc!$AL:$AL,0)),""))</f>
        <v/>
      </c>
      <c r="I32" s="61" t="str">
        <f t="array" ref="I32">IF(A32="","",IFERROR(INDEX(Calc!$L:$L,MATCH(IF(A32="","",TEXT(A32,"YYYYMMDD")&amp;"|Carousel"),Calc!$AL:$AL,0)),""))</f>
        <v/>
      </c>
      <c r="J32" s="61" t="str">
        <f t="array" ref="J32">IF(A32="","",IFERROR(INDEX(Calc!$M:$M,MATCH(IF(A32="","",TEXT(A32,"YYYYMMDD")&amp;"|Carousel"),Calc!$AL:$AL,0)),""))</f>
        <v/>
      </c>
      <c r="K32" s="61" t="str">
        <f t="array" ref="K32">IF(A32="","",IFERROR(INDEX(Calc!$N:$N,MATCH(IF(A32="","",TEXT(A32,"YYYYMMDD")&amp;"|Carousel"),Calc!$AL:$AL,0)),""))</f>
        <v/>
      </c>
      <c r="L32" s="62" t="str">
        <f t="array" ref="L32">IF(A32="","",IFERROR(INDEX(Calc!$AH:$AH,MATCH(IF(A32="","",TEXT(A32,"YYYYMMDD")&amp;"|Carousel"),Calc!$AL:$AL,0)),""))</f>
        <v/>
      </c>
    </row>
    <row r="33" ht="15.75" customHeight="1">
      <c r="A33" s="59" t="str">
        <f>IFERROR(AGGREGATE(14,6,(Calc!$B$2:$B$501)/((Calc!$AK$2:$AK$501=1)*(Calc!$G$2:$G$501="Carousel")),22),"")</f>
        <v/>
      </c>
      <c r="B33" s="60" t="str">
        <f t="array" ref="B33">IF(A33="","",IFERROR(INDEX(Calc!$E:$E,MATCH(IF(A33="","",TEXT(A33,"YYYYMMDD")&amp;"|Carousel"),Calc!$AL:$AL,0)),""))</f>
        <v/>
      </c>
      <c r="C33" s="60" t="str">
        <f t="array" ref="C33">IF(A33="","",IFERROR(INDEX(Calc!$D:$D,MATCH(IF(A33="","",TEXT(A33,"YYYYMMDD")&amp;"|Carousel"),Calc!$AL:$AL,0)),""))</f>
        <v/>
      </c>
      <c r="D33" s="60" t="str">
        <f t="array" ref="D33">IF(A33="","",IFERROR(INDEX(Calc!$F:$F,MATCH(IF(A33="","",TEXT(A33,"YYYYMMDD")&amp;"|Carousel"),Calc!$AL:$AL,0)),""))</f>
        <v/>
      </c>
      <c r="E33" s="60" t="str">
        <f t="array" ref="E33">IF(A33="","",IFERROR(INDEX(Calc!$H:$H,MATCH(IF(A33="","",TEXT(A33,"YYYYMMDD")&amp;"|Carousel"),Calc!$AL:$AL,0)),""))</f>
        <v/>
      </c>
      <c r="F33" s="61" t="str">
        <f t="array" ref="F33">IF(A33="","",IFERROR(INDEX(Calc!$I:$I,MATCH(IF(A33="","",TEXT(A33,"YYYYMMDD")&amp;"|Carousel"),Calc!$AL:$AL,0)),""))</f>
        <v/>
      </c>
      <c r="G33" s="61" t="str">
        <f t="array" ref="G33">IF(A33="","",IFERROR(INDEX(Calc!$J:$J,MATCH(IF(A33="","",TEXT(A33,"YYYYMMDD")&amp;"|Carousel"),Calc!$AL:$AL,0)),""))</f>
        <v/>
      </c>
      <c r="H33" s="61" t="str">
        <f t="array" ref="H33">IF(A33="","",IFERROR(INDEX(Calc!$K:$K,MATCH(IF(A33="","",TEXT(A33,"YYYYMMDD")&amp;"|Carousel"),Calc!$AL:$AL,0)),""))</f>
        <v/>
      </c>
      <c r="I33" s="61" t="str">
        <f t="array" ref="I33">IF(A33="","",IFERROR(INDEX(Calc!$L:$L,MATCH(IF(A33="","",TEXT(A33,"YYYYMMDD")&amp;"|Carousel"),Calc!$AL:$AL,0)),""))</f>
        <v/>
      </c>
      <c r="J33" s="61" t="str">
        <f t="array" ref="J33">IF(A33="","",IFERROR(INDEX(Calc!$M:$M,MATCH(IF(A33="","",TEXT(A33,"YYYYMMDD")&amp;"|Carousel"),Calc!$AL:$AL,0)),""))</f>
        <v/>
      </c>
      <c r="K33" s="61" t="str">
        <f t="array" ref="K33">IF(A33="","",IFERROR(INDEX(Calc!$N:$N,MATCH(IF(A33="","",TEXT(A33,"YYYYMMDD")&amp;"|Carousel"),Calc!$AL:$AL,0)),""))</f>
        <v/>
      </c>
      <c r="L33" s="62" t="str">
        <f t="array" ref="L33">IF(A33="","",IFERROR(INDEX(Calc!$AH:$AH,MATCH(IF(A33="","",TEXT(A33,"YYYYMMDD")&amp;"|Carousel"),Calc!$AL:$AL,0)),""))</f>
        <v/>
      </c>
    </row>
    <row r="34" ht="15.75" customHeight="1">
      <c r="A34" s="59" t="str">
        <f>IFERROR(AGGREGATE(14,6,(Calc!$B$2:$B$501)/((Calc!$AK$2:$AK$501=1)*(Calc!$G$2:$G$501="Carousel")),23),"")</f>
        <v/>
      </c>
      <c r="B34" s="60" t="str">
        <f t="array" ref="B34">IF(A34="","",IFERROR(INDEX(Calc!$E:$E,MATCH(IF(A34="","",TEXT(A34,"YYYYMMDD")&amp;"|Carousel"),Calc!$AL:$AL,0)),""))</f>
        <v/>
      </c>
      <c r="C34" s="60" t="str">
        <f t="array" ref="C34">IF(A34="","",IFERROR(INDEX(Calc!$D:$D,MATCH(IF(A34="","",TEXT(A34,"YYYYMMDD")&amp;"|Carousel"),Calc!$AL:$AL,0)),""))</f>
        <v/>
      </c>
      <c r="D34" s="60" t="str">
        <f t="array" ref="D34">IF(A34="","",IFERROR(INDEX(Calc!$F:$F,MATCH(IF(A34="","",TEXT(A34,"YYYYMMDD")&amp;"|Carousel"),Calc!$AL:$AL,0)),""))</f>
        <v/>
      </c>
      <c r="E34" s="60" t="str">
        <f t="array" ref="E34">IF(A34="","",IFERROR(INDEX(Calc!$H:$H,MATCH(IF(A34="","",TEXT(A34,"YYYYMMDD")&amp;"|Carousel"),Calc!$AL:$AL,0)),""))</f>
        <v/>
      </c>
      <c r="F34" s="61" t="str">
        <f t="array" ref="F34">IF(A34="","",IFERROR(INDEX(Calc!$I:$I,MATCH(IF(A34="","",TEXT(A34,"YYYYMMDD")&amp;"|Carousel"),Calc!$AL:$AL,0)),""))</f>
        <v/>
      </c>
      <c r="G34" s="61" t="str">
        <f t="array" ref="G34">IF(A34="","",IFERROR(INDEX(Calc!$J:$J,MATCH(IF(A34="","",TEXT(A34,"YYYYMMDD")&amp;"|Carousel"),Calc!$AL:$AL,0)),""))</f>
        <v/>
      </c>
      <c r="H34" s="61" t="str">
        <f t="array" ref="H34">IF(A34="","",IFERROR(INDEX(Calc!$K:$K,MATCH(IF(A34="","",TEXT(A34,"YYYYMMDD")&amp;"|Carousel"),Calc!$AL:$AL,0)),""))</f>
        <v/>
      </c>
      <c r="I34" s="61" t="str">
        <f t="array" ref="I34">IF(A34="","",IFERROR(INDEX(Calc!$L:$L,MATCH(IF(A34="","",TEXT(A34,"YYYYMMDD")&amp;"|Carousel"),Calc!$AL:$AL,0)),""))</f>
        <v/>
      </c>
      <c r="J34" s="61" t="str">
        <f t="array" ref="J34">IF(A34="","",IFERROR(INDEX(Calc!$M:$M,MATCH(IF(A34="","",TEXT(A34,"YYYYMMDD")&amp;"|Carousel"),Calc!$AL:$AL,0)),""))</f>
        <v/>
      </c>
      <c r="K34" s="61" t="str">
        <f t="array" ref="K34">IF(A34="","",IFERROR(INDEX(Calc!$N:$N,MATCH(IF(A34="","",TEXT(A34,"YYYYMMDD")&amp;"|Carousel"),Calc!$AL:$AL,0)),""))</f>
        <v/>
      </c>
      <c r="L34" s="62" t="str">
        <f t="array" ref="L34">IF(A34="","",IFERROR(INDEX(Calc!$AH:$AH,MATCH(IF(A34="","",TEXT(A34,"YYYYMMDD")&amp;"|Carousel"),Calc!$AL:$AL,0)),""))</f>
        <v/>
      </c>
    </row>
    <row r="35" ht="15.75" customHeight="1">
      <c r="A35" s="59" t="str">
        <f>IFERROR(AGGREGATE(14,6,(Calc!$B$2:$B$501)/((Calc!$AK$2:$AK$501=1)*(Calc!$G$2:$G$501="Carousel")),24),"")</f>
        <v/>
      </c>
      <c r="B35" s="60" t="str">
        <f t="array" ref="B35">IF(A35="","",IFERROR(INDEX(Calc!$E:$E,MATCH(IF(A35="","",TEXT(A35,"YYYYMMDD")&amp;"|Carousel"),Calc!$AL:$AL,0)),""))</f>
        <v/>
      </c>
      <c r="C35" s="60" t="str">
        <f t="array" ref="C35">IF(A35="","",IFERROR(INDEX(Calc!$D:$D,MATCH(IF(A35="","",TEXT(A35,"YYYYMMDD")&amp;"|Carousel"),Calc!$AL:$AL,0)),""))</f>
        <v/>
      </c>
      <c r="D35" s="60" t="str">
        <f t="array" ref="D35">IF(A35="","",IFERROR(INDEX(Calc!$F:$F,MATCH(IF(A35="","",TEXT(A35,"YYYYMMDD")&amp;"|Carousel"),Calc!$AL:$AL,0)),""))</f>
        <v/>
      </c>
      <c r="E35" s="60" t="str">
        <f t="array" ref="E35">IF(A35="","",IFERROR(INDEX(Calc!$H:$H,MATCH(IF(A35="","",TEXT(A35,"YYYYMMDD")&amp;"|Carousel"),Calc!$AL:$AL,0)),""))</f>
        <v/>
      </c>
      <c r="F35" s="61" t="str">
        <f t="array" ref="F35">IF(A35="","",IFERROR(INDEX(Calc!$I:$I,MATCH(IF(A35="","",TEXT(A35,"YYYYMMDD")&amp;"|Carousel"),Calc!$AL:$AL,0)),""))</f>
        <v/>
      </c>
      <c r="G35" s="61" t="str">
        <f t="array" ref="G35">IF(A35="","",IFERROR(INDEX(Calc!$J:$J,MATCH(IF(A35="","",TEXT(A35,"YYYYMMDD")&amp;"|Carousel"),Calc!$AL:$AL,0)),""))</f>
        <v/>
      </c>
      <c r="H35" s="61" t="str">
        <f t="array" ref="H35">IF(A35="","",IFERROR(INDEX(Calc!$K:$K,MATCH(IF(A35="","",TEXT(A35,"YYYYMMDD")&amp;"|Carousel"),Calc!$AL:$AL,0)),""))</f>
        <v/>
      </c>
      <c r="I35" s="61" t="str">
        <f t="array" ref="I35">IF(A35="","",IFERROR(INDEX(Calc!$L:$L,MATCH(IF(A35="","",TEXT(A35,"YYYYMMDD")&amp;"|Carousel"),Calc!$AL:$AL,0)),""))</f>
        <v/>
      </c>
      <c r="J35" s="61" t="str">
        <f t="array" ref="J35">IF(A35="","",IFERROR(INDEX(Calc!$M:$M,MATCH(IF(A35="","",TEXT(A35,"YYYYMMDD")&amp;"|Carousel"),Calc!$AL:$AL,0)),""))</f>
        <v/>
      </c>
      <c r="K35" s="61" t="str">
        <f t="array" ref="K35">IF(A35="","",IFERROR(INDEX(Calc!$N:$N,MATCH(IF(A35="","",TEXT(A35,"YYYYMMDD")&amp;"|Carousel"),Calc!$AL:$AL,0)),""))</f>
        <v/>
      </c>
      <c r="L35" s="62" t="str">
        <f t="array" ref="L35">IF(A35="","",IFERROR(INDEX(Calc!$AH:$AH,MATCH(IF(A35="","",TEXT(A35,"YYYYMMDD")&amp;"|Carousel"),Calc!$AL:$AL,0)),""))</f>
        <v/>
      </c>
    </row>
    <row r="36" ht="15.75" customHeight="1">
      <c r="A36" s="59" t="str">
        <f>IFERROR(AGGREGATE(14,6,(Calc!$B$2:$B$501)/((Calc!$AK$2:$AK$501=1)*(Calc!$G$2:$G$501="Carousel")),25),"")</f>
        <v/>
      </c>
      <c r="B36" s="60" t="str">
        <f t="array" ref="B36">IF(A36="","",IFERROR(INDEX(Calc!$E:$E,MATCH(IF(A36="","",TEXT(A36,"YYYYMMDD")&amp;"|Carousel"),Calc!$AL:$AL,0)),""))</f>
        <v/>
      </c>
      <c r="C36" s="60" t="str">
        <f t="array" ref="C36">IF(A36="","",IFERROR(INDEX(Calc!$D:$D,MATCH(IF(A36="","",TEXT(A36,"YYYYMMDD")&amp;"|Carousel"),Calc!$AL:$AL,0)),""))</f>
        <v/>
      </c>
      <c r="D36" s="60" t="str">
        <f t="array" ref="D36">IF(A36="","",IFERROR(INDEX(Calc!$F:$F,MATCH(IF(A36="","",TEXT(A36,"YYYYMMDD")&amp;"|Carousel"),Calc!$AL:$AL,0)),""))</f>
        <v/>
      </c>
      <c r="E36" s="60" t="str">
        <f t="array" ref="E36">IF(A36="","",IFERROR(INDEX(Calc!$H:$H,MATCH(IF(A36="","",TEXT(A36,"YYYYMMDD")&amp;"|Carousel"),Calc!$AL:$AL,0)),""))</f>
        <v/>
      </c>
      <c r="F36" s="61" t="str">
        <f t="array" ref="F36">IF(A36="","",IFERROR(INDEX(Calc!$I:$I,MATCH(IF(A36="","",TEXT(A36,"YYYYMMDD")&amp;"|Carousel"),Calc!$AL:$AL,0)),""))</f>
        <v/>
      </c>
      <c r="G36" s="61" t="str">
        <f t="array" ref="G36">IF(A36="","",IFERROR(INDEX(Calc!$J:$J,MATCH(IF(A36="","",TEXT(A36,"YYYYMMDD")&amp;"|Carousel"),Calc!$AL:$AL,0)),""))</f>
        <v/>
      </c>
      <c r="H36" s="61" t="str">
        <f t="array" ref="H36">IF(A36="","",IFERROR(INDEX(Calc!$K:$K,MATCH(IF(A36="","",TEXT(A36,"YYYYMMDD")&amp;"|Carousel"),Calc!$AL:$AL,0)),""))</f>
        <v/>
      </c>
      <c r="I36" s="61" t="str">
        <f t="array" ref="I36">IF(A36="","",IFERROR(INDEX(Calc!$L:$L,MATCH(IF(A36="","",TEXT(A36,"YYYYMMDD")&amp;"|Carousel"),Calc!$AL:$AL,0)),""))</f>
        <v/>
      </c>
      <c r="J36" s="61" t="str">
        <f t="array" ref="J36">IF(A36="","",IFERROR(INDEX(Calc!$M:$M,MATCH(IF(A36="","",TEXT(A36,"YYYYMMDD")&amp;"|Carousel"),Calc!$AL:$AL,0)),""))</f>
        <v/>
      </c>
      <c r="K36" s="61" t="str">
        <f t="array" ref="K36">IF(A36="","",IFERROR(INDEX(Calc!$N:$N,MATCH(IF(A36="","",TEXT(A36,"YYYYMMDD")&amp;"|Carousel"),Calc!$AL:$AL,0)),""))</f>
        <v/>
      </c>
      <c r="L36" s="62" t="str">
        <f t="array" ref="L36">IF(A36="","",IFERROR(INDEX(Calc!$AH:$AH,MATCH(IF(A36="","",TEXT(A36,"YYYYMMDD")&amp;"|Carousel"),Calc!$AL:$AL,0)),""))</f>
        <v/>
      </c>
    </row>
    <row r="37" ht="15.75" customHeight="1">
      <c r="A37" s="59" t="str">
        <f>IFERROR(AGGREGATE(14,6,(Calc!$B$2:$B$501)/((Calc!$AK$2:$AK$501=1)*(Calc!$G$2:$G$501="Carousel")),26),"")</f>
        <v/>
      </c>
      <c r="B37" s="60" t="str">
        <f t="array" ref="B37">IF(A37="","",IFERROR(INDEX(Calc!$E:$E,MATCH(IF(A37="","",TEXT(A37,"YYYYMMDD")&amp;"|Carousel"),Calc!$AL:$AL,0)),""))</f>
        <v/>
      </c>
      <c r="C37" s="60" t="str">
        <f t="array" ref="C37">IF(A37="","",IFERROR(INDEX(Calc!$D:$D,MATCH(IF(A37="","",TEXT(A37,"YYYYMMDD")&amp;"|Carousel"),Calc!$AL:$AL,0)),""))</f>
        <v/>
      </c>
      <c r="D37" s="60" t="str">
        <f t="array" ref="D37">IF(A37="","",IFERROR(INDEX(Calc!$F:$F,MATCH(IF(A37="","",TEXT(A37,"YYYYMMDD")&amp;"|Carousel"),Calc!$AL:$AL,0)),""))</f>
        <v/>
      </c>
      <c r="E37" s="60" t="str">
        <f t="array" ref="E37">IF(A37="","",IFERROR(INDEX(Calc!$H:$H,MATCH(IF(A37="","",TEXT(A37,"YYYYMMDD")&amp;"|Carousel"),Calc!$AL:$AL,0)),""))</f>
        <v/>
      </c>
      <c r="F37" s="61" t="str">
        <f t="array" ref="F37">IF(A37="","",IFERROR(INDEX(Calc!$I:$I,MATCH(IF(A37="","",TEXT(A37,"YYYYMMDD")&amp;"|Carousel"),Calc!$AL:$AL,0)),""))</f>
        <v/>
      </c>
      <c r="G37" s="61" t="str">
        <f t="array" ref="G37">IF(A37="","",IFERROR(INDEX(Calc!$J:$J,MATCH(IF(A37="","",TEXT(A37,"YYYYMMDD")&amp;"|Carousel"),Calc!$AL:$AL,0)),""))</f>
        <v/>
      </c>
      <c r="H37" s="61" t="str">
        <f t="array" ref="H37">IF(A37="","",IFERROR(INDEX(Calc!$K:$K,MATCH(IF(A37="","",TEXT(A37,"YYYYMMDD")&amp;"|Carousel"),Calc!$AL:$AL,0)),""))</f>
        <v/>
      </c>
      <c r="I37" s="61" t="str">
        <f t="array" ref="I37">IF(A37="","",IFERROR(INDEX(Calc!$L:$L,MATCH(IF(A37="","",TEXT(A37,"YYYYMMDD")&amp;"|Carousel"),Calc!$AL:$AL,0)),""))</f>
        <v/>
      </c>
      <c r="J37" s="61" t="str">
        <f t="array" ref="J37">IF(A37="","",IFERROR(INDEX(Calc!$M:$M,MATCH(IF(A37="","",TEXT(A37,"YYYYMMDD")&amp;"|Carousel"),Calc!$AL:$AL,0)),""))</f>
        <v/>
      </c>
      <c r="K37" s="61" t="str">
        <f t="array" ref="K37">IF(A37="","",IFERROR(INDEX(Calc!$N:$N,MATCH(IF(A37="","",TEXT(A37,"YYYYMMDD")&amp;"|Carousel"),Calc!$AL:$AL,0)),""))</f>
        <v/>
      </c>
      <c r="L37" s="62" t="str">
        <f t="array" ref="L37">IF(A37="","",IFERROR(INDEX(Calc!$AH:$AH,MATCH(IF(A37="","",TEXT(A37,"YYYYMMDD")&amp;"|Carousel"),Calc!$AL:$AL,0)),""))</f>
        <v/>
      </c>
    </row>
    <row r="38" ht="15.75" customHeight="1">
      <c r="A38" s="59" t="str">
        <f>IFERROR(AGGREGATE(14,6,(Calc!$B$2:$B$501)/((Calc!$AK$2:$AK$501=1)*(Calc!$G$2:$G$501="Carousel")),27),"")</f>
        <v/>
      </c>
      <c r="B38" s="60" t="str">
        <f t="array" ref="B38">IF(A38="","",IFERROR(INDEX(Calc!$E:$E,MATCH(IF(A38="","",TEXT(A38,"YYYYMMDD")&amp;"|Carousel"),Calc!$AL:$AL,0)),""))</f>
        <v/>
      </c>
      <c r="C38" s="60" t="str">
        <f t="array" ref="C38">IF(A38="","",IFERROR(INDEX(Calc!$D:$D,MATCH(IF(A38="","",TEXT(A38,"YYYYMMDD")&amp;"|Carousel"),Calc!$AL:$AL,0)),""))</f>
        <v/>
      </c>
      <c r="D38" s="60" t="str">
        <f t="array" ref="D38">IF(A38="","",IFERROR(INDEX(Calc!$F:$F,MATCH(IF(A38="","",TEXT(A38,"YYYYMMDD")&amp;"|Carousel"),Calc!$AL:$AL,0)),""))</f>
        <v/>
      </c>
      <c r="E38" s="60" t="str">
        <f t="array" ref="E38">IF(A38="","",IFERROR(INDEX(Calc!$H:$H,MATCH(IF(A38="","",TEXT(A38,"YYYYMMDD")&amp;"|Carousel"),Calc!$AL:$AL,0)),""))</f>
        <v/>
      </c>
      <c r="F38" s="61" t="str">
        <f t="array" ref="F38">IF(A38="","",IFERROR(INDEX(Calc!$I:$I,MATCH(IF(A38="","",TEXT(A38,"YYYYMMDD")&amp;"|Carousel"),Calc!$AL:$AL,0)),""))</f>
        <v/>
      </c>
      <c r="G38" s="61" t="str">
        <f t="array" ref="G38">IF(A38="","",IFERROR(INDEX(Calc!$J:$J,MATCH(IF(A38="","",TEXT(A38,"YYYYMMDD")&amp;"|Carousel"),Calc!$AL:$AL,0)),""))</f>
        <v/>
      </c>
      <c r="H38" s="61" t="str">
        <f t="array" ref="H38">IF(A38="","",IFERROR(INDEX(Calc!$K:$K,MATCH(IF(A38="","",TEXT(A38,"YYYYMMDD")&amp;"|Carousel"),Calc!$AL:$AL,0)),""))</f>
        <v/>
      </c>
      <c r="I38" s="61" t="str">
        <f t="array" ref="I38">IF(A38="","",IFERROR(INDEX(Calc!$L:$L,MATCH(IF(A38="","",TEXT(A38,"YYYYMMDD")&amp;"|Carousel"),Calc!$AL:$AL,0)),""))</f>
        <v/>
      </c>
      <c r="J38" s="61" t="str">
        <f t="array" ref="J38">IF(A38="","",IFERROR(INDEX(Calc!$M:$M,MATCH(IF(A38="","",TEXT(A38,"YYYYMMDD")&amp;"|Carousel"),Calc!$AL:$AL,0)),""))</f>
        <v/>
      </c>
      <c r="K38" s="61" t="str">
        <f t="array" ref="K38">IF(A38="","",IFERROR(INDEX(Calc!$N:$N,MATCH(IF(A38="","",TEXT(A38,"YYYYMMDD")&amp;"|Carousel"),Calc!$AL:$AL,0)),""))</f>
        <v/>
      </c>
      <c r="L38" s="62" t="str">
        <f t="array" ref="L38">IF(A38="","",IFERROR(INDEX(Calc!$AH:$AH,MATCH(IF(A38="","",TEXT(A38,"YYYYMMDD")&amp;"|Carousel"),Calc!$AL:$AL,0)),""))</f>
        <v/>
      </c>
    </row>
    <row r="39" ht="15.75" customHeight="1">
      <c r="A39" s="59" t="str">
        <f>IFERROR(AGGREGATE(14,6,(Calc!$B$2:$B$501)/((Calc!$AK$2:$AK$501=1)*(Calc!$G$2:$G$501="Carousel")),28),"")</f>
        <v/>
      </c>
      <c r="B39" s="60" t="str">
        <f t="array" ref="B39">IF(A39="","",IFERROR(INDEX(Calc!$E:$E,MATCH(IF(A39="","",TEXT(A39,"YYYYMMDD")&amp;"|Carousel"),Calc!$AL:$AL,0)),""))</f>
        <v/>
      </c>
      <c r="C39" s="60" t="str">
        <f t="array" ref="C39">IF(A39="","",IFERROR(INDEX(Calc!$D:$D,MATCH(IF(A39="","",TEXT(A39,"YYYYMMDD")&amp;"|Carousel"),Calc!$AL:$AL,0)),""))</f>
        <v/>
      </c>
      <c r="D39" s="60" t="str">
        <f t="array" ref="D39">IF(A39="","",IFERROR(INDEX(Calc!$F:$F,MATCH(IF(A39="","",TEXT(A39,"YYYYMMDD")&amp;"|Carousel"),Calc!$AL:$AL,0)),""))</f>
        <v/>
      </c>
      <c r="E39" s="60" t="str">
        <f t="array" ref="E39">IF(A39="","",IFERROR(INDEX(Calc!$H:$H,MATCH(IF(A39="","",TEXT(A39,"YYYYMMDD")&amp;"|Carousel"),Calc!$AL:$AL,0)),""))</f>
        <v/>
      </c>
      <c r="F39" s="61" t="str">
        <f t="array" ref="F39">IF(A39="","",IFERROR(INDEX(Calc!$I:$I,MATCH(IF(A39="","",TEXT(A39,"YYYYMMDD")&amp;"|Carousel"),Calc!$AL:$AL,0)),""))</f>
        <v/>
      </c>
      <c r="G39" s="61" t="str">
        <f t="array" ref="G39">IF(A39="","",IFERROR(INDEX(Calc!$J:$J,MATCH(IF(A39="","",TEXT(A39,"YYYYMMDD")&amp;"|Carousel"),Calc!$AL:$AL,0)),""))</f>
        <v/>
      </c>
      <c r="H39" s="61" t="str">
        <f t="array" ref="H39">IF(A39="","",IFERROR(INDEX(Calc!$K:$K,MATCH(IF(A39="","",TEXT(A39,"YYYYMMDD")&amp;"|Carousel"),Calc!$AL:$AL,0)),""))</f>
        <v/>
      </c>
      <c r="I39" s="61" t="str">
        <f t="array" ref="I39">IF(A39="","",IFERROR(INDEX(Calc!$L:$L,MATCH(IF(A39="","",TEXT(A39,"YYYYMMDD")&amp;"|Carousel"),Calc!$AL:$AL,0)),""))</f>
        <v/>
      </c>
      <c r="J39" s="61" t="str">
        <f t="array" ref="J39">IF(A39="","",IFERROR(INDEX(Calc!$M:$M,MATCH(IF(A39="","",TEXT(A39,"YYYYMMDD")&amp;"|Carousel"),Calc!$AL:$AL,0)),""))</f>
        <v/>
      </c>
      <c r="K39" s="61" t="str">
        <f t="array" ref="K39">IF(A39="","",IFERROR(INDEX(Calc!$N:$N,MATCH(IF(A39="","",TEXT(A39,"YYYYMMDD")&amp;"|Carousel"),Calc!$AL:$AL,0)),""))</f>
        <v/>
      </c>
      <c r="L39" s="62" t="str">
        <f t="array" ref="L39">IF(A39="","",IFERROR(INDEX(Calc!$AH:$AH,MATCH(IF(A39="","",TEXT(A39,"YYYYMMDD")&amp;"|Carousel"),Calc!$AL:$AL,0)),""))</f>
        <v/>
      </c>
    </row>
    <row r="40" ht="15.75" customHeight="1">
      <c r="A40" s="59" t="str">
        <f>IFERROR(AGGREGATE(14,6,(Calc!$B$2:$B$501)/((Calc!$AK$2:$AK$501=1)*(Calc!$G$2:$G$501="Carousel")),29),"")</f>
        <v/>
      </c>
      <c r="B40" s="60" t="str">
        <f t="array" ref="B40">IF(A40="","",IFERROR(INDEX(Calc!$E:$E,MATCH(IF(A40="","",TEXT(A40,"YYYYMMDD")&amp;"|Carousel"),Calc!$AL:$AL,0)),""))</f>
        <v/>
      </c>
      <c r="C40" s="60" t="str">
        <f t="array" ref="C40">IF(A40="","",IFERROR(INDEX(Calc!$D:$D,MATCH(IF(A40="","",TEXT(A40,"YYYYMMDD")&amp;"|Carousel"),Calc!$AL:$AL,0)),""))</f>
        <v/>
      </c>
      <c r="D40" s="60" t="str">
        <f t="array" ref="D40">IF(A40="","",IFERROR(INDEX(Calc!$F:$F,MATCH(IF(A40="","",TEXT(A40,"YYYYMMDD")&amp;"|Carousel"),Calc!$AL:$AL,0)),""))</f>
        <v/>
      </c>
      <c r="E40" s="60" t="str">
        <f t="array" ref="E40">IF(A40="","",IFERROR(INDEX(Calc!$H:$H,MATCH(IF(A40="","",TEXT(A40,"YYYYMMDD")&amp;"|Carousel"),Calc!$AL:$AL,0)),""))</f>
        <v/>
      </c>
      <c r="F40" s="61" t="str">
        <f t="array" ref="F40">IF(A40="","",IFERROR(INDEX(Calc!$I:$I,MATCH(IF(A40="","",TEXT(A40,"YYYYMMDD")&amp;"|Carousel"),Calc!$AL:$AL,0)),""))</f>
        <v/>
      </c>
      <c r="G40" s="61" t="str">
        <f t="array" ref="G40">IF(A40="","",IFERROR(INDEX(Calc!$J:$J,MATCH(IF(A40="","",TEXT(A40,"YYYYMMDD")&amp;"|Carousel"),Calc!$AL:$AL,0)),""))</f>
        <v/>
      </c>
      <c r="H40" s="61" t="str">
        <f t="array" ref="H40">IF(A40="","",IFERROR(INDEX(Calc!$K:$K,MATCH(IF(A40="","",TEXT(A40,"YYYYMMDD")&amp;"|Carousel"),Calc!$AL:$AL,0)),""))</f>
        <v/>
      </c>
      <c r="I40" s="61" t="str">
        <f t="array" ref="I40">IF(A40="","",IFERROR(INDEX(Calc!$L:$L,MATCH(IF(A40="","",TEXT(A40,"YYYYMMDD")&amp;"|Carousel"),Calc!$AL:$AL,0)),""))</f>
        <v/>
      </c>
      <c r="J40" s="61" t="str">
        <f t="array" ref="J40">IF(A40="","",IFERROR(INDEX(Calc!$M:$M,MATCH(IF(A40="","",TEXT(A40,"YYYYMMDD")&amp;"|Carousel"),Calc!$AL:$AL,0)),""))</f>
        <v/>
      </c>
      <c r="K40" s="61" t="str">
        <f t="array" ref="K40">IF(A40="","",IFERROR(INDEX(Calc!$N:$N,MATCH(IF(A40="","",TEXT(A40,"YYYYMMDD")&amp;"|Carousel"),Calc!$AL:$AL,0)),""))</f>
        <v/>
      </c>
      <c r="L40" s="62" t="str">
        <f t="array" ref="L40">IF(A40="","",IFERROR(INDEX(Calc!$AH:$AH,MATCH(IF(A40="","",TEXT(A40,"YYYYMMDD")&amp;"|Carousel"),Calc!$AL:$AL,0)),""))</f>
        <v/>
      </c>
    </row>
    <row r="41" ht="15.75" customHeight="1">
      <c r="A41" s="59" t="str">
        <f>IFERROR(AGGREGATE(14,6,(Calc!$B$2:$B$501)/((Calc!$AK$2:$AK$501=1)*(Calc!$G$2:$G$501="Carousel")),30),"")</f>
        <v/>
      </c>
      <c r="B41" s="60" t="str">
        <f t="array" ref="B41">IF(A41="","",IFERROR(INDEX(Calc!$E:$E,MATCH(IF(A41="","",TEXT(A41,"YYYYMMDD")&amp;"|Carousel"),Calc!$AL:$AL,0)),""))</f>
        <v/>
      </c>
      <c r="C41" s="60" t="str">
        <f t="array" ref="C41">IF(A41="","",IFERROR(INDEX(Calc!$D:$D,MATCH(IF(A41="","",TEXT(A41,"YYYYMMDD")&amp;"|Carousel"),Calc!$AL:$AL,0)),""))</f>
        <v/>
      </c>
      <c r="D41" s="60" t="str">
        <f t="array" ref="D41">IF(A41="","",IFERROR(INDEX(Calc!$F:$F,MATCH(IF(A41="","",TEXT(A41,"YYYYMMDD")&amp;"|Carousel"),Calc!$AL:$AL,0)),""))</f>
        <v/>
      </c>
      <c r="E41" s="60" t="str">
        <f t="array" ref="E41">IF(A41="","",IFERROR(INDEX(Calc!$H:$H,MATCH(IF(A41="","",TEXT(A41,"YYYYMMDD")&amp;"|Carousel"),Calc!$AL:$AL,0)),""))</f>
        <v/>
      </c>
      <c r="F41" s="61" t="str">
        <f t="array" ref="F41">IF(A41="","",IFERROR(INDEX(Calc!$I:$I,MATCH(IF(A41="","",TEXT(A41,"YYYYMMDD")&amp;"|Carousel"),Calc!$AL:$AL,0)),""))</f>
        <v/>
      </c>
      <c r="G41" s="61" t="str">
        <f t="array" ref="G41">IF(A41="","",IFERROR(INDEX(Calc!$J:$J,MATCH(IF(A41="","",TEXT(A41,"YYYYMMDD")&amp;"|Carousel"),Calc!$AL:$AL,0)),""))</f>
        <v/>
      </c>
      <c r="H41" s="61" t="str">
        <f t="array" ref="H41">IF(A41="","",IFERROR(INDEX(Calc!$K:$K,MATCH(IF(A41="","",TEXT(A41,"YYYYMMDD")&amp;"|Carousel"),Calc!$AL:$AL,0)),""))</f>
        <v/>
      </c>
      <c r="I41" s="61" t="str">
        <f t="array" ref="I41">IF(A41="","",IFERROR(INDEX(Calc!$L:$L,MATCH(IF(A41="","",TEXT(A41,"YYYYMMDD")&amp;"|Carousel"),Calc!$AL:$AL,0)),""))</f>
        <v/>
      </c>
      <c r="J41" s="61" t="str">
        <f t="array" ref="J41">IF(A41="","",IFERROR(INDEX(Calc!$M:$M,MATCH(IF(A41="","",TEXT(A41,"YYYYMMDD")&amp;"|Carousel"),Calc!$AL:$AL,0)),""))</f>
        <v/>
      </c>
      <c r="K41" s="61" t="str">
        <f t="array" ref="K41">IF(A41="","",IFERROR(INDEX(Calc!$N:$N,MATCH(IF(A41="","",TEXT(A41,"YYYYMMDD")&amp;"|Carousel"),Calc!$AL:$AL,0)),""))</f>
        <v/>
      </c>
      <c r="L41" s="62" t="str">
        <f t="array" ref="L41">IF(A41="","",IFERROR(INDEX(Calc!$AH:$AH,MATCH(IF(A41="","",TEXT(A41,"YYYYMMDD")&amp;"|Carousel"),Calc!$AL:$AL,0)),""))</f>
        <v/>
      </c>
    </row>
    <row r="42" ht="15.75" customHeight="1">
      <c r="A42" s="59" t="str">
        <f>IFERROR(AGGREGATE(14,6,(Calc!$B$2:$B$501)/((Calc!$AK$2:$AK$501=1)*(Calc!$G$2:$G$501="Carousel")),31),"")</f>
        <v/>
      </c>
      <c r="B42" s="60" t="str">
        <f t="array" ref="B42">IF(A42="","",IFERROR(INDEX(Calc!$E:$E,MATCH(IF(A42="","",TEXT(A42,"YYYYMMDD")&amp;"|Carousel"),Calc!$AL:$AL,0)),""))</f>
        <v/>
      </c>
      <c r="C42" s="60" t="str">
        <f t="array" ref="C42">IF(A42="","",IFERROR(INDEX(Calc!$D:$D,MATCH(IF(A42="","",TEXT(A42,"YYYYMMDD")&amp;"|Carousel"),Calc!$AL:$AL,0)),""))</f>
        <v/>
      </c>
      <c r="D42" s="60" t="str">
        <f t="array" ref="D42">IF(A42="","",IFERROR(INDEX(Calc!$F:$F,MATCH(IF(A42="","",TEXT(A42,"YYYYMMDD")&amp;"|Carousel"),Calc!$AL:$AL,0)),""))</f>
        <v/>
      </c>
      <c r="E42" s="60" t="str">
        <f t="array" ref="E42">IF(A42="","",IFERROR(INDEX(Calc!$H:$H,MATCH(IF(A42="","",TEXT(A42,"YYYYMMDD")&amp;"|Carousel"),Calc!$AL:$AL,0)),""))</f>
        <v/>
      </c>
      <c r="F42" s="61" t="str">
        <f t="array" ref="F42">IF(A42="","",IFERROR(INDEX(Calc!$I:$I,MATCH(IF(A42="","",TEXT(A42,"YYYYMMDD")&amp;"|Carousel"),Calc!$AL:$AL,0)),""))</f>
        <v/>
      </c>
      <c r="G42" s="61" t="str">
        <f t="array" ref="G42">IF(A42="","",IFERROR(INDEX(Calc!$J:$J,MATCH(IF(A42="","",TEXT(A42,"YYYYMMDD")&amp;"|Carousel"),Calc!$AL:$AL,0)),""))</f>
        <v/>
      </c>
      <c r="H42" s="61" t="str">
        <f t="array" ref="H42">IF(A42="","",IFERROR(INDEX(Calc!$K:$K,MATCH(IF(A42="","",TEXT(A42,"YYYYMMDD")&amp;"|Carousel"),Calc!$AL:$AL,0)),""))</f>
        <v/>
      </c>
      <c r="I42" s="61" t="str">
        <f t="array" ref="I42">IF(A42="","",IFERROR(INDEX(Calc!$L:$L,MATCH(IF(A42="","",TEXT(A42,"YYYYMMDD")&amp;"|Carousel"),Calc!$AL:$AL,0)),""))</f>
        <v/>
      </c>
      <c r="J42" s="61" t="str">
        <f t="array" ref="J42">IF(A42="","",IFERROR(INDEX(Calc!$M:$M,MATCH(IF(A42="","",TEXT(A42,"YYYYMMDD")&amp;"|Carousel"),Calc!$AL:$AL,0)),""))</f>
        <v/>
      </c>
      <c r="K42" s="61" t="str">
        <f t="array" ref="K42">IF(A42="","",IFERROR(INDEX(Calc!$N:$N,MATCH(IF(A42="","",TEXT(A42,"YYYYMMDD")&amp;"|Carousel"),Calc!$AL:$AL,0)),""))</f>
        <v/>
      </c>
      <c r="L42" s="62" t="str">
        <f t="array" ref="L42">IF(A42="","",IFERROR(INDEX(Calc!$AH:$AH,MATCH(IF(A42="","",TEXT(A42,"YYYYMMDD")&amp;"|Carousel"),Calc!$AL:$AL,0)),""))</f>
        <v/>
      </c>
    </row>
    <row r="43" ht="15.75" customHeight="1">
      <c r="A43" s="59" t="str">
        <f>IFERROR(AGGREGATE(14,6,(Calc!$B$2:$B$501)/((Calc!$AK$2:$AK$501=1)*(Calc!$G$2:$G$501="Carousel")),32),"")</f>
        <v/>
      </c>
      <c r="B43" s="60" t="str">
        <f t="array" ref="B43">IF(A43="","",IFERROR(INDEX(Calc!$E:$E,MATCH(IF(A43="","",TEXT(A43,"YYYYMMDD")&amp;"|Carousel"),Calc!$AL:$AL,0)),""))</f>
        <v/>
      </c>
      <c r="C43" s="60" t="str">
        <f t="array" ref="C43">IF(A43="","",IFERROR(INDEX(Calc!$D:$D,MATCH(IF(A43="","",TEXT(A43,"YYYYMMDD")&amp;"|Carousel"),Calc!$AL:$AL,0)),""))</f>
        <v/>
      </c>
      <c r="D43" s="60" t="str">
        <f t="array" ref="D43">IF(A43="","",IFERROR(INDEX(Calc!$F:$F,MATCH(IF(A43="","",TEXT(A43,"YYYYMMDD")&amp;"|Carousel"),Calc!$AL:$AL,0)),""))</f>
        <v/>
      </c>
      <c r="E43" s="60" t="str">
        <f t="array" ref="E43">IF(A43="","",IFERROR(INDEX(Calc!$H:$H,MATCH(IF(A43="","",TEXT(A43,"YYYYMMDD")&amp;"|Carousel"),Calc!$AL:$AL,0)),""))</f>
        <v/>
      </c>
      <c r="F43" s="61" t="str">
        <f t="array" ref="F43">IF(A43="","",IFERROR(INDEX(Calc!$I:$I,MATCH(IF(A43="","",TEXT(A43,"YYYYMMDD")&amp;"|Carousel"),Calc!$AL:$AL,0)),""))</f>
        <v/>
      </c>
      <c r="G43" s="61" t="str">
        <f t="array" ref="G43">IF(A43="","",IFERROR(INDEX(Calc!$J:$J,MATCH(IF(A43="","",TEXT(A43,"YYYYMMDD")&amp;"|Carousel"),Calc!$AL:$AL,0)),""))</f>
        <v/>
      </c>
      <c r="H43" s="61" t="str">
        <f t="array" ref="H43">IF(A43="","",IFERROR(INDEX(Calc!$K:$K,MATCH(IF(A43="","",TEXT(A43,"YYYYMMDD")&amp;"|Carousel"),Calc!$AL:$AL,0)),""))</f>
        <v/>
      </c>
      <c r="I43" s="61" t="str">
        <f t="array" ref="I43">IF(A43="","",IFERROR(INDEX(Calc!$L:$L,MATCH(IF(A43="","",TEXT(A43,"YYYYMMDD")&amp;"|Carousel"),Calc!$AL:$AL,0)),""))</f>
        <v/>
      </c>
      <c r="J43" s="61" t="str">
        <f t="array" ref="J43">IF(A43="","",IFERROR(INDEX(Calc!$M:$M,MATCH(IF(A43="","",TEXT(A43,"YYYYMMDD")&amp;"|Carousel"),Calc!$AL:$AL,0)),""))</f>
        <v/>
      </c>
      <c r="K43" s="61" t="str">
        <f t="array" ref="K43">IF(A43="","",IFERROR(INDEX(Calc!$N:$N,MATCH(IF(A43="","",TEXT(A43,"YYYYMMDD")&amp;"|Carousel"),Calc!$AL:$AL,0)),""))</f>
        <v/>
      </c>
      <c r="L43" s="62" t="str">
        <f t="array" ref="L43">IF(A43="","",IFERROR(INDEX(Calc!$AH:$AH,MATCH(IF(A43="","",TEXT(A43,"YYYYMMDD")&amp;"|Carousel"),Calc!$AL:$AL,0)),""))</f>
        <v/>
      </c>
    </row>
    <row r="44" ht="15.75" customHeight="1">
      <c r="A44" s="59" t="str">
        <f>IFERROR(AGGREGATE(14,6,(Calc!$B$2:$B$501)/((Calc!$AK$2:$AK$501=1)*(Calc!$G$2:$G$501="Carousel")),33),"")</f>
        <v/>
      </c>
      <c r="B44" s="60" t="str">
        <f t="array" ref="B44">IF(A44="","",IFERROR(INDEX(Calc!$E:$E,MATCH(IF(A44="","",TEXT(A44,"YYYYMMDD")&amp;"|Carousel"),Calc!$AL:$AL,0)),""))</f>
        <v/>
      </c>
      <c r="C44" s="60" t="str">
        <f t="array" ref="C44">IF(A44="","",IFERROR(INDEX(Calc!$D:$D,MATCH(IF(A44="","",TEXT(A44,"YYYYMMDD")&amp;"|Carousel"),Calc!$AL:$AL,0)),""))</f>
        <v/>
      </c>
      <c r="D44" s="60" t="str">
        <f t="array" ref="D44">IF(A44="","",IFERROR(INDEX(Calc!$F:$F,MATCH(IF(A44="","",TEXT(A44,"YYYYMMDD")&amp;"|Carousel"),Calc!$AL:$AL,0)),""))</f>
        <v/>
      </c>
      <c r="E44" s="60" t="str">
        <f t="array" ref="E44">IF(A44="","",IFERROR(INDEX(Calc!$H:$H,MATCH(IF(A44="","",TEXT(A44,"YYYYMMDD")&amp;"|Carousel"),Calc!$AL:$AL,0)),""))</f>
        <v/>
      </c>
      <c r="F44" s="61" t="str">
        <f t="array" ref="F44">IF(A44="","",IFERROR(INDEX(Calc!$I:$I,MATCH(IF(A44="","",TEXT(A44,"YYYYMMDD")&amp;"|Carousel"),Calc!$AL:$AL,0)),""))</f>
        <v/>
      </c>
      <c r="G44" s="61" t="str">
        <f t="array" ref="G44">IF(A44="","",IFERROR(INDEX(Calc!$J:$J,MATCH(IF(A44="","",TEXT(A44,"YYYYMMDD")&amp;"|Carousel"),Calc!$AL:$AL,0)),""))</f>
        <v/>
      </c>
      <c r="H44" s="61" t="str">
        <f t="array" ref="H44">IF(A44="","",IFERROR(INDEX(Calc!$K:$K,MATCH(IF(A44="","",TEXT(A44,"YYYYMMDD")&amp;"|Carousel"),Calc!$AL:$AL,0)),""))</f>
        <v/>
      </c>
      <c r="I44" s="61" t="str">
        <f t="array" ref="I44">IF(A44="","",IFERROR(INDEX(Calc!$L:$L,MATCH(IF(A44="","",TEXT(A44,"YYYYMMDD")&amp;"|Carousel"),Calc!$AL:$AL,0)),""))</f>
        <v/>
      </c>
      <c r="J44" s="61" t="str">
        <f t="array" ref="J44">IF(A44="","",IFERROR(INDEX(Calc!$M:$M,MATCH(IF(A44="","",TEXT(A44,"YYYYMMDD")&amp;"|Carousel"),Calc!$AL:$AL,0)),""))</f>
        <v/>
      </c>
      <c r="K44" s="61" t="str">
        <f t="array" ref="K44">IF(A44="","",IFERROR(INDEX(Calc!$N:$N,MATCH(IF(A44="","",TEXT(A44,"YYYYMMDD")&amp;"|Carousel"),Calc!$AL:$AL,0)),""))</f>
        <v/>
      </c>
      <c r="L44" s="62" t="str">
        <f t="array" ref="L44">IF(A44="","",IFERROR(INDEX(Calc!$AH:$AH,MATCH(IF(A44="","",TEXT(A44,"YYYYMMDD")&amp;"|Carousel"),Calc!$AL:$AL,0)),""))</f>
        <v/>
      </c>
    </row>
    <row r="45" ht="15.75" customHeight="1">
      <c r="A45" s="59" t="str">
        <f>IFERROR(AGGREGATE(14,6,(Calc!$B$2:$B$501)/((Calc!$AK$2:$AK$501=1)*(Calc!$G$2:$G$501="Carousel")),34),"")</f>
        <v/>
      </c>
      <c r="B45" s="60" t="str">
        <f t="array" ref="B45">IF(A45="","",IFERROR(INDEX(Calc!$E:$E,MATCH(IF(A45="","",TEXT(A45,"YYYYMMDD")&amp;"|Carousel"),Calc!$AL:$AL,0)),""))</f>
        <v/>
      </c>
      <c r="C45" s="60" t="str">
        <f t="array" ref="C45">IF(A45="","",IFERROR(INDEX(Calc!$D:$D,MATCH(IF(A45="","",TEXT(A45,"YYYYMMDD")&amp;"|Carousel"),Calc!$AL:$AL,0)),""))</f>
        <v/>
      </c>
      <c r="D45" s="60" t="str">
        <f t="array" ref="D45">IF(A45="","",IFERROR(INDEX(Calc!$F:$F,MATCH(IF(A45="","",TEXT(A45,"YYYYMMDD")&amp;"|Carousel"),Calc!$AL:$AL,0)),""))</f>
        <v/>
      </c>
      <c r="E45" s="60" t="str">
        <f t="array" ref="E45">IF(A45="","",IFERROR(INDEX(Calc!$H:$H,MATCH(IF(A45="","",TEXT(A45,"YYYYMMDD")&amp;"|Carousel"),Calc!$AL:$AL,0)),""))</f>
        <v/>
      </c>
      <c r="F45" s="61" t="str">
        <f t="array" ref="F45">IF(A45="","",IFERROR(INDEX(Calc!$I:$I,MATCH(IF(A45="","",TEXT(A45,"YYYYMMDD")&amp;"|Carousel"),Calc!$AL:$AL,0)),""))</f>
        <v/>
      </c>
      <c r="G45" s="61" t="str">
        <f t="array" ref="G45">IF(A45="","",IFERROR(INDEX(Calc!$J:$J,MATCH(IF(A45="","",TEXT(A45,"YYYYMMDD")&amp;"|Carousel"),Calc!$AL:$AL,0)),""))</f>
        <v/>
      </c>
      <c r="H45" s="61" t="str">
        <f t="array" ref="H45">IF(A45="","",IFERROR(INDEX(Calc!$K:$K,MATCH(IF(A45="","",TEXT(A45,"YYYYMMDD")&amp;"|Carousel"),Calc!$AL:$AL,0)),""))</f>
        <v/>
      </c>
      <c r="I45" s="61" t="str">
        <f t="array" ref="I45">IF(A45="","",IFERROR(INDEX(Calc!$L:$L,MATCH(IF(A45="","",TEXT(A45,"YYYYMMDD")&amp;"|Carousel"),Calc!$AL:$AL,0)),""))</f>
        <v/>
      </c>
      <c r="J45" s="61" t="str">
        <f t="array" ref="J45">IF(A45="","",IFERROR(INDEX(Calc!$M:$M,MATCH(IF(A45="","",TEXT(A45,"YYYYMMDD")&amp;"|Carousel"),Calc!$AL:$AL,0)),""))</f>
        <v/>
      </c>
      <c r="K45" s="61" t="str">
        <f t="array" ref="K45">IF(A45="","",IFERROR(INDEX(Calc!$N:$N,MATCH(IF(A45="","",TEXT(A45,"YYYYMMDD")&amp;"|Carousel"),Calc!$AL:$AL,0)),""))</f>
        <v/>
      </c>
      <c r="L45" s="62" t="str">
        <f t="array" ref="L45">IF(A45="","",IFERROR(INDEX(Calc!$AH:$AH,MATCH(IF(A45="","",TEXT(A45,"YYYYMMDD")&amp;"|Carousel"),Calc!$AL:$AL,0)),""))</f>
        <v/>
      </c>
    </row>
    <row r="46" ht="15.75" customHeight="1">
      <c r="A46" s="59" t="str">
        <f>IFERROR(AGGREGATE(14,6,(Calc!$B$2:$B$501)/((Calc!$AK$2:$AK$501=1)*(Calc!$G$2:$G$501="Carousel")),35),"")</f>
        <v/>
      </c>
      <c r="B46" s="60" t="str">
        <f t="array" ref="B46">IF(A46="","",IFERROR(INDEX(Calc!$E:$E,MATCH(IF(A46="","",TEXT(A46,"YYYYMMDD")&amp;"|Carousel"),Calc!$AL:$AL,0)),""))</f>
        <v/>
      </c>
      <c r="C46" s="60" t="str">
        <f t="array" ref="C46">IF(A46="","",IFERROR(INDEX(Calc!$D:$D,MATCH(IF(A46="","",TEXT(A46,"YYYYMMDD")&amp;"|Carousel"),Calc!$AL:$AL,0)),""))</f>
        <v/>
      </c>
      <c r="D46" s="60" t="str">
        <f t="array" ref="D46">IF(A46="","",IFERROR(INDEX(Calc!$F:$F,MATCH(IF(A46="","",TEXT(A46,"YYYYMMDD")&amp;"|Carousel"),Calc!$AL:$AL,0)),""))</f>
        <v/>
      </c>
      <c r="E46" s="60" t="str">
        <f t="array" ref="E46">IF(A46="","",IFERROR(INDEX(Calc!$H:$H,MATCH(IF(A46="","",TEXT(A46,"YYYYMMDD")&amp;"|Carousel"),Calc!$AL:$AL,0)),""))</f>
        <v/>
      </c>
      <c r="F46" s="61" t="str">
        <f t="array" ref="F46">IF(A46="","",IFERROR(INDEX(Calc!$I:$I,MATCH(IF(A46="","",TEXT(A46,"YYYYMMDD")&amp;"|Carousel"),Calc!$AL:$AL,0)),""))</f>
        <v/>
      </c>
      <c r="G46" s="61" t="str">
        <f t="array" ref="G46">IF(A46="","",IFERROR(INDEX(Calc!$J:$J,MATCH(IF(A46="","",TEXT(A46,"YYYYMMDD")&amp;"|Carousel"),Calc!$AL:$AL,0)),""))</f>
        <v/>
      </c>
      <c r="H46" s="61" t="str">
        <f t="array" ref="H46">IF(A46="","",IFERROR(INDEX(Calc!$K:$K,MATCH(IF(A46="","",TEXT(A46,"YYYYMMDD")&amp;"|Carousel"),Calc!$AL:$AL,0)),""))</f>
        <v/>
      </c>
      <c r="I46" s="61" t="str">
        <f t="array" ref="I46">IF(A46="","",IFERROR(INDEX(Calc!$L:$L,MATCH(IF(A46="","",TEXT(A46,"YYYYMMDD")&amp;"|Carousel"),Calc!$AL:$AL,0)),""))</f>
        <v/>
      </c>
      <c r="J46" s="61" t="str">
        <f t="array" ref="J46">IF(A46="","",IFERROR(INDEX(Calc!$M:$M,MATCH(IF(A46="","",TEXT(A46,"YYYYMMDD")&amp;"|Carousel"),Calc!$AL:$AL,0)),""))</f>
        <v/>
      </c>
      <c r="K46" s="61" t="str">
        <f t="array" ref="K46">IF(A46="","",IFERROR(INDEX(Calc!$N:$N,MATCH(IF(A46="","",TEXT(A46,"YYYYMMDD")&amp;"|Carousel"),Calc!$AL:$AL,0)),""))</f>
        <v/>
      </c>
      <c r="L46" s="62" t="str">
        <f t="array" ref="L46">IF(A46="","",IFERROR(INDEX(Calc!$AH:$AH,MATCH(IF(A46="","",TEXT(A46,"YYYYMMDD")&amp;"|Carousel"),Calc!$AL:$AL,0)),""))</f>
        <v/>
      </c>
    </row>
    <row r="47" ht="15.75" customHeight="1">
      <c r="A47" s="59" t="str">
        <f>IFERROR(AGGREGATE(14,6,(Calc!$B$2:$B$501)/((Calc!$AK$2:$AK$501=1)*(Calc!$G$2:$G$501="Carousel")),36),"")</f>
        <v/>
      </c>
      <c r="B47" s="60" t="str">
        <f t="array" ref="B47">IF(A47="","",IFERROR(INDEX(Calc!$E:$E,MATCH(IF(A47="","",TEXT(A47,"YYYYMMDD")&amp;"|Carousel"),Calc!$AL:$AL,0)),""))</f>
        <v/>
      </c>
      <c r="C47" s="60" t="str">
        <f t="array" ref="C47">IF(A47="","",IFERROR(INDEX(Calc!$D:$D,MATCH(IF(A47="","",TEXT(A47,"YYYYMMDD")&amp;"|Carousel"),Calc!$AL:$AL,0)),""))</f>
        <v/>
      </c>
      <c r="D47" s="60" t="str">
        <f t="array" ref="D47">IF(A47="","",IFERROR(INDEX(Calc!$F:$F,MATCH(IF(A47="","",TEXT(A47,"YYYYMMDD")&amp;"|Carousel"),Calc!$AL:$AL,0)),""))</f>
        <v/>
      </c>
      <c r="E47" s="60" t="str">
        <f t="array" ref="E47">IF(A47="","",IFERROR(INDEX(Calc!$H:$H,MATCH(IF(A47="","",TEXT(A47,"YYYYMMDD")&amp;"|Carousel"),Calc!$AL:$AL,0)),""))</f>
        <v/>
      </c>
      <c r="F47" s="61" t="str">
        <f t="array" ref="F47">IF(A47="","",IFERROR(INDEX(Calc!$I:$I,MATCH(IF(A47="","",TEXT(A47,"YYYYMMDD")&amp;"|Carousel"),Calc!$AL:$AL,0)),""))</f>
        <v/>
      </c>
      <c r="G47" s="61" t="str">
        <f t="array" ref="G47">IF(A47="","",IFERROR(INDEX(Calc!$J:$J,MATCH(IF(A47="","",TEXT(A47,"YYYYMMDD")&amp;"|Carousel"),Calc!$AL:$AL,0)),""))</f>
        <v/>
      </c>
      <c r="H47" s="61" t="str">
        <f t="array" ref="H47">IF(A47="","",IFERROR(INDEX(Calc!$K:$K,MATCH(IF(A47="","",TEXT(A47,"YYYYMMDD")&amp;"|Carousel"),Calc!$AL:$AL,0)),""))</f>
        <v/>
      </c>
      <c r="I47" s="61" t="str">
        <f t="array" ref="I47">IF(A47="","",IFERROR(INDEX(Calc!$L:$L,MATCH(IF(A47="","",TEXT(A47,"YYYYMMDD")&amp;"|Carousel"),Calc!$AL:$AL,0)),""))</f>
        <v/>
      </c>
      <c r="J47" s="61" t="str">
        <f t="array" ref="J47">IF(A47="","",IFERROR(INDEX(Calc!$M:$M,MATCH(IF(A47="","",TEXT(A47,"YYYYMMDD")&amp;"|Carousel"),Calc!$AL:$AL,0)),""))</f>
        <v/>
      </c>
      <c r="K47" s="61" t="str">
        <f t="array" ref="K47">IF(A47="","",IFERROR(INDEX(Calc!$N:$N,MATCH(IF(A47="","",TEXT(A47,"YYYYMMDD")&amp;"|Carousel"),Calc!$AL:$AL,0)),""))</f>
        <v/>
      </c>
      <c r="L47" s="62" t="str">
        <f t="array" ref="L47">IF(A47="","",IFERROR(INDEX(Calc!$AH:$AH,MATCH(IF(A47="","",TEXT(A47,"YYYYMMDD")&amp;"|Carousel"),Calc!$AL:$AL,0)),""))</f>
        <v/>
      </c>
    </row>
    <row r="48" ht="15.75" customHeight="1">
      <c r="A48" s="59" t="str">
        <f>IFERROR(AGGREGATE(14,6,(Calc!$B$2:$B$501)/((Calc!$AK$2:$AK$501=1)*(Calc!$G$2:$G$501="Carousel")),37),"")</f>
        <v/>
      </c>
      <c r="B48" s="60" t="str">
        <f t="array" ref="B48">IF(A48="","",IFERROR(INDEX(Calc!$E:$E,MATCH(IF(A48="","",TEXT(A48,"YYYYMMDD")&amp;"|Carousel"),Calc!$AL:$AL,0)),""))</f>
        <v/>
      </c>
      <c r="C48" s="60" t="str">
        <f t="array" ref="C48">IF(A48="","",IFERROR(INDEX(Calc!$D:$D,MATCH(IF(A48="","",TEXT(A48,"YYYYMMDD")&amp;"|Carousel"),Calc!$AL:$AL,0)),""))</f>
        <v/>
      </c>
      <c r="D48" s="60" t="str">
        <f t="array" ref="D48">IF(A48="","",IFERROR(INDEX(Calc!$F:$F,MATCH(IF(A48="","",TEXT(A48,"YYYYMMDD")&amp;"|Carousel"),Calc!$AL:$AL,0)),""))</f>
        <v/>
      </c>
      <c r="E48" s="60" t="str">
        <f t="array" ref="E48">IF(A48="","",IFERROR(INDEX(Calc!$H:$H,MATCH(IF(A48="","",TEXT(A48,"YYYYMMDD")&amp;"|Carousel"),Calc!$AL:$AL,0)),""))</f>
        <v/>
      </c>
      <c r="F48" s="61" t="str">
        <f t="array" ref="F48">IF(A48="","",IFERROR(INDEX(Calc!$I:$I,MATCH(IF(A48="","",TEXT(A48,"YYYYMMDD")&amp;"|Carousel"),Calc!$AL:$AL,0)),""))</f>
        <v/>
      </c>
      <c r="G48" s="61" t="str">
        <f t="array" ref="G48">IF(A48="","",IFERROR(INDEX(Calc!$J:$J,MATCH(IF(A48="","",TEXT(A48,"YYYYMMDD")&amp;"|Carousel"),Calc!$AL:$AL,0)),""))</f>
        <v/>
      </c>
      <c r="H48" s="61" t="str">
        <f t="array" ref="H48">IF(A48="","",IFERROR(INDEX(Calc!$K:$K,MATCH(IF(A48="","",TEXT(A48,"YYYYMMDD")&amp;"|Carousel"),Calc!$AL:$AL,0)),""))</f>
        <v/>
      </c>
      <c r="I48" s="61" t="str">
        <f t="array" ref="I48">IF(A48="","",IFERROR(INDEX(Calc!$L:$L,MATCH(IF(A48="","",TEXT(A48,"YYYYMMDD")&amp;"|Carousel"),Calc!$AL:$AL,0)),""))</f>
        <v/>
      </c>
      <c r="J48" s="61" t="str">
        <f t="array" ref="J48">IF(A48="","",IFERROR(INDEX(Calc!$M:$M,MATCH(IF(A48="","",TEXT(A48,"YYYYMMDD")&amp;"|Carousel"),Calc!$AL:$AL,0)),""))</f>
        <v/>
      </c>
      <c r="K48" s="61" t="str">
        <f t="array" ref="K48">IF(A48="","",IFERROR(INDEX(Calc!$N:$N,MATCH(IF(A48="","",TEXT(A48,"YYYYMMDD")&amp;"|Carousel"),Calc!$AL:$AL,0)),""))</f>
        <v/>
      </c>
      <c r="L48" s="62" t="str">
        <f t="array" ref="L48">IF(A48="","",IFERROR(INDEX(Calc!$AH:$AH,MATCH(IF(A48="","",TEXT(A48,"YYYYMMDD")&amp;"|Carousel"),Calc!$AL:$AL,0)),""))</f>
        <v/>
      </c>
    </row>
    <row r="49" ht="15.75" customHeight="1">
      <c r="A49" s="59" t="str">
        <f>IFERROR(AGGREGATE(14,6,(Calc!$B$2:$B$501)/((Calc!$AK$2:$AK$501=1)*(Calc!$G$2:$G$501="Carousel")),38),"")</f>
        <v/>
      </c>
      <c r="B49" s="60" t="str">
        <f t="array" ref="B49">IF(A49="","",IFERROR(INDEX(Calc!$E:$E,MATCH(IF(A49="","",TEXT(A49,"YYYYMMDD")&amp;"|Carousel"),Calc!$AL:$AL,0)),""))</f>
        <v/>
      </c>
      <c r="C49" s="60" t="str">
        <f t="array" ref="C49">IF(A49="","",IFERROR(INDEX(Calc!$D:$D,MATCH(IF(A49="","",TEXT(A49,"YYYYMMDD")&amp;"|Carousel"),Calc!$AL:$AL,0)),""))</f>
        <v/>
      </c>
      <c r="D49" s="60" t="str">
        <f t="array" ref="D49">IF(A49="","",IFERROR(INDEX(Calc!$F:$F,MATCH(IF(A49="","",TEXT(A49,"YYYYMMDD")&amp;"|Carousel"),Calc!$AL:$AL,0)),""))</f>
        <v/>
      </c>
      <c r="E49" s="60" t="str">
        <f t="array" ref="E49">IF(A49="","",IFERROR(INDEX(Calc!$H:$H,MATCH(IF(A49="","",TEXT(A49,"YYYYMMDD")&amp;"|Carousel"),Calc!$AL:$AL,0)),""))</f>
        <v/>
      </c>
      <c r="F49" s="61" t="str">
        <f t="array" ref="F49">IF(A49="","",IFERROR(INDEX(Calc!$I:$I,MATCH(IF(A49="","",TEXT(A49,"YYYYMMDD")&amp;"|Carousel"),Calc!$AL:$AL,0)),""))</f>
        <v/>
      </c>
      <c r="G49" s="61" t="str">
        <f t="array" ref="G49">IF(A49="","",IFERROR(INDEX(Calc!$J:$J,MATCH(IF(A49="","",TEXT(A49,"YYYYMMDD")&amp;"|Carousel"),Calc!$AL:$AL,0)),""))</f>
        <v/>
      </c>
      <c r="H49" s="61" t="str">
        <f t="array" ref="H49">IF(A49="","",IFERROR(INDEX(Calc!$K:$K,MATCH(IF(A49="","",TEXT(A49,"YYYYMMDD")&amp;"|Carousel"),Calc!$AL:$AL,0)),""))</f>
        <v/>
      </c>
      <c r="I49" s="61" t="str">
        <f t="array" ref="I49">IF(A49="","",IFERROR(INDEX(Calc!$L:$L,MATCH(IF(A49="","",TEXT(A49,"YYYYMMDD")&amp;"|Carousel"),Calc!$AL:$AL,0)),""))</f>
        <v/>
      </c>
      <c r="J49" s="61" t="str">
        <f t="array" ref="J49">IF(A49="","",IFERROR(INDEX(Calc!$M:$M,MATCH(IF(A49="","",TEXT(A49,"YYYYMMDD")&amp;"|Carousel"),Calc!$AL:$AL,0)),""))</f>
        <v/>
      </c>
      <c r="K49" s="61" t="str">
        <f t="array" ref="K49">IF(A49="","",IFERROR(INDEX(Calc!$N:$N,MATCH(IF(A49="","",TEXT(A49,"YYYYMMDD")&amp;"|Carousel"),Calc!$AL:$AL,0)),""))</f>
        <v/>
      </c>
      <c r="L49" s="62" t="str">
        <f t="array" ref="L49">IF(A49="","",IFERROR(INDEX(Calc!$AH:$AH,MATCH(IF(A49="","",TEXT(A49,"YYYYMMDD")&amp;"|Carousel"),Calc!$AL:$AL,0)),""))</f>
        <v/>
      </c>
    </row>
    <row r="50" ht="15.75" customHeight="1">
      <c r="A50" s="59" t="str">
        <f>IFERROR(AGGREGATE(14,6,(Calc!$B$2:$B$501)/((Calc!$AK$2:$AK$501=1)*(Calc!$G$2:$G$501="Carousel")),39),"")</f>
        <v/>
      </c>
      <c r="B50" s="60" t="str">
        <f t="array" ref="B50">IF(A50="","",IFERROR(INDEX(Calc!$E:$E,MATCH(IF(A50="","",TEXT(A50,"YYYYMMDD")&amp;"|Carousel"),Calc!$AL:$AL,0)),""))</f>
        <v/>
      </c>
      <c r="C50" s="60" t="str">
        <f t="array" ref="C50">IF(A50="","",IFERROR(INDEX(Calc!$D:$D,MATCH(IF(A50="","",TEXT(A50,"YYYYMMDD")&amp;"|Carousel"),Calc!$AL:$AL,0)),""))</f>
        <v/>
      </c>
      <c r="D50" s="60" t="str">
        <f t="array" ref="D50">IF(A50="","",IFERROR(INDEX(Calc!$F:$F,MATCH(IF(A50="","",TEXT(A50,"YYYYMMDD")&amp;"|Carousel"),Calc!$AL:$AL,0)),""))</f>
        <v/>
      </c>
      <c r="E50" s="60" t="str">
        <f t="array" ref="E50">IF(A50="","",IFERROR(INDEX(Calc!$H:$H,MATCH(IF(A50="","",TEXT(A50,"YYYYMMDD")&amp;"|Carousel"),Calc!$AL:$AL,0)),""))</f>
        <v/>
      </c>
      <c r="F50" s="61" t="str">
        <f t="array" ref="F50">IF(A50="","",IFERROR(INDEX(Calc!$I:$I,MATCH(IF(A50="","",TEXT(A50,"YYYYMMDD")&amp;"|Carousel"),Calc!$AL:$AL,0)),""))</f>
        <v/>
      </c>
      <c r="G50" s="61" t="str">
        <f t="array" ref="G50">IF(A50="","",IFERROR(INDEX(Calc!$J:$J,MATCH(IF(A50="","",TEXT(A50,"YYYYMMDD")&amp;"|Carousel"),Calc!$AL:$AL,0)),""))</f>
        <v/>
      </c>
      <c r="H50" s="61" t="str">
        <f t="array" ref="H50">IF(A50="","",IFERROR(INDEX(Calc!$K:$K,MATCH(IF(A50="","",TEXT(A50,"YYYYMMDD")&amp;"|Carousel"),Calc!$AL:$AL,0)),""))</f>
        <v/>
      </c>
      <c r="I50" s="61" t="str">
        <f t="array" ref="I50">IF(A50="","",IFERROR(INDEX(Calc!$L:$L,MATCH(IF(A50="","",TEXT(A50,"YYYYMMDD")&amp;"|Carousel"),Calc!$AL:$AL,0)),""))</f>
        <v/>
      </c>
      <c r="J50" s="61" t="str">
        <f t="array" ref="J50">IF(A50="","",IFERROR(INDEX(Calc!$M:$M,MATCH(IF(A50="","",TEXT(A50,"YYYYMMDD")&amp;"|Carousel"),Calc!$AL:$AL,0)),""))</f>
        <v/>
      </c>
      <c r="K50" s="61" t="str">
        <f t="array" ref="K50">IF(A50="","",IFERROR(INDEX(Calc!$N:$N,MATCH(IF(A50="","",TEXT(A50,"YYYYMMDD")&amp;"|Carousel"),Calc!$AL:$AL,0)),""))</f>
        <v/>
      </c>
      <c r="L50" s="62" t="str">
        <f t="array" ref="L50">IF(A50="","",IFERROR(INDEX(Calc!$AH:$AH,MATCH(IF(A50="","",TEXT(A50,"YYYYMMDD")&amp;"|Carousel"),Calc!$AL:$AL,0)),""))</f>
        <v/>
      </c>
    </row>
    <row r="51" ht="15.75" customHeight="1">
      <c r="A51" s="59" t="str">
        <f>IFERROR(AGGREGATE(14,6,(Calc!$B$2:$B$501)/((Calc!$AK$2:$AK$501=1)*(Calc!$G$2:$G$501="Carousel")),40),"")</f>
        <v/>
      </c>
      <c r="B51" s="60" t="str">
        <f t="array" ref="B51">IF(A51="","",IFERROR(INDEX(Calc!$E:$E,MATCH(IF(A51="","",TEXT(A51,"YYYYMMDD")&amp;"|Carousel"),Calc!$AL:$AL,0)),""))</f>
        <v/>
      </c>
      <c r="C51" s="60" t="str">
        <f t="array" ref="C51">IF(A51="","",IFERROR(INDEX(Calc!$D:$D,MATCH(IF(A51="","",TEXT(A51,"YYYYMMDD")&amp;"|Carousel"),Calc!$AL:$AL,0)),""))</f>
        <v/>
      </c>
      <c r="D51" s="60" t="str">
        <f t="array" ref="D51">IF(A51="","",IFERROR(INDEX(Calc!$F:$F,MATCH(IF(A51="","",TEXT(A51,"YYYYMMDD")&amp;"|Carousel"),Calc!$AL:$AL,0)),""))</f>
        <v/>
      </c>
      <c r="E51" s="60" t="str">
        <f t="array" ref="E51">IF(A51="","",IFERROR(INDEX(Calc!$H:$H,MATCH(IF(A51="","",TEXT(A51,"YYYYMMDD")&amp;"|Carousel"),Calc!$AL:$AL,0)),""))</f>
        <v/>
      </c>
      <c r="F51" s="61" t="str">
        <f t="array" ref="F51">IF(A51="","",IFERROR(INDEX(Calc!$I:$I,MATCH(IF(A51="","",TEXT(A51,"YYYYMMDD")&amp;"|Carousel"),Calc!$AL:$AL,0)),""))</f>
        <v/>
      </c>
      <c r="G51" s="61" t="str">
        <f t="array" ref="G51">IF(A51="","",IFERROR(INDEX(Calc!$J:$J,MATCH(IF(A51="","",TEXT(A51,"YYYYMMDD")&amp;"|Carousel"),Calc!$AL:$AL,0)),""))</f>
        <v/>
      </c>
      <c r="H51" s="61" t="str">
        <f t="array" ref="H51">IF(A51="","",IFERROR(INDEX(Calc!$K:$K,MATCH(IF(A51="","",TEXT(A51,"YYYYMMDD")&amp;"|Carousel"),Calc!$AL:$AL,0)),""))</f>
        <v/>
      </c>
      <c r="I51" s="61" t="str">
        <f t="array" ref="I51">IF(A51="","",IFERROR(INDEX(Calc!$L:$L,MATCH(IF(A51="","",TEXT(A51,"YYYYMMDD")&amp;"|Carousel"),Calc!$AL:$AL,0)),""))</f>
        <v/>
      </c>
      <c r="J51" s="61" t="str">
        <f t="array" ref="J51">IF(A51="","",IFERROR(INDEX(Calc!$M:$M,MATCH(IF(A51="","",TEXT(A51,"YYYYMMDD")&amp;"|Carousel"),Calc!$AL:$AL,0)),""))</f>
        <v/>
      </c>
      <c r="K51" s="61" t="str">
        <f t="array" ref="K51">IF(A51="","",IFERROR(INDEX(Calc!$N:$N,MATCH(IF(A51="","",TEXT(A51,"YYYYMMDD")&amp;"|Carousel"),Calc!$AL:$AL,0)),""))</f>
        <v/>
      </c>
      <c r="L51" s="62" t="str">
        <f t="array" ref="L51">IF(A51="","",IFERROR(INDEX(Calc!$AH:$AH,MATCH(IF(A51="","",TEXT(A51,"YYYYMMDD")&amp;"|Carousel"),Calc!$AL:$AL,0)),""))</f>
        <v/>
      </c>
    </row>
    <row r="52" ht="15.75" customHeight="1">
      <c r="A52" s="59" t="str">
        <f>IFERROR(AGGREGATE(14,6,(Calc!$B$2:$B$501)/((Calc!$AK$2:$AK$501=1)*(Calc!$G$2:$G$501="Carousel")),41),"")</f>
        <v/>
      </c>
      <c r="B52" s="60" t="str">
        <f t="array" ref="B52">IF(A52="","",IFERROR(INDEX(Calc!$E:$E,MATCH(IF(A52="","",TEXT(A52,"YYYYMMDD")&amp;"|Carousel"),Calc!$AL:$AL,0)),""))</f>
        <v/>
      </c>
      <c r="C52" s="60" t="str">
        <f t="array" ref="C52">IF(A52="","",IFERROR(INDEX(Calc!$D:$D,MATCH(IF(A52="","",TEXT(A52,"YYYYMMDD")&amp;"|Carousel"),Calc!$AL:$AL,0)),""))</f>
        <v/>
      </c>
      <c r="D52" s="60" t="str">
        <f t="array" ref="D52">IF(A52="","",IFERROR(INDEX(Calc!$F:$F,MATCH(IF(A52="","",TEXT(A52,"YYYYMMDD")&amp;"|Carousel"),Calc!$AL:$AL,0)),""))</f>
        <v/>
      </c>
      <c r="E52" s="60" t="str">
        <f t="array" ref="E52">IF(A52="","",IFERROR(INDEX(Calc!$H:$H,MATCH(IF(A52="","",TEXT(A52,"YYYYMMDD")&amp;"|Carousel"),Calc!$AL:$AL,0)),""))</f>
        <v/>
      </c>
      <c r="F52" s="61" t="str">
        <f t="array" ref="F52">IF(A52="","",IFERROR(INDEX(Calc!$I:$I,MATCH(IF(A52="","",TEXT(A52,"YYYYMMDD")&amp;"|Carousel"),Calc!$AL:$AL,0)),""))</f>
        <v/>
      </c>
      <c r="G52" s="61" t="str">
        <f t="array" ref="G52">IF(A52="","",IFERROR(INDEX(Calc!$J:$J,MATCH(IF(A52="","",TEXT(A52,"YYYYMMDD")&amp;"|Carousel"),Calc!$AL:$AL,0)),""))</f>
        <v/>
      </c>
      <c r="H52" s="61" t="str">
        <f t="array" ref="H52">IF(A52="","",IFERROR(INDEX(Calc!$K:$K,MATCH(IF(A52="","",TEXT(A52,"YYYYMMDD")&amp;"|Carousel"),Calc!$AL:$AL,0)),""))</f>
        <v/>
      </c>
      <c r="I52" s="61" t="str">
        <f t="array" ref="I52">IF(A52="","",IFERROR(INDEX(Calc!$L:$L,MATCH(IF(A52="","",TEXT(A52,"YYYYMMDD")&amp;"|Carousel"),Calc!$AL:$AL,0)),""))</f>
        <v/>
      </c>
      <c r="J52" s="61" t="str">
        <f t="array" ref="J52">IF(A52="","",IFERROR(INDEX(Calc!$M:$M,MATCH(IF(A52="","",TEXT(A52,"YYYYMMDD")&amp;"|Carousel"),Calc!$AL:$AL,0)),""))</f>
        <v/>
      </c>
      <c r="K52" s="61" t="str">
        <f t="array" ref="K52">IF(A52="","",IFERROR(INDEX(Calc!$N:$N,MATCH(IF(A52="","",TEXT(A52,"YYYYMMDD")&amp;"|Carousel"),Calc!$AL:$AL,0)),""))</f>
        <v/>
      </c>
      <c r="L52" s="62" t="str">
        <f t="array" ref="L52">IF(A52="","",IFERROR(INDEX(Calc!$AH:$AH,MATCH(IF(A52="","",TEXT(A52,"YYYYMMDD")&amp;"|Carousel"),Calc!$AL:$AL,0)),""))</f>
        <v/>
      </c>
    </row>
    <row r="53" ht="15.75" customHeight="1">
      <c r="A53" s="59" t="str">
        <f>IFERROR(AGGREGATE(14,6,(Calc!$B$2:$B$501)/((Calc!$AK$2:$AK$501=1)*(Calc!$G$2:$G$501="Carousel")),42),"")</f>
        <v/>
      </c>
      <c r="B53" s="60" t="str">
        <f t="array" ref="B53">IF(A53="","",IFERROR(INDEX(Calc!$E:$E,MATCH(IF(A53="","",TEXT(A53,"YYYYMMDD")&amp;"|Carousel"),Calc!$AL:$AL,0)),""))</f>
        <v/>
      </c>
      <c r="C53" s="60" t="str">
        <f t="array" ref="C53">IF(A53="","",IFERROR(INDEX(Calc!$D:$D,MATCH(IF(A53="","",TEXT(A53,"YYYYMMDD")&amp;"|Carousel"),Calc!$AL:$AL,0)),""))</f>
        <v/>
      </c>
      <c r="D53" s="60" t="str">
        <f t="array" ref="D53">IF(A53="","",IFERROR(INDEX(Calc!$F:$F,MATCH(IF(A53="","",TEXT(A53,"YYYYMMDD")&amp;"|Carousel"),Calc!$AL:$AL,0)),""))</f>
        <v/>
      </c>
      <c r="E53" s="60" t="str">
        <f t="array" ref="E53">IF(A53="","",IFERROR(INDEX(Calc!$H:$H,MATCH(IF(A53="","",TEXT(A53,"YYYYMMDD")&amp;"|Carousel"),Calc!$AL:$AL,0)),""))</f>
        <v/>
      </c>
      <c r="F53" s="61" t="str">
        <f t="array" ref="F53">IF(A53="","",IFERROR(INDEX(Calc!$I:$I,MATCH(IF(A53="","",TEXT(A53,"YYYYMMDD")&amp;"|Carousel"),Calc!$AL:$AL,0)),""))</f>
        <v/>
      </c>
      <c r="G53" s="61" t="str">
        <f t="array" ref="G53">IF(A53="","",IFERROR(INDEX(Calc!$J:$J,MATCH(IF(A53="","",TEXT(A53,"YYYYMMDD")&amp;"|Carousel"),Calc!$AL:$AL,0)),""))</f>
        <v/>
      </c>
      <c r="H53" s="61" t="str">
        <f t="array" ref="H53">IF(A53="","",IFERROR(INDEX(Calc!$K:$K,MATCH(IF(A53="","",TEXT(A53,"YYYYMMDD")&amp;"|Carousel"),Calc!$AL:$AL,0)),""))</f>
        <v/>
      </c>
      <c r="I53" s="61" t="str">
        <f t="array" ref="I53">IF(A53="","",IFERROR(INDEX(Calc!$L:$L,MATCH(IF(A53="","",TEXT(A53,"YYYYMMDD")&amp;"|Carousel"),Calc!$AL:$AL,0)),""))</f>
        <v/>
      </c>
      <c r="J53" s="61" t="str">
        <f t="array" ref="J53">IF(A53="","",IFERROR(INDEX(Calc!$M:$M,MATCH(IF(A53="","",TEXT(A53,"YYYYMMDD")&amp;"|Carousel"),Calc!$AL:$AL,0)),""))</f>
        <v/>
      </c>
      <c r="K53" s="61" t="str">
        <f t="array" ref="K53">IF(A53="","",IFERROR(INDEX(Calc!$N:$N,MATCH(IF(A53="","",TEXT(A53,"YYYYMMDD")&amp;"|Carousel"),Calc!$AL:$AL,0)),""))</f>
        <v/>
      </c>
      <c r="L53" s="62" t="str">
        <f t="array" ref="L53">IF(A53="","",IFERROR(INDEX(Calc!$AH:$AH,MATCH(IF(A53="","",TEXT(A53,"YYYYMMDD")&amp;"|Carousel"),Calc!$AL:$AL,0)),""))</f>
        <v/>
      </c>
    </row>
    <row r="54" ht="15.75" customHeight="1">
      <c r="A54" s="59" t="str">
        <f>IFERROR(AGGREGATE(14,6,(Calc!$B$2:$B$501)/((Calc!$AK$2:$AK$501=1)*(Calc!$G$2:$G$501="Carousel")),43),"")</f>
        <v/>
      </c>
      <c r="B54" s="60" t="str">
        <f t="array" ref="B54">IF(A54="","",IFERROR(INDEX(Calc!$E:$E,MATCH(IF(A54="","",TEXT(A54,"YYYYMMDD")&amp;"|Carousel"),Calc!$AL:$AL,0)),""))</f>
        <v/>
      </c>
      <c r="C54" s="60" t="str">
        <f t="array" ref="C54">IF(A54="","",IFERROR(INDEX(Calc!$D:$D,MATCH(IF(A54="","",TEXT(A54,"YYYYMMDD")&amp;"|Carousel"),Calc!$AL:$AL,0)),""))</f>
        <v/>
      </c>
      <c r="D54" s="60" t="str">
        <f t="array" ref="D54">IF(A54="","",IFERROR(INDEX(Calc!$F:$F,MATCH(IF(A54="","",TEXT(A54,"YYYYMMDD")&amp;"|Carousel"),Calc!$AL:$AL,0)),""))</f>
        <v/>
      </c>
      <c r="E54" s="60" t="str">
        <f t="array" ref="E54">IF(A54="","",IFERROR(INDEX(Calc!$H:$H,MATCH(IF(A54="","",TEXT(A54,"YYYYMMDD")&amp;"|Carousel"),Calc!$AL:$AL,0)),""))</f>
        <v/>
      </c>
      <c r="F54" s="61" t="str">
        <f t="array" ref="F54">IF(A54="","",IFERROR(INDEX(Calc!$I:$I,MATCH(IF(A54="","",TEXT(A54,"YYYYMMDD")&amp;"|Carousel"),Calc!$AL:$AL,0)),""))</f>
        <v/>
      </c>
      <c r="G54" s="61" t="str">
        <f t="array" ref="G54">IF(A54="","",IFERROR(INDEX(Calc!$J:$J,MATCH(IF(A54="","",TEXT(A54,"YYYYMMDD")&amp;"|Carousel"),Calc!$AL:$AL,0)),""))</f>
        <v/>
      </c>
      <c r="H54" s="61" t="str">
        <f t="array" ref="H54">IF(A54="","",IFERROR(INDEX(Calc!$K:$K,MATCH(IF(A54="","",TEXT(A54,"YYYYMMDD")&amp;"|Carousel"),Calc!$AL:$AL,0)),""))</f>
        <v/>
      </c>
      <c r="I54" s="61" t="str">
        <f t="array" ref="I54">IF(A54="","",IFERROR(INDEX(Calc!$L:$L,MATCH(IF(A54="","",TEXT(A54,"YYYYMMDD")&amp;"|Carousel"),Calc!$AL:$AL,0)),""))</f>
        <v/>
      </c>
      <c r="J54" s="61" t="str">
        <f t="array" ref="J54">IF(A54="","",IFERROR(INDEX(Calc!$M:$M,MATCH(IF(A54="","",TEXT(A54,"YYYYMMDD")&amp;"|Carousel"),Calc!$AL:$AL,0)),""))</f>
        <v/>
      </c>
      <c r="K54" s="61" t="str">
        <f t="array" ref="K54">IF(A54="","",IFERROR(INDEX(Calc!$N:$N,MATCH(IF(A54="","",TEXT(A54,"YYYYMMDD")&amp;"|Carousel"),Calc!$AL:$AL,0)),""))</f>
        <v/>
      </c>
      <c r="L54" s="62" t="str">
        <f t="array" ref="L54">IF(A54="","",IFERROR(INDEX(Calc!$AH:$AH,MATCH(IF(A54="","",TEXT(A54,"YYYYMMDD")&amp;"|Carousel"),Calc!$AL:$AL,0)),""))</f>
        <v/>
      </c>
    </row>
    <row r="55" ht="15.75" customHeight="1">
      <c r="A55" s="59" t="str">
        <f>IFERROR(AGGREGATE(14,6,(Calc!$B$2:$B$501)/((Calc!$AK$2:$AK$501=1)*(Calc!$G$2:$G$501="Carousel")),44),"")</f>
        <v/>
      </c>
      <c r="B55" s="60" t="str">
        <f t="array" ref="B55">IF(A55="","",IFERROR(INDEX(Calc!$E:$E,MATCH(IF(A55="","",TEXT(A55,"YYYYMMDD")&amp;"|Carousel"),Calc!$AL:$AL,0)),""))</f>
        <v/>
      </c>
      <c r="C55" s="60" t="str">
        <f t="array" ref="C55">IF(A55="","",IFERROR(INDEX(Calc!$D:$D,MATCH(IF(A55="","",TEXT(A55,"YYYYMMDD")&amp;"|Carousel"),Calc!$AL:$AL,0)),""))</f>
        <v/>
      </c>
      <c r="D55" s="60" t="str">
        <f t="array" ref="D55">IF(A55="","",IFERROR(INDEX(Calc!$F:$F,MATCH(IF(A55="","",TEXT(A55,"YYYYMMDD")&amp;"|Carousel"),Calc!$AL:$AL,0)),""))</f>
        <v/>
      </c>
      <c r="E55" s="60" t="str">
        <f t="array" ref="E55">IF(A55="","",IFERROR(INDEX(Calc!$H:$H,MATCH(IF(A55="","",TEXT(A55,"YYYYMMDD")&amp;"|Carousel"),Calc!$AL:$AL,0)),""))</f>
        <v/>
      </c>
      <c r="F55" s="61" t="str">
        <f t="array" ref="F55">IF(A55="","",IFERROR(INDEX(Calc!$I:$I,MATCH(IF(A55="","",TEXT(A55,"YYYYMMDD")&amp;"|Carousel"),Calc!$AL:$AL,0)),""))</f>
        <v/>
      </c>
      <c r="G55" s="61" t="str">
        <f t="array" ref="G55">IF(A55="","",IFERROR(INDEX(Calc!$J:$J,MATCH(IF(A55="","",TEXT(A55,"YYYYMMDD")&amp;"|Carousel"),Calc!$AL:$AL,0)),""))</f>
        <v/>
      </c>
      <c r="H55" s="61" t="str">
        <f t="array" ref="H55">IF(A55="","",IFERROR(INDEX(Calc!$K:$K,MATCH(IF(A55="","",TEXT(A55,"YYYYMMDD")&amp;"|Carousel"),Calc!$AL:$AL,0)),""))</f>
        <v/>
      </c>
      <c r="I55" s="61" t="str">
        <f t="array" ref="I55">IF(A55="","",IFERROR(INDEX(Calc!$L:$L,MATCH(IF(A55="","",TEXT(A55,"YYYYMMDD")&amp;"|Carousel"),Calc!$AL:$AL,0)),""))</f>
        <v/>
      </c>
      <c r="J55" s="61" t="str">
        <f t="array" ref="J55">IF(A55="","",IFERROR(INDEX(Calc!$M:$M,MATCH(IF(A55="","",TEXT(A55,"YYYYMMDD")&amp;"|Carousel"),Calc!$AL:$AL,0)),""))</f>
        <v/>
      </c>
      <c r="K55" s="61" t="str">
        <f t="array" ref="K55">IF(A55="","",IFERROR(INDEX(Calc!$N:$N,MATCH(IF(A55="","",TEXT(A55,"YYYYMMDD")&amp;"|Carousel"),Calc!$AL:$AL,0)),""))</f>
        <v/>
      </c>
      <c r="L55" s="62" t="str">
        <f t="array" ref="L55">IF(A55="","",IFERROR(INDEX(Calc!$AH:$AH,MATCH(IF(A55="","",TEXT(A55,"YYYYMMDD")&amp;"|Carousel"),Calc!$AL:$AL,0)),""))</f>
        <v/>
      </c>
    </row>
    <row r="56" ht="15.75" customHeight="1">
      <c r="A56" s="59" t="str">
        <f>IFERROR(AGGREGATE(14,6,(Calc!$B$2:$B$501)/((Calc!$AK$2:$AK$501=1)*(Calc!$G$2:$G$501="Carousel")),45),"")</f>
        <v/>
      </c>
      <c r="B56" s="60" t="str">
        <f t="array" ref="B56">IF(A56="","",IFERROR(INDEX(Calc!$E:$E,MATCH(IF(A56="","",TEXT(A56,"YYYYMMDD")&amp;"|Carousel"),Calc!$AL:$AL,0)),""))</f>
        <v/>
      </c>
      <c r="C56" s="60" t="str">
        <f t="array" ref="C56">IF(A56="","",IFERROR(INDEX(Calc!$D:$D,MATCH(IF(A56="","",TEXT(A56,"YYYYMMDD")&amp;"|Carousel"),Calc!$AL:$AL,0)),""))</f>
        <v/>
      </c>
      <c r="D56" s="60" t="str">
        <f t="array" ref="D56">IF(A56="","",IFERROR(INDEX(Calc!$F:$F,MATCH(IF(A56="","",TEXT(A56,"YYYYMMDD")&amp;"|Carousel"),Calc!$AL:$AL,0)),""))</f>
        <v/>
      </c>
      <c r="E56" s="60" t="str">
        <f t="array" ref="E56">IF(A56="","",IFERROR(INDEX(Calc!$H:$H,MATCH(IF(A56="","",TEXT(A56,"YYYYMMDD")&amp;"|Carousel"),Calc!$AL:$AL,0)),""))</f>
        <v/>
      </c>
      <c r="F56" s="61" t="str">
        <f t="array" ref="F56">IF(A56="","",IFERROR(INDEX(Calc!$I:$I,MATCH(IF(A56="","",TEXT(A56,"YYYYMMDD")&amp;"|Carousel"),Calc!$AL:$AL,0)),""))</f>
        <v/>
      </c>
      <c r="G56" s="61" t="str">
        <f t="array" ref="G56">IF(A56="","",IFERROR(INDEX(Calc!$J:$J,MATCH(IF(A56="","",TEXT(A56,"YYYYMMDD")&amp;"|Carousel"),Calc!$AL:$AL,0)),""))</f>
        <v/>
      </c>
      <c r="H56" s="61" t="str">
        <f t="array" ref="H56">IF(A56="","",IFERROR(INDEX(Calc!$K:$K,MATCH(IF(A56="","",TEXT(A56,"YYYYMMDD")&amp;"|Carousel"),Calc!$AL:$AL,0)),""))</f>
        <v/>
      </c>
      <c r="I56" s="61" t="str">
        <f t="array" ref="I56">IF(A56="","",IFERROR(INDEX(Calc!$L:$L,MATCH(IF(A56="","",TEXT(A56,"YYYYMMDD")&amp;"|Carousel"),Calc!$AL:$AL,0)),""))</f>
        <v/>
      </c>
      <c r="J56" s="61" t="str">
        <f t="array" ref="J56">IF(A56="","",IFERROR(INDEX(Calc!$M:$M,MATCH(IF(A56="","",TEXT(A56,"YYYYMMDD")&amp;"|Carousel"),Calc!$AL:$AL,0)),""))</f>
        <v/>
      </c>
      <c r="K56" s="61" t="str">
        <f t="array" ref="K56">IF(A56="","",IFERROR(INDEX(Calc!$N:$N,MATCH(IF(A56="","",TEXT(A56,"YYYYMMDD")&amp;"|Carousel"),Calc!$AL:$AL,0)),""))</f>
        <v/>
      </c>
      <c r="L56" s="62" t="str">
        <f t="array" ref="L56">IF(A56="","",IFERROR(INDEX(Calc!$AH:$AH,MATCH(IF(A56="","",TEXT(A56,"YYYYMMDD")&amp;"|Carousel"),Calc!$AL:$AL,0)),""))</f>
        <v/>
      </c>
    </row>
    <row r="57" ht="15.75" customHeight="1">
      <c r="A57" s="59" t="str">
        <f>IFERROR(AGGREGATE(14,6,(Calc!$B$2:$B$501)/((Calc!$AK$2:$AK$501=1)*(Calc!$G$2:$G$501="Carousel")),46),"")</f>
        <v/>
      </c>
      <c r="B57" s="60" t="str">
        <f t="array" ref="B57">IF(A57="","",IFERROR(INDEX(Calc!$E:$E,MATCH(IF(A57="","",TEXT(A57,"YYYYMMDD")&amp;"|Carousel"),Calc!$AL:$AL,0)),""))</f>
        <v/>
      </c>
      <c r="C57" s="60" t="str">
        <f t="array" ref="C57">IF(A57="","",IFERROR(INDEX(Calc!$D:$D,MATCH(IF(A57="","",TEXT(A57,"YYYYMMDD")&amp;"|Carousel"),Calc!$AL:$AL,0)),""))</f>
        <v/>
      </c>
      <c r="D57" s="60" t="str">
        <f t="array" ref="D57">IF(A57="","",IFERROR(INDEX(Calc!$F:$F,MATCH(IF(A57="","",TEXT(A57,"YYYYMMDD")&amp;"|Carousel"),Calc!$AL:$AL,0)),""))</f>
        <v/>
      </c>
      <c r="E57" s="60" t="str">
        <f t="array" ref="E57">IF(A57="","",IFERROR(INDEX(Calc!$H:$H,MATCH(IF(A57="","",TEXT(A57,"YYYYMMDD")&amp;"|Carousel"),Calc!$AL:$AL,0)),""))</f>
        <v/>
      </c>
      <c r="F57" s="61" t="str">
        <f t="array" ref="F57">IF(A57="","",IFERROR(INDEX(Calc!$I:$I,MATCH(IF(A57="","",TEXT(A57,"YYYYMMDD")&amp;"|Carousel"),Calc!$AL:$AL,0)),""))</f>
        <v/>
      </c>
      <c r="G57" s="61" t="str">
        <f t="array" ref="G57">IF(A57="","",IFERROR(INDEX(Calc!$J:$J,MATCH(IF(A57="","",TEXT(A57,"YYYYMMDD")&amp;"|Carousel"),Calc!$AL:$AL,0)),""))</f>
        <v/>
      </c>
      <c r="H57" s="61" t="str">
        <f t="array" ref="H57">IF(A57="","",IFERROR(INDEX(Calc!$K:$K,MATCH(IF(A57="","",TEXT(A57,"YYYYMMDD")&amp;"|Carousel"),Calc!$AL:$AL,0)),""))</f>
        <v/>
      </c>
      <c r="I57" s="61" t="str">
        <f t="array" ref="I57">IF(A57="","",IFERROR(INDEX(Calc!$L:$L,MATCH(IF(A57="","",TEXT(A57,"YYYYMMDD")&amp;"|Carousel"),Calc!$AL:$AL,0)),""))</f>
        <v/>
      </c>
      <c r="J57" s="61" t="str">
        <f t="array" ref="J57">IF(A57="","",IFERROR(INDEX(Calc!$M:$M,MATCH(IF(A57="","",TEXT(A57,"YYYYMMDD")&amp;"|Carousel"),Calc!$AL:$AL,0)),""))</f>
        <v/>
      </c>
      <c r="K57" s="61" t="str">
        <f t="array" ref="K57">IF(A57="","",IFERROR(INDEX(Calc!$N:$N,MATCH(IF(A57="","",TEXT(A57,"YYYYMMDD")&amp;"|Carousel"),Calc!$AL:$AL,0)),""))</f>
        <v/>
      </c>
      <c r="L57" s="62" t="str">
        <f t="array" ref="L57">IF(A57="","",IFERROR(INDEX(Calc!$AH:$AH,MATCH(IF(A57="","",TEXT(A57,"YYYYMMDD")&amp;"|Carousel"),Calc!$AL:$AL,0)),""))</f>
        <v/>
      </c>
    </row>
    <row r="58" ht="15.75" customHeight="1">
      <c r="A58" s="59" t="str">
        <f>IFERROR(AGGREGATE(14,6,(Calc!$B$2:$B$501)/((Calc!$AK$2:$AK$501=1)*(Calc!$G$2:$G$501="Carousel")),47),"")</f>
        <v/>
      </c>
      <c r="B58" s="60" t="str">
        <f t="array" ref="B58">IF(A58="","",IFERROR(INDEX(Calc!$E:$E,MATCH(IF(A58="","",TEXT(A58,"YYYYMMDD")&amp;"|Carousel"),Calc!$AL:$AL,0)),""))</f>
        <v/>
      </c>
      <c r="C58" s="60" t="str">
        <f t="array" ref="C58">IF(A58="","",IFERROR(INDEX(Calc!$D:$D,MATCH(IF(A58="","",TEXT(A58,"YYYYMMDD")&amp;"|Carousel"),Calc!$AL:$AL,0)),""))</f>
        <v/>
      </c>
      <c r="D58" s="60" t="str">
        <f t="array" ref="D58">IF(A58="","",IFERROR(INDEX(Calc!$F:$F,MATCH(IF(A58="","",TEXT(A58,"YYYYMMDD")&amp;"|Carousel"),Calc!$AL:$AL,0)),""))</f>
        <v/>
      </c>
      <c r="E58" s="60" t="str">
        <f t="array" ref="E58">IF(A58="","",IFERROR(INDEX(Calc!$H:$H,MATCH(IF(A58="","",TEXT(A58,"YYYYMMDD")&amp;"|Carousel"),Calc!$AL:$AL,0)),""))</f>
        <v/>
      </c>
      <c r="F58" s="61" t="str">
        <f t="array" ref="F58">IF(A58="","",IFERROR(INDEX(Calc!$I:$I,MATCH(IF(A58="","",TEXT(A58,"YYYYMMDD")&amp;"|Carousel"),Calc!$AL:$AL,0)),""))</f>
        <v/>
      </c>
      <c r="G58" s="61" t="str">
        <f t="array" ref="G58">IF(A58="","",IFERROR(INDEX(Calc!$J:$J,MATCH(IF(A58="","",TEXT(A58,"YYYYMMDD")&amp;"|Carousel"),Calc!$AL:$AL,0)),""))</f>
        <v/>
      </c>
      <c r="H58" s="61" t="str">
        <f t="array" ref="H58">IF(A58="","",IFERROR(INDEX(Calc!$K:$K,MATCH(IF(A58="","",TEXT(A58,"YYYYMMDD")&amp;"|Carousel"),Calc!$AL:$AL,0)),""))</f>
        <v/>
      </c>
      <c r="I58" s="61" t="str">
        <f t="array" ref="I58">IF(A58="","",IFERROR(INDEX(Calc!$L:$L,MATCH(IF(A58="","",TEXT(A58,"YYYYMMDD")&amp;"|Carousel"),Calc!$AL:$AL,0)),""))</f>
        <v/>
      </c>
      <c r="J58" s="61" t="str">
        <f t="array" ref="J58">IF(A58="","",IFERROR(INDEX(Calc!$M:$M,MATCH(IF(A58="","",TEXT(A58,"YYYYMMDD")&amp;"|Carousel"),Calc!$AL:$AL,0)),""))</f>
        <v/>
      </c>
      <c r="K58" s="61" t="str">
        <f t="array" ref="K58">IF(A58="","",IFERROR(INDEX(Calc!$N:$N,MATCH(IF(A58="","",TEXT(A58,"YYYYMMDD")&amp;"|Carousel"),Calc!$AL:$AL,0)),""))</f>
        <v/>
      </c>
      <c r="L58" s="62" t="str">
        <f t="array" ref="L58">IF(A58="","",IFERROR(INDEX(Calc!$AH:$AH,MATCH(IF(A58="","",TEXT(A58,"YYYYMMDD")&amp;"|Carousel"),Calc!$AL:$AL,0)),""))</f>
        <v/>
      </c>
    </row>
    <row r="59" ht="15.75" customHeight="1">
      <c r="A59" s="59" t="str">
        <f>IFERROR(AGGREGATE(14,6,(Calc!$B$2:$B$501)/((Calc!$AK$2:$AK$501=1)*(Calc!$G$2:$G$501="Carousel")),48),"")</f>
        <v/>
      </c>
      <c r="B59" s="60" t="str">
        <f t="array" ref="B59">IF(A59="","",IFERROR(INDEX(Calc!$E:$E,MATCH(IF(A59="","",TEXT(A59,"YYYYMMDD")&amp;"|Carousel"),Calc!$AL:$AL,0)),""))</f>
        <v/>
      </c>
      <c r="C59" s="60" t="str">
        <f t="array" ref="C59">IF(A59="","",IFERROR(INDEX(Calc!$D:$D,MATCH(IF(A59="","",TEXT(A59,"YYYYMMDD")&amp;"|Carousel"),Calc!$AL:$AL,0)),""))</f>
        <v/>
      </c>
      <c r="D59" s="60" t="str">
        <f t="array" ref="D59">IF(A59="","",IFERROR(INDEX(Calc!$F:$F,MATCH(IF(A59="","",TEXT(A59,"YYYYMMDD")&amp;"|Carousel"),Calc!$AL:$AL,0)),""))</f>
        <v/>
      </c>
      <c r="E59" s="60" t="str">
        <f t="array" ref="E59">IF(A59="","",IFERROR(INDEX(Calc!$H:$H,MATCH(IF(A59="","",TEXT(A59,"YYYYMMDD")&amp;"|Carousel"),Calc!$AL:$AL,0)),""))</f>
        <v/>
      </c>
      <c r="F59" s="61" t="str">
        <f t="array" ref="F59">IF(A59="","",IFERROR(INDEX(Calc!$I:$I,MATCH(IF(A59="","",TEXT(A59,"YYYYMMDD")&amp;"|Carousel"),Calc!$AL:$AL,0)),""))</f>
        <v/>
      </c>
      <c r="G59" s="61" t="str">
        <f t="array" ref="G59">IF(A59="","",IFERROR(INDEX(Calc!$J:$J,MATCH(IF(A59="","",TEXT(A59,"YYYYMMDD")&amp;"|Carousel"),Calc!$AL:$AL,0)),""))</f>
        <v/>
      </c>
      <c r="H59" s="61" t="str">
        <f t="array" ref="H59">IF(A59="","",IFERROR(INDEX(Calc!$K:$K,MATCH(IF(A59="","",TEXT(A59,"YYYYMMDD")&amp;"|Carousel"),Calc!$AL:$AL,0)),""))</f>
        <v/>
      </c>
      <c r="I59" s="61" t="str">
        <f t="array" ref="I59">IF(A59="","",IFERROR(INDEX(Calc!$L:$L,MATCH(IF(A59="","",TEXT(A59,"YYYYMMDD")&amp;"|Carousel"),Calc!$AL:$AL,0)),""))</f>
        <v/>
      </c>
      <c r="J59" s="61" t="str">
        <f t="array" ref="J59">IF(A59="","",IFERROR(INDEX(Calc!$M:$M,MATCH(IF(A59="","",TEXT(A59,"YYYYMMDD")&amp;"|Carousel"),Calc!$AL:$AL,0)),""))</f>
        <v/>
      </c>
      <c r="K59" s="61" t="str">
        <f t="array" ref="K59">IF(A59="","",IFERROR(INDEX(Calc!$N:$N,MATCH(IF(A59="","",TEXT(A59,"YYYYMMDD")&amp;"|Carousel"),Calc!$AL:$AL,0)),""))</f>
        <v/>
      </c>
      <c r="L59" s="62" t="str">
        <f t="array" ref="L59">IF(A59="","",IFERROR(INDEX(Calc!$AH:$AH,MATCH(IF(A59="","",TEXT(A59,"YYYYMMDD")&amp;"|Carousel"),Calc!$AL:$AL,0)),""))</f>
        <v/>
      </c>
    </row>
    <row r="60" ht="15.75" customHeight="1">
      <c r="A60" s="59" t="str">
        <f>IFERROR(AGGREGATE(14,6,(Calc!$B$2:$B$501)/((Calc!$AK$2:$AK$501=1)*(Calc!$G$2:$G$501="Carousel")),49),"")</f>
        <v/>
      </c>
      <c r="B60" s="60" t="str">
        <f t="array" ref="B60">IF(A60="","",IFERROR(INDEX(Calc!$E:$E,MATCH(IF(A60="","",TEXT(A60,"YYYYMMDD")&amp;"|Carousel"),Calc!$AL:$AL,0)),""))</f>
        <v/>
      </c>
      <c r="C60" s="60" t="str">
        <f t="array" ref="C60">IF(A60="","",IFERROR(INDEX(Calc!$D:$D,MATCH(IF(A60="","",TEXT(A60,"YYYYMMDD")&amp;"|Carousel"),Calc!$AL:$AL,0)),""))</f>
        <v/>
      </c>
      <c r="D60" s="60" t="str">
        <f t="array" ref="D60">IF(A60="","",IFERROR(INDEX(Calc!$F:$F,MATCH(IF(A60="","",TEXT(A60,"YYYYMMDD")&amp;"|Carousel"),Calc!$AL:$AL,0)),""))</f>
        <v/>
      </c>
      <c r="E60" s="60" t="str">
        <f t="array" ref="E60">IF(A60="","",IFERROR(INDEX(Calc!$H:$H,MATCH(IF(A60="","",TEXT(A60,"YYYYMMDD")&amp;"|Carousel"),Calc!$AL:$AL,0)),""))</f>
        <v/>
      </c>
      <c r="F60" s="61" t="str">
        <f t="array" ref="F60">IF(A60="","",IFERROR(INDEX(Calc!$I:$I,MATCH(IF(A60="","",TEXT(A60,"YYYYMMDD")&amp;"|Carousel"),Calc!$AL:$AL,0)),""))</f>
        <v/>
      </c>
      <c r="G60" s="61" t="str">
        <f t="array" ref="G60">IF(A60="","",IFERROR(INDEX(Calc!$J:$J,MATCH(IF(A60="","",TEXT(A60,"YYYYMMDD")&amp;"|Carousel"),Calc!$AL:$AL,0)),""))</f>
        <v/>
      </c>
      <c r="H60" s="61" t="str">
        <f t="array" ref="H60">IF(A60="","",IFERROR(INDEX(Calc!$K:$K,MATCH(IF(A60="","",TEXT(A60,"YYYYMMDD")&amp;"|Carousel"),Calc!$AL:$AL,0)),""))</f>
        <v/>
      </c>
      <c r="I60" s="61" t="str">
        <f t="array" ref="I60">IF(A60="","",IFERROR(INDEX(Calc!$L:$L,MATCH(IF(A60="","",TEXT(A60,"YYYYMMDD")&amp;"|Carousel"),Calc!$AL:$AL,0)),""))</f>
        <v/>
      </c>
      <c r="J60" s="61" t="str">
        <f t="array" ref="J60">IF(A60="","",IFERROR(INDEX(Calc!$M:$M,MATCH(IF(A60="","",TEXT(A60,"YYYYMMDD")&amp;"|Carousel"),Calc!$AL:$AL,0)),""))</f>
        <v/>
      </c>
      <c r="K60" s="61" t="str">
        <f t="array" ref="K60">IF(A60="","",IFERROR(INDEX(Calc!$N:$N,MATCH(IF(A60="","",TEXT(A60,"YYYYMMDD")&amp;"|Carousel"),Calc!$AL:$AL,0)),""))</f>
        <v/>
      </c>
      <c r="L60" s="62" t="str">
        <f t="array" ref="L60">IF(A60="","",IFERROR(INDEX(Calc!$AH:$AH,MATCH(IF(A60="","",TEXT(A60,"YYYYMMDD")&amp;"|Carousel"),Calc!$AL:$AL,0)),""))</f>
        <v/>
      </c>
    </row>
    <row r="61" ht="15.75" customHeight="1">
      <c r="A61" s="59" t="str">
        <f>IFERROR(AGGREGATE(14,6,(Calc!$B$2:$B$501)/((Calc!$AK$2:$AK$501=1)*(Calc!$G$2:$G$501="Carousel")),50),"")</f>
        <v/>
      </c>
      <c r="B61" s="60" t="str">
        <f t="array" ref="B61">IF(A61="","",IFERROR(INDEX(Calc!$E:$E,MATCH(IF(A61="","",TEXT(A61,"YYYYMMDD")&amp;"|Carousel"),Calc!$AL:$AL,0)),""))</f>
        <v/>
      </c>
      <c r="C61" s="60" t="str">
        <f t="array" ref="C61">IF(A61="","",IFERROR(INDEX(Calc!$D:$D,MATCH(IF(A61="","",TEXT(A61,"YYYYMMDD")&amp;"|Carousel"),Calc!$AL:$AL,0)),""))</f>
        <v/>
      </c>
      <c r="D61" s="60" t="str">
        <f t="array" ref="D61">IF(A61="","",IFERROR(INDEX(Calc!$F:$F,MATCH(IF(A61="","",TEXT(A61,"YYYYMMDD")&amp;"|Carousel"),Calc!$AL:$AL,0)),""))</f>
        <v/>
      </c>
      <c r="E61" s="60" t="str">
        <f t="array" ref="E61">IF(A61="","",IFERROR(INDEX(Calc!$H:$H,MATCH(IF(A61="","",TEXT(A61,"YYYYMMDD")&amp;"|Carousel"),Calc!$AL:$AL,0)),""))</f>
        <v/>
      </c>
      <c r="F61" s="61" t="str">
        <f t="array" ref="F61">IF(A61="","",IFERROR(INDEX(Calc!$I:$I,MATCH(IF(A61="","",TEXT(A61,"YYYYMMDD")&amp;"|Carousel"),Calc!$AL:$AL,0)),""))</f>
        <v/>
      </c>
      <c r="G61" s="61" t="str">
        <f t="array" ref="G61">IF(A61="","",IFERROR(INDEX(Calc!$J:$J,MATCH(IF(A61="","",TEXT(A61,"YYYYMMDD")&amp;"|Carousel"),Calc!$AL:$AL,0)),""))</f>
        <v/>
      </c>
      <c r="H61" s="61" t="str">
        <f t="array" ref="H61">IF(A61="","",IFERROR(INDEX(Calc!$K:$K,MATCH(IF(A61="","",TEXT(A61,"YYYYMMDD")&amp;"|Carousel"),Calc!$AL:$AL,0)),""))</f>
        <v/>
      </c>
      <c r="I61" s="61" t="str">
        <f t="array" ref="I61">IF(A61="","",IFERROR(INDEX(Calc!$L:$L,MATCH(IF(A61="","",TEXT(A61,"YYYYMMDD")&amp;"|Carousel"),Calc!$AL:$AL,0)),""))</f>
        <v/>
      </c>
      <c r="J61" s="61" t="str">
        <f t="array" ref="J61">IF(A61="","",IFERROR(INDEX(Calc!$M:$M,MATCH(IF(A61="","",TEXT(A61,"YYYYMMDD")&amp;"|Carousel"),Calc!$AL:$AL,0)),""))</f>
        <v/>
      </c>
      <c r="K61" s="61" t="str">
        <f t="array" ref="K61">IF(A61="","",IFERROR(INDEX(Calc!$N:$N,MATCH(IF(A61="","",TEXT(A61,"YYYYMMDD")&amp;"|Carousel"),Calc!$AL:$AL,0)),""))</f>
        <v/>
      </c>
      <c r="L61" s="62" t="str">
        <f t="array" ref="L61">IF(A61="","",IFERROR(INDEX(Calc!$AH:$AH,MATCH(IF(A61="","",TEXT(A61,"YYYYMMDD")&amp;"|Carousel"),Calc!$AL:$AL,0)),""))</f>
        <v/>
      </c>
    </row>
    <row r="62" ht="15.75" customHeight="1">
      <c r="A62" s="59" t="str">
        <f>IFERROR(AGGREGATE(14,6,(Calc!$B$2:$B$501)/((Calc!$AK$2:$AK$501=1)*(Calc!$G$2:$G$501="Carousel")),51),"")</f>
        <v/>
      </c>
      <c r="B62" s="60" t="str">
        <f t="array" ref="B62">IF(A62="","",IFERROR(INDEX(Calc!$E:$E,MATCH(IF(A62="","",TEXT(A62,"YYYYMMDD")&amp;"|Carousel"),Calc!$AL:$AL,0)),""))</f>
        <v/>
      </c>
      <c r="C62" s="60" t="str">
        <f t="array" ref="C62">IF(A62="","",IFERROR(INDEX(Calc!$D:$D,MATCH(IF(A62="","",TEXT(A62,"YYYYMMDD")&amp;"|Carousel"),Calc!$AL:$AL,0)),""))</f>
        <v/>
      </c>
      <c r="D62" s="60" t="str">
        <f t="array" ref="D62">IF(A62="","",IFERROR(INDEX(Calc!$F:$F,MATCH(IF(A62="","",TEXT(A62,"YYYYMMDD")&amp;"|Carousel"),Calc!$AL:$AL,0)),""))</f>
        <v/>
      </c>
      <c r="E62" s="60" t="str">
        <f t="array" ref="E62">IF(A62="","",IFERROR(INDEX(Calc!$H:$H,MATCH(IF(A62="","",TEXT(A62,"YYYYMMDD")&amp;"|Carousel"),Calc!$AL:$AL,0)),""))</f>
        <v/>
      </c>
      <c r="F62" s="61" t="str">
        <f t="array" ref="F62">IF(A62="","",IFERROR(INDEX(Calc!$I:$I,MATCH(IF(A62="","",TEXT(A62,"YYYYMMDD")&amp;"|Carousel"),Calc!$AL:$AL,0)),""))</f>
        <v/>
      </c>
      <c r="G62" s="61" t="str">
        <f t="array" ref="G62">IF(A62="","",IFERROR(INDEX(Calc!$J:$J,MATCH(IF(A62="","",TEXT(A62,"YYYYMMDD")&amp;"|Carousel"),Calc!$AL:$AL,0)),""))</f>
        <v/>
      </c>
      <c r="H62" s="61" t="str">
        <f t="array" ref="H62">IF(A62="","",IFERROR(INDEX(Calc!$K:$K,MATCH(IF(A62="","",TEXT(A62,"YYYYMMDD")&amp;"|Carousel"),Calc!$AL:$AL,0)),""))</f>
        <v/>
      </c>
      <c r="I62" s="61" t="str">
        <f t="array" ref="I62">IF(A62="","",IFERROR(INDEX(Calc!$L:$L,MATCH(IF(A62="","",TEXT(A62,"YYYYMMDD")&amp;"|Carousel"),Calc!$AL:$AL,0)),""))</f>
        <v/>
      </c>
      <c r="J62" s="61" t="str">
        <f t="array" ref="J62">IF(A62="","",IFERROR(INDEX(Calc!$M:$M,MATCH(IF(A62="","",TEXT(A62,"YYYYMMDD")&amp;"|Carousel"),Calc!$AL:$AL,0)),""))</f>
        <v/>
      </c>
      <c r="K62" s="61" t="str">
        <f t="array" ref="K62">IF(A62="","",IFERROR(INDEX(Calc!$N:$N,MATCH(IF(A62="","",TEXT(A62,"YYYYMMDD")&amp;"|Carousel"),Calc!$AL:$AL,0)),""))</f>
        <v/>
      </c>
      <c r="L62" s="62" t="str">
        <f t="array" ref="L62">IF(A62="","",IFERROR(INDEX(Calc!$AH:$AH,MATCH(IF(A62="","",TEXT(A62,"YYYYMMDD")&amp;"|Carousel"),Calc!$AL:$AL,0)),""))</f>
        <v/>
      </c>
    </row>
    <row r="63" ht="15.75" customHeight="1">
      <c r="A63" s="59" t="str">
        <f>IFERROR(AGGREGATE(14,6,(Calc!$B$2:$B$501)/((Calc!$AK$2:$AK$501=1)*(Calc!$G$2:$G$501="Carousel")),52),"")</f>
        <v/>
      </c>
      <c r="B63" s="60" t="str">
        <f t="array" ref="B63">IF(A63="","",IFERROR(INDEX(Calc!$E:$E,MATCH(IF(A63="","",TEXT(A63,"YYYYMMDD")&amp;"|Carousel"),Calc!$AL:$AL,0)),""))</f>
        <v/>
      </c>
      <c r="C63" s="60" t="str">
        <f t="array" ref="C63">IF(A63="","",IFERROR(INDEX(Calc!$D:$D,MATCH(IF(A63="","",TEXT(A63,"YYYYMMDD")&amp;"|Carousel"),Calc!$AL:$AL,0)),""))</f>
        <v/>
      </c>
      <c r="D63" s="60" t="str">
        <f t="array" ref="D63">IF(A63="","",IFERROR(INDEX(Calc!$F:$F,MATCH(IF(A63="","",TEXT(A63,"YYYYMMDD")&amp;"|Carousel"),Calc!$AL:$AL,0)),""))</f>
        <v/>
      </c>
      <c r="E63" s="60" t="str">
        <f t="array" ref="E63">IF(A63="","",IFERROR(INDEX(Calc!$H:$H,MATCH(IF(A63="","",TEXT(A63,"YYYYMMDD")&amp;"|Carousel"),Calc!$AL:$AL,0)),""))</f>
        <v/>
      </c>
      <c r="F63" s="61" t="str">
        <f t="array" ref="F63">IF(A63="","",IFERROR(INDEX(Calc!$I:$I,MATCH(IF(A63="","",TEXT(A63,"YYYYMMDD")&amp;"|Carousel"),Calc!$AL:$AL,0)),""))</f>
        <v/>
      </c>
      <c r="G63" s="61" t="str">
        <f t="array" ref="G63">IF(A63="","",IFERROR(INDEX(Calc!$J:$J,MATCH(IF(A63="","",TEXT(A63,"YYYYMMDD")&amp;"|Carousel"),Calc!$AL:$AL,0)),""))</f>
        <v/>
      </c>
      <c r="H63" s="61" t="str">
        <f t="array" ref="H63">IF(A63="","",IFERROR(INDEX(Calc!$K:$K,MATCH(IF(A63="","",TEXT(A63,"YYYYMMDD")&amp;"|Carousel"),Calc!$AL:$AL,0)),""))</f>
        <v/>
      </c>
      <c r="I63" s="61" t="str">
        <f t="array" ref="I63">IF(A63="","",IFERROR(INDEX(Calc!$L:$L,MATCH(IF(A63="","",TEXT(A63,"YYYYMMDD")&amp;"|Carousel"),Calc!$AL:$AL,0)),""))</f>
        <v/>
      </c>
      <c r="J63" s="61" t="str">
        <f t="array" ref="J63">IF(A63="","",IFERROR(INDEX(Calc!$M:$M,MATCH(IF(A63="","",TEXT(A63,"YYYYMMDD")&amp;"|Carousel"),Calc!$AL:$AL,0)),""))</f>
        <v/>
      </c>
      <c r="K63" s="61" t="str">
        <f t="array" ref="K63">IF(A63="","",IFERROR(INDEX(Calc!$N:$N,MATCH(IF(A63="","",TEXT(A63,"YYYYMMDD")&amp;"|Carousel"),Calc!$AL:$AL,0)),""))</f>
        <v/>
      </c>
      <c r="L63" s="62" t="str">
        <f t="array" ref="L63">IF(A63="","",IFERROR(INDEX(Calc!$AH:$AH,MATCH(IF(A63="","",TEXT(A63,"YYYYMMDD")&amp;"|Carousel"),Calc!$AL:$AL,0)),""))</f>
        <v/>
      </c>
    </row>
    <row r="64" ht="15.75" customHeight="1">
      <c r="A64" s="59" t="str">
        <f>IFERROR(AGGREGATE(14,6,(Calc!$B$2:$B$501)/((Calc!$AK$2:$AK$501=1)*(Calc!$G$2:$G$501="Carousel")),53),"")</f>
        <v/>
      </c>
      <c r="B64" s="60" t="str">
        <f t="array" ref="B64">IF(A64="","",IFERROR(INDEX(Calc!$E:$E,MATCH(IF(A64="","",TEXT(A64,"YYYYMMDD")&amp;"|Carousel"),Calc!$AL:$AL,0)),""))</f>
        <v/>
      </c>
      <c r="C64" s="60" t="str">
        <f t="array" ref="C64">IF(A64="","",IFERROR(INDEX(Calc!$D:$D,MATCH(IF(A64="","",TEXT(A64,"YYYYMMDD")&amp;"|Carousel"),Calc!$AL:$AL,0)),""))</f>
        <v/>
      </c>
      <c r="D64" s="60" t="str">
        <f t="array" ref="D64">IF(A64="","",IFERROR(INDEX(Calc!$F:$F,MATCH(IF(A64="","",TEXT(A64,"YYYYMMDD")&amp;"|Carousel"),Calc!$AL:$AL,0)),""))</f>
        <v/>
      </c>
      <c r="E64" s="60" t="str">
        <f t="array" ref="E64">IF(A64="","",IFERROR(INDEX(Calc!$H:$H,MATCH(IF(A64="","",TEXT(A64,"YYYYMMDD")&amp;"|Carousel"),Calc!$AL:$AL,0)),""))</f>
        <v/>
      </c>
      <c r="F64" s="61" t="str">
        <f t="array" ref="F64">IF(A64="","",IFERROR(INDEX(Calc!$I:$I,MATCH(IF(A64="","",TEXT(A64,"YYYYMMDD")&amp;"|Carousel"),Calc!$AL:$AL,0)),""))</f>
        <v/>
      </c>
      <c r="G64" s="61" t="str">
        <f t="array" ref="G64">IF(A64="","",IFERROR(INDEX(Calc!$J:$J,MATCH(IF(A64="","",TEXT(A64,"YYYYMMDD")&amp;"|Carousel"),Calc!$AL:$AL,0)),""))</f>
        <v/>
      </c>
      <c r="H64" s="61" t="str">
        <f t="array" ref="H64">IF(A64="","",IFERROR(INDEX(Calc!$K:$K,MATCH(IF(A64="","",TEXT(A64,"YYYYMMDD")&amp;"|Carousel"),Calc!$AL:$AL,0)),""))</f>
        <v/>
      </c>
      <c r="I64" s="61" t="str">
        <f t="array" ref="I64">IF(A64="","",IFERROR(INDEX(Calc!$L:$L,MATCH(IF(A64="","",TEXT(A64,"YYYYMMDD")&amp;"|Carousel"),Calc!$AL:$AL,0)),""))</f>
        <v/>
      </c>
      <c r="J64" s="61" t="str">
        <f t="array" ref="J64">IF(A64="","",IFERROR(INDEX(Calc!$M:$M,MATCH(IF(A64="","",TEXT(A64,"YYYYMMDD")&amp;"|Carousel"),Calc!$AL:$AL,0)),""))</f>
        <v/>
      </c>
      <c r="K64" s="61" t="str">
        <f t="array" ref="K64">IF(A64="","",IFERROR(INDEX(Calc!$N:$N,MATCH(IF(A64="","",TEXT(A64,"YYYYMMDD")&amp;"|Carousel"),Calc!$AL:$AL,0)),""))</f>
        <v/>
      </c>
      <c r="L64" s="62" t="str">
        <f t="array" ref="L64">IF(A64="","",IFERROR(INDEX(Calc!$AH:$AH,MATCH(IF(A64="","",TEXT(A64,"YYYYMMDD")&amp;"|Carousel"),Calc!$AL:$AL,0)),""))</f>
        <v/>
      </c>
    </row>
    <row r="65" ht="15.75" customHeight="1">
      <c r="A65" s="59" t="str">
        <f>IFERROR(AGGREGATE(14,6,(Calc!$B$2:$B$501)/((Calc!$AK$2:$AK$501=1)*(Calc!$G$2:$G$501="Carousel")),54),"")</f>
        <v/>
      </c>
      <c r="B65" s="60" t="str">
        <f t="array" ref="B65">IF(A65="","",IFERROR(INDEX(Calc!$E:$E,MATCH(IF(A65="","",TEXT(A65,"YYYYMMDD")&amp;"|Carousel"),Calc!$AL:$AL,0)),""))</f>
        <v/>
      </c>
      <c r="C65" s="60" t="str">
        <f t="array" ref="C65">IF(A65="","",IFERROR(INDEX(Calc!$D:$D,MATCH(IF(A65="","",TEXT(A65,"YYYYMMDD")&amp;"|Carousel"),Calc!$AL:$AL,0)),""))</f>
        <v/>
      </c>
      <c r="D65" s="60" t="str">
        <f t="array" ref="D65">IF(A65="","",IFERROR(INDEX(Calc!$F:$F,MATCH(IF(A65="","",TEXT(A65,"YYYYMMDD")&amp;"|Carousel"),Calc!$AL:$AL,0)),""))</f>
        <v/>
      </c>
      <c r="E65" s="60" t="str">
        <f t="array" ref="E65">IF(A65="","",IFERROR(INDEX(Calc!$H:$H,MATCH(IF(A65="","",TEXT(A65,"YYYYMMDD")&amp;"|Carousel"),Calc!$AL:$AL,0)),""))</f>
        <v/>
      </c>
      <c r="F65" s="61" t="str">
        <f t="array" ref="F65">IF(A65="","",IFERROR(INDEX(Calc!$I:$I,MATCH(IF(A65="","",TEXT(A65,"YYYYMMDD")&amp;"|Carousel"),Calc!$AL:$AL,0)),""))</f>
        <v/>
      </c>
      <c r="G65" s="61" t="str">
        <f t="array" ref="G65">IF(A65="","",IFERROR(INDEX(Calc!$J:$J,MATCH(IF(A65="","",TEXT(A65,"YYYYMMDD")&amp;"|Carousel"),Calc!$AL:$AL,0)),""))</f>
        <v/>
      </c>
      <c r="H65" s="61" t="str">
        <f t="array" ref="H65">IF(A65="","",IFERROR(INDEX(Calc!$K:$K,MATCH(IF(A65="","",TEXT(A65,"YYYYMMDD")&amp;"|Carousel"),Calc!$AL:$AL,0)),""))</f>
        <v/>
      </c>
      <c r="I65" s="61" t="str">
        <f t="array" ref="I65">IF(A65="","",IFERROR(INDEX(Calc!$L:$L,MATCH(IF(A65="","",TEXT(A65,"YYYYMMDD")&amp;"|Carousel"),Calc!$AL:$AL,0)),""))</f>
        <v/>
      </c>
      <c r="J65" s="61" t="str">
        <f t="array" ref="J65">IF(A65="","",IFERROR(INDEX(Calc!$M:$M,MATCH(IF(A65="","",TEXT(A65,"YYYYMMDD")&amp;"|Carousel"),Calc!$AL:$AL,0)),""))</f>
        <v/>
      </c>
      <c r="K65" s="61" t="str">
        <f t="array" ref="K65">IF(A65="","",IFERROR(INDEX(Calc!$N:$N,MATCH(IF(A65="","",TEXT(A65,"YYYYMMDD")&amp;"|Carousel"),Calc!$AL:$AL,0)),""))</f>
        <v/>
      </c>
      <c r="L65" s="62" t="str">
        <f t="array" ref="L65">IF(A65="","",IFERROR(INDEX(Calc!$AH:$AH,MATCH(IF(A65="","",TEXT(A65,"YYYYMMDD")&amp;"|Carousel"),Calc!$AL:$AL,0)),""))</f>
        <v/>
      </c>
    </row>
    <row r="66" ht="15.75" customHeight="1">
      <c r="A66" s="59" t="str">
        <f>IFERROR(AGGREGATE(14,6,(Calc!$B$2:$B$501)/((Calc!$AK$2:$AK$501=1)*(Calc!$G$2:$G$501="Carousel")),55),"")</f>
        <v/>
      </c>
      <c r="B66" s="60" t="str">
        <f t="array" ref="B66">IF(A66="","",IFERROR(INDEX(Calc!$E:$E,MATCH(IF(A66="","",TEXT(A66,"YYYYMMDD")&amp;"|Carousel"),Calc!$AL:$AL,0)),""))</f>
        <v/>
      </c>
      <c r="C66" s="60" t="str">
        <f t="array" ref="C66">IF(A66="","",IFERROR(INDEX(Calc!$D:$D,MATCH(IF(A66="","",TEXT(A66,"YYYYMMDD")&amp;"|Carousel"),Calc!$AL:$AL,0)),""))</f>
        <v/>
      </c>
      <c r="D66" s="60" t="str">
        <f t="array" ref="D66">IF(A66="","",IFERROR(INDEX(Calc!$F:$F,MATCH(IF(A66="","",TEXT(A66,"YYYYMMDD")&amp;"|Carousel"),Calc!$AL:$AL,0)),""))</f>
        <v/>
      </c>
      <c r="E66" s="60" t="str">
        <f t="array" ref="E66">IF(A66="","",IFERROR(INDEX(Calc!$H:$H,MATCH(IF(A66="","",TEXT(A66,"YYYYMMDD")&amp;"|Carousel"),Calc!$AL:$AL,0)),""))</f>
        <v/>
      </c>
      <c r="F66" s="61" t="str">
        <f t="array" ref="F66">IF(A66="","",IFERROR(INDEX(Calc!$I:$I,MATCH(IF(A66="","",TEXT(A66,"YYYYMMDD")&amp;"|Carousel"),Calc!$AL:$AL,0)),""))</f>
        <v/>
      </c>
      <c r="G66" s="61" t="str">
        <f t="array" ref="G66">IF(A66="","",IFERROR(INDEX(Calc!$J:$J,MATCH(IF(A66="","",TEXT(A66,"YYYYMMDD")&amp;"|Carousel"),Calc!$AL:$AL,0)),""))</f>
        <v/>
      </c>
      <c r="H66" s="61" t="str">
        <f t="array" ref="H66">IF(A66="","",IFERROR(INDEX(Calc!$K:$K,MATCH(IF(A66="","",TEXT(A66,"YYYYMMDD")&amp;"|Carousel"),Calc!$AL:$AL,0)),""))</f>
        <v/>
      </c>
      <c r="I66" s="61" t="str">
        <f t="array" ref="I66">IF(A66="","",IFERROR(INDEX(Calc!$L:$L,MATCH(IF(A66="","",TEXT(A66,"YYYYMMDD")&amp;"|Carousel"),Calc!$AL:$AL,0)),""))</f>
        <v/>
      </c>
      <c r="J66" s="61" t="str">
        <f t="array" ref="J66">IF(A66="","",IFERROR(INDEX(Calc!$M:$M,MATCH(IF(A66="","",TEXT(A66,"YYYYMMDD")&amp;"|Carousel"),Calc!$AL:$AL,0)),""))</f>
        <v/>
      </c>
      <c r="K66" s="61" t="str">
        <f t="array" ref="K66">IF(A66="","",IFERROR(INDEX(Calc!$N:$N,MATCH(IF(A66="","",TEXT(A66,"YYYYMMDD")&amp;"|Carousel"),Calc!$AL:$AL,0)),""))</f>
        <v/>
      </c>
      <c r="L66" s="62" t="str">
        <f t="array" ref="L66">IF(A66="","",IFERROR(INDEX(Calc!$AH:$AH,MATCH(IF(A66="","",TEXT(A66,"YYYYMMDD")&amp;"|Carousel"),Calc!$AL:$AL,0)),""))</f>
        <v/>
      </c>
    </row>
    <row r="67" ht="15.75" customHeight="1">
      <c r="A67" s="59" t="str">
        <f>IFERROR(AGGREGATE(14,6,(Calc!$B$2:$B$501)/((Calc!$AK$2:$AK$501=1)*(Calc!$G$2:$G$501="Carousel")),56),"")</f>
        <v/>
      </c>
      <c r="B67" s="60" t="str">
        <f t="array" ref="B67">IF(A67="","",IFERROR(INDEX(Calc!$E:$E,MATCH(IF(A67="","",TEXT(A67,"YYYYMMDD")&amp;"|Carousel"),Calc!$AL:$AL,0)),""))</f>
        <v/>
      </c>
      <c r="C67" s="60" t="str">
        <f t="array" ref="C67">IF(A67="","",IFERROR(INDEX(Calc!$D:$D,MATCH(IF(A67="","",TEXT(A67,"YYYYMMDD")&amp;"|Carousel"),Calc!$AL:$AL,0)),""))</f>
        <v/>
      </c>
      <c r="D67" s="60" t="str">
        <f t="array" ref="D67">IF(A67="","",IFERROR(INDEX(Calc!$F:$F,MATCH(IF(A67="","",TEXT(A67,"YYYYMMDD")&amp;"|Carousel"),Calc!$AL:$AL,0)),""))</f>
        <v/>
      </c>
      <c r="E67" s="60" t="str">
        <f t="array" ref="E67">IF(A67="","",IFERROR(INDEX(Calc!$H:$H,MATCH(IF(A67="","",TEXT(A67,"YYYYMMDD")&amp;"|Carousel"),Calc!$AL:$AL,0)),""))</f>
        <v/>
      </c>
      <c r="F67" s="61" t="str">
        <f t="array" ref="F67">IF(A67="","",IFERROR(INDEX(Calc!$I:$I,MATCH(IF(A67="","",TEXT(A67,"YYYYMMDD")&amp;"|Carousel"),Calc!$AL:$AL,0)),""))</f>
        <v/>
      </c>
      <c r="G67" s="61" t="str">
        <f t="array" ref="G67">IF(A67="","",IFERROR(INDEX(Calc!$J:$J,MATCH(IF(A67="","",TEXT(A67,"YYYYMMDD")&amp;"|Carousel"),Calc!$AL:$AL,0)),""))</f>
        <v/>
      </c>
      <c r="H67" s="61" t="str">
        <f t="array" ref="H67">IF(A67="","",IFERROR(INDEX(Calc!$K:$K,MATCH(IF(A67="","",TEXT(A67,"YYYYMMDD")&amp;"|Carousel"),Calc!$AL:$AL,0)),""))</f>
        <v/>
      </c>
      <c r="I67" s="61" t="str">
        <f t="array" ref="I67">IF(A67="","",IFERROR(INDEX(Calc!$L:$L,MATCH(IF(A67="","",TEXT(A67,"YYYYMMDD")&amp;"|Carousel"),Calc!$AL:$AL,0)),""))</f>
        <v/>
      </c>
      <c r="J67" s="61" t="str">
        <f t="array" ref="J67">IF(A67="","",IFERROR(INDEX(Calc!$M:$M,MATCH(IF(A67="","",TEXT(A67,"YYYYMMDD")&amp;"|Carousel"),Calc!$AL:$AL,0)),""))</f>
        <v/>
      </c>
      <c r="K67" s="61" t="str">
        <f t="array" ref="K67">IF(A67="","",IFERROR(INDEX(Calc!$N:$N,MATCH(IF(A67="","",TEXT(A67,"YYYYMMDD")&amp;"|Carousel"),Calc!$AL:$AL,0)),""))</f>
        <v/>
      </c>
      <c r="L67" s="62" t="str">
        <f t="array" ref="L67">IF(A67="","",IFERROR(INDEX(Calc!$AH:$AH,MATCH(IF(A67="","",TEXT(A67,"YYYYMMDD")&amp;"|Carousel"),Calc!$AL:$AL,0)),""))</f>
        <v/>
      </c>
    </row>
    <row r="68" ht="15.75" customHeight="1">
      <c r="A68" s="59" t="str">
        <f>IFERROR(AGGREGATE(14,6,(Calc!$B$2:$B$501)/((Calc!$AK$2:$AK$501=1)*(Calc!$G$2:$G$501="Carousel")),57),"")</f>
        <v/>
      </c>
      <c r="B68" s="60" t="str">
        <f t="array" ref="B68">IF(A68="","",IFERROR(INDEX(Calc!$E:$E,MATCH(IF(A68="","",TEXT(A68,"YYYYMMDD")&amp;"|Carousel"),Calc!$AL:$AL,0)),""))</f>
        <v/>
      </c>
      <c r="C68" s="60" t="str">
        <f t="array" ref="C68">IF(A68="","",IFERROR(INDEX(Calc!$D:$D,MATCH(IF(A68="","",TEXT(A68,"YYYYMMDD")&amp;"|Carousel"),Calc!$AL:$AL,0)),""))</f>
        <v/>
      </c>
      <c r="D68" s="60" t="str">
        <f t="array" ref="D68">IF(A68="","",IFERROR(INDEX(Calc!$F:$F,MATCH(IF(A68="","",TEXT(A68,"YYYYMMDD")&amp;"|Carousel"),Calc!$AL:$AL,0)),""))</f>
        <v/>
      </c>
      <c r="E68" s="60" t="str">
        <f t="array" ref="E68">IF(A68="","",IFERROR(INDEX(Calc!$H:$H,MATCH(IF(A68="","",TEXT(A68,"YYYYMMDD")&amp;"|Carousel"),Calc!$AL:$AL,0)),""))</f>
        <v/>
      </c>
      <c r="F68" s="61" t="str">
        <f t="array" ref="F68">IF(A68="","",IFERROR(INDEX(Calc!$I:$I,MATCH(IF(A68="","",TEXT(A68,"YYYYMMDD")&amp;"|Carousel"),Calc!$AL:$AL,0)),""))</f>
        <v/>
      </c>
      <c r="G68" s="61" t="str">
        <f t="array" ref="G68">IF(A68="","",IFERROR(INDEX(Calc!$J:$J,MATCH(IF(A68="","",TEXT(A68,"YYYYMMDD")&amp;"|Carousel"),Calc!$AL:$AL,0)),""))</f>
        <v/>
      </c>
      <c r="H68" s="61" t="str">
        <f t="array" ref="H68">IF(A68="","",IFERROR(INDEX(Calc!$K:$K,MATCH(IF(A68="","",TEXT(A68,"YYYYMMDD")&amp;"|Carousel"),Calc!$AL:$AL,0)),""))</f>
        <v/>
      </c>
      <c r="I68" s="61" t="str">
        <f t="array" ref="I68">IF(A68="","",IFERROR(INDEX(Calc!$L:$L,MATCH(IF(A68="","",TEXT(A68,"YYYYMMDD")&amp;"|Carousel"),Calc!$AL:$AL,0)),""))</f>
        <v/>
      </c>
      <c r="J68" s="61" t="str">
        <f t="array" ref="J68">IF(A68="","",IFERROR(INDEX(Calc!$M:$M,MATCH(IF(A68="","",TEXT(A68,"YYYYMMDD")&amp;"|Carousel"),Calc!$AL:$AL,0)),""))</f>
        <v/>
      </c>
      <c r="K68" s="61" t="str">
        <f t="array" ref="K68">IF(A68="","",IFERROR(INDEX(Calc!$N:$N,MATCH(IF(A68="","",TEXT(A68,"YYYYMMDD")&amp;"|Carousel"),Calc!$AL:$AL,0)),""))</f>
        <v/>
      </c>
      <c r="L68" s="62" t="str">
        <f t="array" ref="L68">IF(A68="","",IFERROR(INDEX(Calc!$AH:$AH,MATCH(IF(A68="","",TEXT(A68,"YYYYMMDD")&amp;"|Carousel"),Calc!$AL:$AL,0)),""))</f>
        <v/>
      </c>
    </row>
    <row r="69" ht="15.75" customHeight="1">
      <c r="A69" s="59" t="str">
        <f>IFERROR(AGGREGATE(14,6,(Calc!$B$2:$B$501)/((Calc!$AK$2:$AK$501=1)*(Calc!$G$2:$G$501="Carousel")),58),"")</f>
        <v/>
      </c>
      <c r="B69" s="60" t="str">
        <f t="array" ref="B69">IF(A69="","",IFERROR(INDEX(Calc!$E:$E,MATCH(IF(A69="","",TEXT(A69,"YYYYMMDD")&amp;"|Carousel"),Calc!$AL:$AL,0)),""))</f>
        <v/>
      </c>
      <c r="C69" s="60" t="str">
        <f t="array" ref="C69">IF(A69="","",IFERROR(INDEX(Calc!$D:$D,MATCH(IF(A69="","",TEXT(A69,"YYYYMMDD")&amp;"|Carousel"),Calc!$AL:$AL,0)),""))</f>
        <v/>
      </c>
      <c r="D69" s="60" t="str">
        <f t="array" ref="D69">IF(A69="","",IFERROR(INDEX(Calc!$F:$F,MATCH(IF(A69="","",TEXT(A69,"YYYYMMDD")&amp;"|Carousel"),Calc!$AL:$AL,0)),""))</f>
        <v/>
      </c>
      <c r="E69" s="60" t="str">
        <f t="array" ref="E69">IF(A69="","",IFERROR(INDEX(Calc!$H:$H,MATCH(IF(A69="","",TEXT(A69,"YYYYMMDD")&amp;"|Carousel"),Calc!$AL:$AL,0)),""))</f>
        <v/>
      </c>
      <c r="F69" s="61" t="str">
        <f t="array" ref="F69">IF(A69="","",IFERROR(INDEX(Calc!$I:$I,MATCH(IF(A69="","",TEXT(A69,"YYYYMMDD")&amp;"|Carousel"),Calc!$AL:$AL,0)),""))</f>
        <v/>
      </c>
      <c r="G69" s="61" t="str">
        <f t="array" ref="G69">IF(A69="","",IFERROR(INDEX(Calc!$J:$J,MATCH(IF(A69="","",TEXT(A69,"YYYYMMDD")&amp;"|Carousel"),Calc!$AL:$AL,0)),""))</f>
        <v/>
      </c>
      <c r="H69" s="61" t="str">
        <f t="array" ref="H69">IF(A69="","",IFERROR(INDEX(Calc!$K:$K,MATCH(IF(A69="","",TEXT(A69,"YYYYMMDD")&amp;"|Carousel"),Calc!$AL:$AL,0)),""))</f>
        <v/>
      </c>
      <c r="I69" s="61" t="str">
        <f t="array" ref="I69">IF(A69="","",IFERROR(INDEX(Calc!$L:$L,MATCH(IF(A69="","",TEXT(A69,"YYYYMMDD")&amp;"|Carousel"),Calc!$AL:$AL,0)),""))</f>
        <v/>
      </c>
      <c r="J69" s="61" t="str">
        <f t="array" ref="J69">IF(A69="","",IFERROR(INDEX(Calc!$M:$M,MATCH(IF(A69="","",TEXT(A69,"YYYYMMDD")&amp;"|Carousel"),Calc!$AL:$AL,0)),""))</f>
        <v/>
      </c>
      <c r="K69" s="61" t="str">
        <f t="array" ref="K69">IF(A69="","",IFERROR(INDEX(Calc!$N:$N,MATCH(IF(A69="","",TEXT(A69,"YYYYMMDD")&amp;"|Carousel"),Calc!$AL:$AL,0)),""))</f>
        <v/>
      </c>
      <c r="L69" s="62" t="str">
        <f t="array" ref="L69">IF(A69="","",IFERROR(INDEX(Calc!$AH:$AH,MATCH(IF(A69="","",TEXT(A69,"YYYYMMDD")&amp;"|Carousel"),Calc!$AL:$AL,0)),""))</f>
        <v/>
      </c>
    </row>
    <row r="70" ht="15.75" customHeight="1">
      <c r="A70" s="59" t="str">
        <f>IFERROR(AGGREGATE(14,6,(Calc!$B$2:$B$501)/((Calc!$AK$2:$AK$501=1)*(Calc!$G$2:$G$501="Carousel")),59),"")</f>
        <v/>
      </c>
      <c r="B70" s="60" t="str">
        <f t="array" ref="B70">IF(A70="","",IFERROR(INDEX(Calc!$E:$E,MATCH(IF(A70="","",TEXT(A70,"YYYYMMDD")&amp;"|Carousel"),Calc!$AL:$AL,0)),""))</f>
        <v/>
      </c>
      <c r="C70" s="60" t="str">
        <f t="array" ref="C70">IF(A70="","",IFERROR(INDEX(Calc!$D:$D,MATCH(IF(A70="","",TEXT(A70,"YYYYMMDD")&amp;"|Carousel"),Calc!$AL:$AL,0)),""))</f>
        <v/>
      </c>
      <c r="D70" s="60" t="str">
        <f t="array" ref="D70">IF(A70="","",IFERROR(INDEX(Calc!$F:$F,MATCH(IF(A70="","",TEXT(A70,"YYYYMMDD")&amp;"|Carousel"),Calc!$AL:$AL,0)),""))</f>
        <v/>
      </c>
      <c r="E70" s="60" t="str">
        <f t="array" ref="E70">IF(A70="","",IFERROR(INDEX(Calc!$H:$H,MATCH(IF(A70="","",TEXT(A70,"YYYYMMDD")&amp;"|Carousel"),Calc!$AL:$AL,0)),""))</f>
        <v/>
      </c>
      <c r="F70" s="61" t="str">
        <f t="array" ref="F70">IF(A70="","",IFERROR(INDEX(Calc!$I:$I,MATCH(IF(A70="","",TEXT(A70,"YYYYMMDD")&amp;"|Carousel"),Calc!$AL:$AL,0)),""))</f>
        <v/>
      </c>
      <c r="G70" s="61" t="str">
        <f t="array" ref="G70">IF(A70="","",IFERROR(INDEX(Calc!$J:$J,MATCH(IF(A70="","",TEXT(A70,"YYYYMMDD")&amp;"|Carousel"),Calc!$AL:$AL,0)),""))</f>
        <v/>
      </c>
      <c r="H70" s="61" t="str">
        <f t="array" ref="H70">IF(A70="","",IFERROR(INDEX(Calc!$K:$K,MATCH(IF(A70="","",TEXT(A70,"YYYYMMDD")&amp;"|Carousel"),Calc!$AL:$AL,0)),""))</f>
        <v/>
      </c>
      <c r="I70" s="61" t="str">
        <f t="array" ref="I70">IF(A70="","",IFERROR(INDEX(Calc!$L:$L,MATCH(IF(A70="","",TEXT(A70,"YYYYMMDD")&amp;"|Carousel"),Calc!$AL:$AL,0)),""))</f>
        <v/>
      </c>
      <c r="J70" s="61" t="str">
        <f t="array" ref="J70">IF(A70="","",IFERROR(INDEX(Calc!$M:$M,MATCH(IF(A70="","",TEXT(A70,"YYYYMMDD")&amp;"|Carousel"),Calc!$AL:$AL,0)),""))</f>
        <v/>
      </c>
      <c r="K70" s="61" t="str">
        <f t="array" ref="K70">IF(A70="","",IFERROR(INDEX(Calc!$N:$N,MATCH(IF(A70="","",TEXT(A70,"YYYYMMDD")&amp;"|Carousel"),Calc!$AL:$AL,0)),""))</f>
        <v/>
      </c>
      <c r="L70" s="62" t="str">
        <f t="array" ref="L70">IF(A70="","",IFERROR(INDEX(Calc!$AH:$AH,MATCH(IF(A70="","",TEXT(A70,"YYYYMMDD")&amp;"|Carousel"),Calc!$AL:$AL,0)),""))</f>
        <v/>
      </c>
    </row>
    <row r="71" ht="15.75" customHeight="1">
      <c r="A71" s="59" t="str">
        <f>IFERROR(AGGREGATE(14,6,(Calc!$B$2:$B$501)/((Calc!$AK$2:$AK$501=1)*(Calc!$G$2:$G$501="Carousel")),60),"")</f>
        <v/>
      </c>
      <c r="B71" s="60" t="str">
        <f t="array" ref="B71">IF(A71="","",IFERROR(INDEX(Calc!$E:$E,MATCH(IF(A71="","",TEXT(A71,"YYYYMMDD")&amp;"|Carousel"),Calc!$AL:$AL,0)),""))</f>
        <v/>
      </c>
      <c r="C71" s="60" t="str">
        <f t="array" ref="C71">IF(A71="","",IFERROR(INDEX(Calc!$D:$D,MATCH(IF(A71="","",TEXT(A71,"YYYYMMDD")&amp;"|Carousel"),Calc!$AL:$AL,0)),""))</f>
        <v/>
      </c>
      <c r="D71" s="60" t="str">
        <f t="array" ref="D71">IF(A71="","",IFERROR(INDEX(Calc!$F:$F,MATCH(IF(A71="","",TEXT(A71,"YYYYMMDD")&amp;"|Carousel"),Calc!$AL:$AL,0)),""))</f>
        <v/>
      </c>
      <c r="E71" s="60" t="str">
        <f t="array" ref="E71">IF(A71="","",IFERROR(INDEX(Calc!$H:$H,MATCH(IF(A71="","",TEXT(A71,"YYYYMMDD")&amp;"|Carousel"),Calc!$AL:$AL,0)),""))</f>
        <v/>
      </c>
      <c r="F71" s="61" t="str">
        <f t="array" ref="F71">IF(A71="","",IFERROR(INDEX(Calc!$I:$I,MATCH(IF(A71="","",TEXT(A71,"YYYYMMDD")&amp;"|Carousel"),Calc!$AL:$AL,0)),""))</f>
        <v/>
      </c>
      <c r="G71" s="61" t="str">
        <f t="array" ref="G71">IF(A71="","",IFERROR(INDEX(Calc!$J:$J,MATCH(IF(A71="","",TEXT(A71,"YYYYMMDD")&amp;"|Carousel"),Calc!$AL:$AL,0)),""))</f>
        <v/>
      </c>
      <c r="H71" s="61" t="str">
        <f t="array" ref="H71">IF(A71="","",IFERROR(INDEX(Calc!$K:$K,MATCH(IF(A71="","",TEXT(A71,"YYYYMMDD")&amp;"|Carousel"),Calc!$AL:$AL,0)),""))</f>
        <v/>
      </c>
      <c r="I71" s="61" t="str">
        <f t="array" ref="I71">IF(A71="","",IFERROR(INDEX(Calc!$L:$L,MATCH(IF(A71="","",TEXT(A71,"YYYYMMDD")&amp;"|Carousel"),Calc!$AL:$AL,0)),""))</f>
        <v/>
      </c>
      <c r="J71" s="61" t="str">
        <f t="array" ref="J71">IF(A71="","",IFERROR(INDEX(Calc!$M:$M,MATCH(IF(A71="","",TEXT(A71,"YYYYMMDD")&amp;"|Carousel"),Calc!$AL:$AL,0)),""))</f>
        <v/>
      </c>
      <c r="K71" s="61" t="str">
        <f t="array" ref="K71">IF(A71="","",IFERROR(INDEX(Calc!$N:$N,MATCH(IF(A71="","",TEXT(A71,"YYYYMMDD")&amp;"|Carousel"),Calc!$AL:$AL,0)),""))</f>
        <v/>
      </c>
      <c r="L71" s="62" t="str">
        <f t="array" ref="L71">IF(A71="","",IFERROR(INDEX(Calc!$AH:$AH,MATCH(IF(A71="","",TEXT(A71,"YYYYMMDD")&amp;"|Carousel"),Calc!$AL:$AL,0)),""))</f>
        <v/>
      </c>
    </row>
    <row r="72" ht="15.75" customHeight="1"/>
    <row r="73" ht="19.5" customHeight="1">
      <c r="A73" s="21" t="s">
        <v>154</v>
      </c>
      <c r="B73" s="22"/>
      <c r="C73" s="22"/>
      <c r="D73" s="22"/>
      <c r="E73" s="22"/>
      <c r="F73" s="22"/>
      <c r="G73" s="22"/>
      <c r="H73" s="22"/>
      <c r="I73" s="22"/>
      <c r="J73" s="22"/>
      <c r="K73" s="22"/>
      <c r="L73" s="22"/>
      <c r="M73" s="7"/>
    </row>
    <row r="74" ht="15.75" customHeight="1">
      <c r="A74" s="58" t="s">
        <v>39</v>
      </c>
      <c r="B74" s="58" t="s">
        <v>144</v>
      </c>
      <c r="C74" s="58" t="s">
        <v>19</v>
      </c>
      <c r="D74" s="58" t="s">
        <v>45</v>
      </c>
      <c r="E74" s="58" t="s">
        <v>31</v>
      </c>
      <c r="F74" s="58" t="s">
        <v>20</v>
      </c>
      <c r="G74" s="58" t="s">
        <v>48</v>
      </c>
      <c r="H74" s="58" t="s">
        <v>49</v>
      </c>
      <c r="I74" s="58" t="s">
        <v>50</v>
      </c>
      <c r="J74" s="58" t="s">
        <v>51</v>
      </c>
      <c r="K74" s="58" t="s">
        <v>145</v>
      </c>
      <c r="L74" s="58" t="s">
        <v>146</v>
      </c>
    </row>
    <row r="75" ht="15.75" customHeight="1">
      <c r="A75" s="60" t="str">
        <f>IF(IFERROR(AGGREGATE(14,6,(Calc!$AP$2:$AP$501)/((Calc!$AM$2:$AM$501=1)*(Calc!$G$2:$G$501="Carousel")),1),"")="","",LEFT(TEXT(IFERROR(AGGREGATE(14,6,(Calc!$AP$2:$AP$501)/((Calc!$AM$2:$AM$501=1)*(Calc!$G$2:$G$501="Carousel")),1),""),"000000"),4)&amp;"-"&amp;RIGHT(TEXT(IFERROR(AGGREGATE(14,6,(Calc!$AP$2:$AP$501)/((Calc!$AM$2:$AM$501=1)*(Calc!$G$2:$G$501="Carousel")),1),""),"000000"),2))</f>
        <v/>
      </c>
      <c r="B75" s="60" t="str">
        <f t="array" ref="B75">IF(A75="","",IFERROR(INDEX(Calc!$E:$E,MATCH(IF(A75="","",A75&amp;"|Carousel"),Calc!$AN:$AN,0)),""))</f>
        <v/>
      </c>
      <c r="C75" s="60" t="str">
        <f t="array" ref="C75">IF(A75="","",IFERROR(INDEX(Calc!$D:$D,MATCH(IF(A75="","",A75&amp;"|Carousel"),Calc!$AN:$AN,0)),""))</f>
        <v/>
      </c>
      <c r="D75" s="60" t="str">
        <f t="array" ref="D75">IF(A75="","",IFERROR(INDEX(Calc!$F:$F,MATCH(IF(A75="","",A75&amp;"|Carousel"),Calc!$AN:$AN,0)),""))</f>
        <v/>
      </c>
      <c r="E75" s="60" t="str">
        <f t="array" ref="E75">IF(A75="","",IFERROR(INDEX(Calc!$H:$H,MATCH(IF(A75="","",A75&amp;"|Carousel"),Calc!$AN:$AN,0)),""))</f>
        <v/>
      </c>
      <c r="F75" s="61" t="str">
        <f t="array" ref="F75">IF(A75="","",IFERROR(INDEX(Calc!$I:$I,MATCH(IF(A75="","",A75&amp;"|Carousel"),Calc!$AN:$AN,0)),""))</f>
        <v/>
      </c>
      <c r="G75" s="61" t="str">
        <f t="array" ref="G75">IF(A75="","",IFERROR(INDEX(Calc!$J:$J,MATCH(IF(A75="","",A75&amp;"|Carousel"),Calc!$AN:$AN,0)),""))</f>
        <v/>
      </c>
      <c r="H75" s="61" t="str">
        <f t="array" ref="H75">IF(A75="","",IFERROR(INDEX(Calc!$K:$K,MATCH(IF(A75="","",A75&amp;"|Carousel"),Calc!$AN:$AN,0)),""))</f>
        <v/>
      </c>
      <c r="I75" s="61" t="str">
        <f t="array" ref="I75">IF(A75="","",IFERROR(INDEX(Calc!$L:$L,MATCH(IF(A75="","",A75&amp;"|Carousel"),Calc!$AN:$AN,0)),""))</f>
        <v/>
      </c>
      <c r="J75" s="61" t="str">
        <f t="array" ref="J75">IF(A75="","",IFERROR(INDEX(Calc!$M:$M,MATCH(IF(A75="","",A75&amp;"|Carousel"),Calc!$AN:$AN,0)),""))</f>
        <v/>
      </c>
      <c r="K75" s="61" t="str">
        <f t="array" ref="K75">IF(A75="","",IFERROR(INDEX(Calc!$N:$N,MATCH(IF(A75="","",A75&amp;"|Carousel"),Calc!$AN:$AN,0)),""))</f>
        <v/>
      </c>
      <c r="L75" s="62" t="str">
        <f t="array" ref="L75">IF(A75="","",IFERROR(INDEX(Calc!$AI:$AI,MATCH(IF(A75="","",A75&amp;"|Carousel"),Calc!$AN:$AN,0)),""))</f>
        <v/>
      </c>
    </row>
    <row r="76" ht="15.75" customHeight="1">
      <c r="A76" s="60" t="str">
        <f>IF(IFERROR(AGGREGATE(14,6,(Calc!$AP$2:$AP$501)/((Calc!$AM$2:$AM$501=1)*(Calc!$G$2:$G$501="Carousel")),2),"")="","",LEFT(TEXT(IFERROR(AGGREGATE(14,6,(Calc!$AP$2:$AP$501)/((Calc!$AM$2:$AM$501=1)*(Calc!$G$2:$G$501="Carousel")),2),""),"000000"),4)&amp;"-"&amp;RIGHT(TEXT(IFERROR(AGGREGATE(14,6,(Calc!$AP$2:$AP$501)/((Calc!$AM$2:$AM$501=1)*(Calc!$G$2:$G$501="Carousel")),2),""),"000000"),2))</f>
        <v/>
      </c>
      <c r="B76" s="60" t="str">
        <f t="array" ref="B76">IF(A76="","",IFERROR(INDEX(Calc!$E:$E,MATCH(IF(A76="","",A76&amp;"|Carousel"),Calc!$AN:$AN,0)),""))</f>
        <v/>
      </c>
      <c r="C76" s="60" t="str">
        <f t="array" ref="C76">IF(A76="","",IFERROR(INDEX(Calc!$D:$D,MATCH(IF(A76="","",A76&amp;"|Carousel"),Calc!$AN:$AN,0)),""))</f>
        <v/>
      </c>
      <c r="D76" s="60" t="str">
        <f t="array" ref="D76">IF(A76="","",IFERROR(INDEX(Calc!$F:$F,MATCH(IF(A76="","",A76&amp;"|Carousel"),Calc!$AN:$AN,0)),""))</f>
        <v/>
      </c>
      <c r="E76" s="60" t="str">
        <f t="array" ref="E76">IF(A76="","",IFERROR(INDEX(Calc!$H:$H,MATCH(IF(A76="","",A76&amp;"|Carousel"),Calc!$AN:$AN,0)),""))</f>
        <v/>
      </c>
      <c r="F76" s="61" t="str">
        <f t="array" ref="F76">IF(A76="","",IFERROR(INDEX(Calc!$I:$I,MATCH(IF(A76="","",A76&amp;"|Carousel"),Calc!$AN:$AN,0)),""))</f>
        <v/>
      </c>
      <c r="G76" s="61" t="str">
        <f t="array" ref="G76">IF(A76="","",IFERROR(INDEX(Calc!$J:$J,MATCH(IF(A76="","",A76&amp;"|Carousel"),Calc!$AN:$AN,0)),""))</f>
        <v/>
      </c>
      <c r="H76" s="61" t="str">
        <f t="array" ref="H76">IF(A76="","",IFERROR(INDEX(Calc!$K:$K,MATCH(IF(A76="","",A76&amp;"|Carousel"),Calc!$AN:$AN,0)),""))</f>
        <v/>
      </c>
      <c r="I76" s="61" t="str">
        <f t="array" ref="I76">IF(A76="","",IFERROR(INDEX(Calc!$L:$L,MATCH(IF(A76="","",A76&amp;"|Carousel"),Calc!$AN:$AN,0)),""))</f>
        <v/>
      </c>
      <c r="J76" s="61" t="str">
        <f t="array" ref="J76">IF(A76="","",IFERROR(INDEX(Calc!$M:$M,MATCH(IF(A76="","",A76&amp;"|Carousel"),Calc!$AN:$AN,0)),""))</f>
        <v/>
      </c>
      <c r="K76" s="61" t="str">
        <f t="array" ref="K76">IF(A76="","",IFERROR(INDEX(Calc!$N:$N,MATCH(IF(A76="","",A76&amp;"|Carousel"),Calc!$AN:$AN,0)),""))</f>
        <v/>
      </c>
      <c r="L76" s="62" t="str">
        <f t="array" ref="L76">IF(A76="","",IFERROR(INDEX(Calc!$AI:$AI,MATCH(IF(A76="","",A76&amp;"|Carousel"),Calc!$AN:$AN,0)),""))</f>
        <v/>
      </c>
    </row>
    <row r="77" ht="15.75" customHeight="1">
      <c r="A77" s="60" t="str">
        <f>IF(IFERROR(AGGREGATE(14,6,(Calc!$AP$2:$AP$501)/((Calc!$AM$2:$AM$501=1)*(Calc!$G$2:$G$501="Carousel")),3),"")="","",LEFT(TEXT(IFERROR(AGGREGATE(14,6,(Calc!$AP$2:$AP$501)/((Calc!$AM$2:$AM$501=1)*(Calc!$G$2:$G$501="Carousel")),3),""),"000000"),4)&amp;"-"&amp;RIGHT(TEXT(IFERROR(AGGREGATE(14,6,(Calc!$AP$2:$AP$501)/((Calc!$AM$2:$AM$501=1)*(Calc!$G$2:$G$501="Carousel")),3),""),"000000"),2))</f>
        <v/>
      </c>
      <c r="B77" s="60" t="str">
        <f t="array" ref="B77">IF(A77="","",IFERROR(INDEX(Calc!$E:$E,MATCH(IF(A77="","",A77&amp;"|Carousel"),Calc!$AN:$AN,0)),""))</f>
        <v/>
      </c>
      <c r="C77" s="60" t="str">
        <f t="array" ref="C77">IF(A77="","",IFERROR(INDEX(Calc!$D:$D,MATCH(IF(A77="","",A77&amp;"|Carousel"),Calc!$AN:$AN,0)),""))</f>
        <v/>
      </c>
      <c r="D77" s="60" t="str">
        <f t="array" ref="D77">IF(A77="","",IFERROR(INDEX(Calc!$F:$F,MATCH(IF(A77="","",A77&amp;"|Carousel"),Calc!$AN:$AN,0)),""))</f>
        <v/>
      </c>
      <c r="E77" s="60" t="str">
        <f t="array" ref="E77">IF(A77="","",IFERROR(INDEX(Calc!$H:$H,MATCH(IF(A77="","",A77&amp;"|Carousel"),Calc!$AN:$AN,0)),""))</f>
        <v/>
      </c>
      <c r="F77" s="61" t="str">
        <f t="array" ref="F77">IF(A77="","",IFERROR(INDEX(Calc!$I:$I,MATCH(IF(A77="","",A77&amp;"|Carousel"),Calc!$AN:$AN,0)),""))</f>
        <v/>
      </c>
      <c r="G77" s="61" t="str">
        <f t="array" ref="G77">IF(A77="","",IFERROR(INDEX(Calc!$J:$J,MATCH(IF(A77="","",A77&amp;"|Carousel"),Calc!$AN:$AN,0)),""))</f>
        <v/>
      </c>
      <c r="H77" s="61" t="str">
        <f t="array" ref="H77">IF(A77="","",IFERROR(INDEX(Calc!$K:$K,MATCH(IF(A77="","",A77&amp;"|Carousel"),Calc!$AN:$AN,0)),""))</f>
        <v/>
      </c>
      <c r="I77" s="61" t="str">
        <f t="array" ref="I77">IF(A77="","",IFERROR(INDEX(Calc!$L:$L,MATCH(IF(A77="","",A77&amp;"|Carousel"),Calc!$AN:$AN,0)),""))</f>
        <v/>
      </c>
      <c r="J77" s="61" t="str">
        <f t="array" ref="J77">IF(A77="","",IFERROR(INDEX(Calc!$M:$M,MATCH(IF(A77="","",A77&amp;"|Carousel"),Calc!$AN:$AN,0)),""))</f>
        <v/>
      </c>
      <c r="K77" s="61" t="str">
        <f t="array" ref="K77">IF(A77="","",IFERROR(INDEX(Calc!$N:$N,MATCH(IF(A77="","",A77&amp;"|Carousel"),Calc!$AN:$AN,0)),""))</f>
        <v/>
      </c>
      <c r="L77" s="62" t="str">
        <f t="array" ref="L77">IF(A77="","",IFERROR(INDEX(Calc!$AI:$AI,MATCH(IF(A77="","",A77&amp;"|Carousel"),Calc!$AN:$AN,0)),""))</f>
        <v/>
      </c>
    </row>
    <row r="78" ht="15.75" customHeight="1">
      <c r="A78" s="60" t="str">
        <f>IF(IFERROR(AGGREGATE(14,6,(Calc!$AP$2:$AP$501)/((Calc!$AM$2:$AM$501=1)*(Calc!$G$2:$G$501="Carousel")),4),"")="","",LEFT(TEXT(IFERROR(AGGREGATE(14,6,(Calc!$AP$2:$AP$501)/((Calc!$AM$2:$AM$501=1)*(Calc!$G$2:$G$501="Carousel")),4),""),"000000"),4)&amp;"-"&amp;RIGHT(TEXT(IFERROR(AGGREGATE(14,6,(Calc!$AP$2:$AP$501)/((Calc!$AM$2:$AM$501=1)*(Calc!$G$2:$G$501="Carousel")),4),""),"000000"),2))</f>
        <v/>
      </c>
      <c r="B78" s="60" t="str">
        <f t="array" ref="B78">IF(A78="","",IFERROR(INDEX(Calc!$E:$E,MATCH(IF(A78="","",A78&amp;"|Carousel"),Calc!$AN:$AN,0)),""))</f>
        <v/>
      </c>
      <c r="C78" s="60" t="str">
        <f t="array" ref="C78">IF(A78="","",IFERROR(INDEX(Calc!$D:$D,MATCH(IF(A78="","",A78&amp;"|Carousel"),Calc!$AN:$AN,0)),""))</f>
        <v/>
      </c>
      <c r="D78" s="60" t="str">
        <f t="array" ref="D78">IF(A78="","",IFERROR(INDEX(Calc!$F:$F,MATCH(IF(A78="","",A78&amp;"|Carousel"),Calc!$AN:$AN,0)),""))</f>
        <v/>
      </c>
      <c r="E78" s="60" t="str">
        <f t="array" ref="E78">IF(A78="","",IFERROR(INDEX(Calc!$H:$H,MATCH(IF(A78="","",A78&amp;"|Carousel"),Calc!$AN:$AN,0)),""))</f>
        <v/>
      </c>
      <c r="F78" s="61" t="str">
        <f t="array" ref="F78">IF(A78="","",IFERROR(INDEX(Calc!$I:$I,MATCH(IF(A78="","",A78&amp;"|Carousel"),Calc!$AN:$AN,0)),""))</f>
        <v/>
      </c>
      <c r="G78" s="61" t="str">
        <f t="array" ref="G78">IF(A78="","",IFERROR(INDEX(Calc!$J:$J,MATCH(IF(A78="","",A78&amp;"|Carousel"),Calc!$AN:$AN,0)),""))</f>
        <v/>
      </c>
      <c r="H78" s="61" t="str">
        <f t="array" ref="H78">IF(A78="","",IFERROR(INDEX(Calc!$K:$K,MATCH(IF(A78="","",A78&amp;"|Carousel"),Calc!$AN:$AN,0)),""))</f>
        <v/>
      </c>
      <c r="I78" s="61" t="str">
        <f t="array" ref="I78">IF(A78="","",IFERROR(INDEX(Calc!$L:$L,MATCH(IF(A78="","",A78&amp;"|Carousel"),Calc!$AN:$AN,0)),""))</f>
        <v/>
      </c>
      <c r="J78" s="61" t="str">
        <f t="array" ref="J78">IF(A78="","",IFERROR(INDEX(Calc!$M:$M,MATCH(IF(A78="","",A78&amp;"|Carousel"),Calc!$AN:$AN,0)),""))</f>
        <v/>
      </c>
      <c r="K78" s="61" t="str">
        <f t="array" ref="K78">IF(A78="","",IFERROR(INDEX(Calc!$N:$N,MATCH(IF(A78="","",A78&amp;"|Carousel"),Calc!$AN:$AN,0)),""))</f>
        <v/>
      </c>
      <c r="L78" s="62" t="str">
        <f t="array" ref="L78">IF(A78="","",IFERROR(INDEX(Calc!$AI:$AI,MATCH(IF(A78="","",A78&amp;"|Carousel"),Calc!$AN:$AN,0)),""))</f>
        <v/>
      </c>
    </row>
    <row r="79" ht="15.75" customHeight="1">
      <c r="A79" s="60" t="str">
        <f>IF(IFERROR(AGGREGATE(14,6,(Calc!$AP$2:$AP$501)/((Calc!$AM$2:$AM$501=1)*(Calc!$G$2:$G$501="Carousel")),5),"")="","",LEFT(TEXT(IFERROR(AGGREGATE(14,6,(Calc!$AP$2:$AP$501)/((Calc!$AM$2:$AM$501=1)*(Calc!$G$2:$G$501="Carousel")),5),""),"000000"),4)&amp;"-"&amp;RIGHT(TEXT(IFERROR(AGGREGATE(14,6,(Calc!$AP$2:$AP$501)/((Calc!$AM$2:$AM$501=1)*(Calc!$G$2:$G$501="Carousel")),5),""),"000000"),2))</f>
        <v/>
      </c>
      <c r="B79" s="60" t="str">
        <f t="array" ref="B79">IF(A79="","",IFERROR(INDEX(Calc!$E:$E,MATCH(IF(A79="","",A79&amp;"|Carousel"),Calc!$AN:$AN,0)),""))</f>
        <v/>
      </c>
      <c r="C79" s="60" t="str">
        <f t="array" ref="C79">IF(A79="","",IFERROR(INDEX(Calc!$D:$D,MATCH(IF(A79="","",A79&amp;"|Carousel"),Calc!$AN:$AN,0)),""))</f>
        <v/>
      </c>
      <c r="D79" s="60" t="str">
        <f t="array" ref="D79">IF(A79="","",IFERROR(INDEX(Calc!$F:$F,MATCH(IF(A79="","",A79&amp;"|Carousel"),Calc!$AN:$AN,0)),""))</f>
        <v/>
      </c>
      <c r="E79" s="60" t="str">
        <f t="array" ref="E79">IF(A79="","",IFERROR(INDEX(Calc!$H:$H,MATCH(IF(A79="","",A79&amp;"|Carousel"),Calc!$AN:$AN,0)),""))</f>
        <v/>
      </c>
      <c r="F79" s="61" t="str">
        <f t="array" ref="F79">IF(A79="","",IFERROR(INDEX(Calc!$I:$I,MATCH(IF(A79="","",A79&amp;"|Carousel"),Calc!$AN:$AN,0)),""))</f>
        <v/>
      </c>
      <c r="G79" s="61" t="str">
        <f t="array" ref="G79">IF(A79="","",IFERROR(INDEX(Calc!$J:$J,MATCH(IF(A79="","",A79&amp;"|Carousel"),Calc!$AN:$AN,0)),""))</f>
        <v/>
      </c>
      <c r="H79" s="61" t="str">
        <f t="array" ref="H79">IF(A79="","",IFERROR(INDEX(Calc!$K:$K,MATCH(IF(A79="","",A79&amp;"|Carousel"),Calc!$AN:$AN,0)),""))</f>
        <v/>
      </c>
      <c r="I79" s="61" t="str">
        <f t="array" ref="I79">IF(A79="","",IFERROR(INDEX(Calc!$L:$L,MATCH(IF(A79="","",A79&amp;"|Carousel"),Calc!$AN:$AN,0)),""))</f>
        <v/>
      </c>
      <c r="J79" s="61" t="str">
        <f t="array" ref="J79">IF(A79="","",IFERROR(INDEX(Calc!$M:$M,MATCH(IF(A79="","",A79&amp;"|Carousel"),Calc!$AN:$AN,0)),""))</f>
        <v/>
      </c>
      <c r="K79" s="61" t="str">
        <f t="array" ref="K79">IF(A79="","",IFERROR(INDEX(Calc!$N:$N,MATCH(IF(A79="","",A79&amp;"|Carousel"),Calc!$AN:$AN,0)),""))</f>
        <v/>
      </c>
      <c r="L79" s="62" t="str">
        <f t="array" ref="L79">IF(A79="","",IFERROR(INDEX(Calc!$AI:$AI,MATCH(IF(A79="","",A79&amp;"|Carousel"),Calc!$AN:$AN,0)),""))</f>
        <v/>
      </c>
    </row>
    <row r="80" ht="15.75" customHeight="1">
      <c r="A80" s="60" t="str">
        <f>IF(IFERROR(AGGREGATE(14,6,(Calc!$AP$2:$AP$501)/((Calc!$AM$2:$AM$501=1)*(Calc!$G$2:$G$501="Carousel")),6),"")="","",LEFT(TEXT(IFERROR(AGGREGATE(14,6,(Calc!$AP$2:$AP$501)/((Calc!$AM$2:$AM$501=1)*(Calc!$G$2:$G$501="Carousel")),6),""),"000000"),4)&amp;"-"&amp;RIGHT(TEXT(IFERROR(AGGREGATE(14,6,(Calc!$AP$2:$AP$501)/((Calc!$AM$2:$AM$501=1)*(Calc!$G$2:$G$501="Carousel")),6),""),"000000"),2))</f>
        <v/>
      </c>
      <c r="B80" s="60" t="str">
        <f t="array" ref="B80">IF(A80="","",IFERROR(INDEX(Calc!$E:$E,MATCH(IF(A80="","",A80&amp;"|Carousel"),Calc!$AN:$AN,0)),""))</f>
        <v/>
      </c>
      <c r="C80" s="60" t="str">
        <f t="array" ref="C80">IF(A80="","",IFERROR(INDEX(Calc!$D:$D,MATCH(IF(A80="","",A80&amp;"|Carousel"),Calc!$AN:$AN,0)),""))</f>
        <v/>
      </c>
      <c r="D80" s="60" t="str">
        <f t="array" ref="D80">IF(A80="","",IFERROR(INDEX(Calc!$F:$F,MATCH(IF(A80="","",A80&amp;"|Carousel"),Calc!$AN:$AN,0)),""))</f>
        <v/>
      </c>
      <c r="E80" s="60" t="str">
        <f t="array" ref="E80">IF(A80="","",IFERROR(INDEX(Calc!$H:$H,MATCH(IF(A80="","",A80&amp;"|Carousel"),Calc!$AN:$AN,0)),""))</f>
        <v/>
      </c>
      <c r="F80" s="61" t="str">
        <f t="array" ref="F80">IF(A80="","",IFERROR(INDEX(Calc!$I:$I,MATCH(IF(A80="","",A80&amp;"|Carousel"),Calc!$AN:$AN,0)),""))</f>
        <v/>
      </c>
      <c r="G80" s="61" t="str">
        <f t="array" ref="G80">IF(A80="","",IFERROR(INDEX(Calc!$J:$J,MATCH(IF(A80="","",A80&amp;"|Carousel"),Calc!$AN:$AN,0)),""))</f>
        <v/>
      </c>
      <c r="H80" s="61" t="str">
        <f t="array" ref="H80">IF(A80="","",IFERROR(INDEX(Calc!$K:$K,MATCH(IF(A80="","",A80&amp;"|Carousel"),Calc!$AN:$AN,0)),""))</f>
        <v/>
      </c>
      <c r="I80" s="61" t="str">
        <f t="array" ref="I80">IF(A80="","",IFERROR(INDEX(Calc!$L:$L,MATCH(IF(A80="","",A80&amp;"|Carousel"),Calc!$AN:$AN,0)),""))</f>
        <v/>
      </c>
      <c r="J80" s="61" t="str">
        <f t="array" ref="J80">IF(A80="","",IFERROR(INDEX(Calc!$M:$M,MATCH(IF(A80="","",A80&amp;"|Carousel"),Calc!$AN:$AN,0)),""))</f>
        <v/>
      </c>
      <c r="K80" s="61" t="str">
        <f t="array" ref="K80">IF(A80="","",IFERROR(INDEX(Calc!$N:$N,MATCH(IF(A80="","",A80&amp;"|Carousel"),Calc!$AN:$AN,0)),""))</f>
        <v/>
      </c>
      <c r="L80" s="62" t="str">
        <f t="array" ref="L80">IF(A80="","",IFERROR(INDEX(Calc!$AI:$AI,MATCH(IF(A80="","",A80&amp;"|Carousel"),Calc!$AN:$AN,0)),""))</f>
        <v/>
      </c>
    </row>
    <row r="81" ht="15.75" customHeight="1">
      <c r="A81" s="60" t="str">
        <f>IF(IFERROR(AGGREGATE(14,6,(Calc!$AP$2:$AP$501)/((Calc!$AM$2:$AM$501=1)*(Calc!$G$2:$G$501="Carousel")),7),"")="","",LEFT(TEXT(IFERROR(AGGREGATE(14,6,(Calc!$AP$2:$AP$501)/((Calc!$AM$2:$AM$501=1)*(Calc!$G$2:$G$501="Carousel")),7),""),"000000"),4)&amp;"-"&amp;RIGHT(TEXT(IFERROR(AGGREGATE(14,6,(Calc!$AP$2:$AP$501)/((Calc!$AM$2:$AM$501=1)*(Calc!$G$2:$G$501="Carousel")),7),""),"000000"),2))</f>
        <v/>
      </c>
      <c r="B81" s="60" t="str">
        <f t="array" ref="B81">IF(A81="","",IFERROR(INDEX(Calc!$E:$E,MATCH(IF(A81="","",A81&amp;"|Carousel"),Calc!$AN:$AN,0)),""))</f>
        <v/>
      </c>
      <c r="C81" s="60" t="str">
        <f t="array" ref="C81">IF(A81="","",IFERROR(INDEX(Calc!$D:$D,MATCH(IF(A81="","",A81&amp;"|Carousel"),Calc!$AN:$AN,0)),""))</f>
        <v/>
      </c>
      <c r="D81" s="60" t="str">
        <f t="array" ref="D81">IF(A81="","",IFERROR(INDEX(Calc!$F:$F,MATCH(IF(A81="","",A81&amp;"|Carousel"),Calc!$AN:$AN,0)),""))</f>
        <v/>
      </c>
      <c r="E81" s="60" t="str">
        <f t="array" ref="E81">IF(A81="","",IFERROR(INDEX(Calc!$H:$H,MATCH(IF(A81="","",A81&amp;"|Carousel"),Calc!$AN:$AN,0)),""))</f>
        <v/>
      </c>
      <c r="F81" s="61" t="str">
        <f t="array" ref="F81">IF(A81="","",IFERROR(INDEX(Calc!$I:$I,MATCH(IF(A81="","",A81&amp;"|Carousel"),Calc!$AN:$AN,0)),""))</f>
        <v/>
      </c>
      <c r="G81" s="61" t="str">
        <f t="array" ref="G81">IF(A81="","",IFERROR(INDEX(Calc!$J:$J,MATCH(IF(A81="","",A81&amp;"|Carousel"),Calc!$AN:$AN,0)),""))</f>
        <v/>
      </c>
      <c r="H81" s="61" t="str">
        <f t="array" ref="H81">IF(A81="","",IFERROR(INDEX(Calc!$K:$K,MATCH(IF(A81="","",A81&amp;"|Carousel"),Calc!$AN:$AN,0)),""))</f>
        <v/>
      </c>
      <c r="I81" s="61" t="str">
        <f t="array" ref="I81">IF(A81="","",IFERROR(INDEX(Calc!$L:$L,MATCH(IF(A81="","",A81&amp;"|Carousel"),Calc!$AN:$AN,0)),""))</f>
        <v/>
      </c>
      <c r="J81" s="61" t="str">
        <f t="array" ref="J81">IF(A81="","",IFERROR(INDEX(Calc!$M:$M,MATCH(IF(A81="","",A81&amp;"|Carousel"),Calc!$AN:$AN,0)),""))</f>
        <v/>
      </c>
      <c r="K81" s="61" t="str">
        <f t="array" ref="K81">IF(A81="","",IFERROR(INDEX(Calc!$N:$N,MATCH(IF(A81="","",A81&amp;"|Carousel"),Calc!$AN:$AN,0)),""))</f>
        <v/>
      </c>
      <c r="L81" s="62" t="str">
        <f t="array" ref="L81">IF(A81="","",IFERROR(INDEX(Calc!$AI:$AI,MATCH(IF(A81="","",A81&amp;"|Carousel"),Calc!$AN:$AN,0)),""))</f>
        <v/>
      </c>
    </row>
    <row r="82" ht="15.75" customHeight="1">
      <c r="A82" s="60" t="str">
        <f>IF(IFERROR(AGGREGATE(14,6,(Calc!$AP$2:$AP$501)/((Calc!$AM$2:$AM$501=1)*(Calc!$G$2:$G$501="Carousel")),8),"")="","",LEFT(TEXT(IFERROR(AGGREGATE(14,6,(Calc!$AP$2:$AP$501)/((Calc!$AM$2:$AM$501=1)*(Calc!$G$2:$G$501="Carousel")),8),""),"000000"),4)&amp;"-"&amp;RIGHT(TEXT(IFERROR(AGGREGATE(14,6,(Calc!$AP$2:$AP$501)/((Calc!$AM$2:$AM$501=1)*(Calc!$G$2:$G$501="Carousel")),8),""),"000000"),2))</f>
        <v/>
      </c>
      <c r="B82" s="60" t="str">
        <f t="array" ref="B82">IF(A82="","",IFERROR(INDEX(Calc!$E:$E,MATCH(IF(A82="","",A82&amp;"|Carousel"),Calc!$AN:$AN,0)),""))</f>
        <v/>
      </c>
      <c r="C82" s="60" t="str">
        <f t="array" ref="C82">IF(A82="","",IFERROR(INDEX(Calc!$D:$D,MATCH(IF(A82="","",A82&amp;"|Carousel"),Calc!$AN:$AN,0)),""))</f>
        <v/>
      </c>
      <c r="D82" s="60" t="str">
        <f t="array" ref="D82">IF(A82="","",IFERROR(INDEX(Calc!$F:$F,MATCH(IF(A82="","",A82&amp;"|Carousel"),Calc!$AN:$AN,0)),""))</f>
        <v/>
      </c>
      <c r="E82" s="60" t="str">
        <f t="array" ref="E82">IF(A82="","",IFERROR(INDEX(Calc!$H:$H,MATCH(IF(A82="","",A82&amp;"|Carousel"),Calc!$AN:$AN,0)),""))</f>
        <v/>
      </c>
      <c r="F82" s="61" t="str">
        <f t="array" ref="F82">IF(A82="","",IFERROR(INDEX(Calc!$I:$I,MATCH(IF(A82="","",A82&amp;"|Carousel"),Calc!$AN:$AN,0)),""))</f>
        <v/>
      </c>
      <c r="G82" s="61" t="str">
        <f t="array" ref="G82">IF(A82="","",IFERROR(INDEX(Calc!$J:$J,MATCH(IF(A82="","",A82&amp;"|Carousel"),Calc!$AN:$AN,0)),""))</f>
        <v/>
      </c>
      <c r="H82" s="61" t="str">
        <f t="array" ref="H82">IF(A82="","",IFERROR(INDEX(Calc!$K:$K,MATCH(IF(A82="","",A82&amp;"|Carousel"),Calc!$AN:$AN,0)),""))</f>
        <v/>
      </c>
      <c r="I82" s="61" t="str">
        <f t="array" ref="I82">IF(A82="","",IFERROR(INDEX(Calc!$L:$L,MATCH(IF(A82="","",A82&amp;"|Carousel"),Calc!$AN:$AN,0)),""))</f>
        <v/>
      </c>
      <c r="J82" s="61" t="str">
        <f t="array" ref="J82">IF(A82="","",IFERROR(INDEX(Calc!$M:$M,MATCH(IF(A82="","",A82&amp;"|Carousel"),Calc!$AN:$AN,0)),""))</f>
        <v/>
      </c>
      <c r="K82" s="61" t="str">
        <f t="array" ref="K82">IF(A82="","",IFERROR(INDEX(Calc!$N:$N,MATCH(IF(A82="","",A82&amp;"|Carousel"),Calc!$AN:$AN,0)),""))</f>
        <v/>
      </c>
      <c r="L82" s="62" t="str">
        <f t="array" ref="L82">IF(A82="","",IFERROR(INDEX(Calc!$AI:$AI,MATCH(IF(A82="","",A82&amp;"|Carousel"),Calc!$AN:$AN,0)),""))</f>
        <v/>
      </c>
    </row>
    <row r="83" ht="15.75" customHeight="1">
      <c r="A83" s="60" t="str">
        <f>IF(IFERROR(AGGREGATE(14,6,(Calc!$AP$2:$AP$501)/((Calc!$AM$2:$AM$501=1)*(Calc!$G$2:$G$501="Carousel")),9),"")="","",LEFT(TEXT(IFERROR(AGGREGATE(14,6,(Calc!$AP$2:$AP$501)/((Calc!$AM$2:$AM$501=1)*(Calc!$G$2:$G$501="Carousel")),9),""),"000000"),4)&amp;"-"&amp;RIGHT(TEXT(IFERROR(AGGREGATE(14,6,(Calc!$AP$2:$AP$501)/((Calc!$AM$2:$AM$501=1)*(Calc!$G$2:$G$501="Carousel")),9),""),"000000"),2))</f>
        <v/>
      </c>
      <c r="B83" s="60" t="str">
        <f t="array" ref="B83">IF(A83="","",IFERROR(INDEX(Calc!$E:$E,MATCH(IF(A83="","",A83&amp;"|Carousel"),Calc!$AN:$AN,0)),""))</f>
        <v/>
      </c>
      <c r="C83" s="60" t="str">
        <f t="array" ref="C83">IF(A83="","",IFERROR(INDEX(Calc!$D:$D,MATCH(IF(A83="","",A83&amp;"|Carousel"),Calc!$AN:$AN,0)),""))</f>
        <v/>
      </c>
      <c r="D83" s="60" t="str">
        <f t="array" ref="D83">IF(A83="","",IFERROR(INDEX(Calc!$F:$F,MATCH(IF(A83="","",A83&amp;"|Carousel"),Calc!$AN:$AN,0)),""))</f>
        <v/>
      </c>
      <c r="E83" s="60" t="str">
        <f t="array" ref="E83">IF(A83="","",IFERROR(INDEX(Calc!$H:$H,MATCH(IF(A83="","",A83&amp;"|Carousel"),Calc!$AN:$AN,0)),""))</f>
        <v/>
      </c>
      <c r="F83" s="61" t="str">
        <f t="array" ref="F83">IF(A83="","",IFERROR(INDEX(Calc!$I:$I,MATCH(IF(A83="","",A83&amp;"|Carousel"),Calc!$AN:$AN,0)),""))</f>
        <v/>
      </c>
      <c r="G83" s="61" t="str">
        <f t="array" ref="G83">IF(A83="","",IFERROR(INDEX(Calc!$J:$J,MATCH(IF(A83="","",A83&amp;"|Carousel"),Calc!$AN:$AN,0)),""))</f>
        <v/>
      </c>
      <c r="H83" s="61" t="str">
        <f t="array" ref="H83">IF(A83="","",IFERROR(INDEX(Calc!$K:$K,MATCH(IF(A83="","",A83&amp;"|Carousel"),Calc!$AN:$AN,0)),""))</f>
        <v/>
      </c>
      <c r="I83" s="61" t="str">
        <f t="array" ref="I83">IF(A83="","",IFERROR(INDEX(Calc!$L:$L,MATCH(IF(A83="","",A83&amp;"|Carousel"),Calc!$AN:$AN,0)),""))</f>
        <v/>
      </c>
      <c r="J83" s="61" t="str">
        <f t="array" ref="J83">IF(A83="","",IFERROR(INDEX(Calc!$M:$M,MATCH(IF(A83="","",A83&amp;"|Carousel"),Calc!$AN:$AN,0)),""))</f>
        <v/>
      </c>
      <c r="K83" s="61" t="str">
        <f t="array" ref="K83">IF(A83="","",IFERROR(INDEX(Calc!$N:$N,MATCH(IF(A83="","",A83&amp;"|Carousel"),Calc!$AN:$AN,0)),""))</f>
        <v/>
      </c>
      <c r="L83" s="62" t="str">
        <f t="array" ref="L83">IF(A83="","",IFERROR(INDEX(Calc!$AI:$AI,MATCH(IF(A83="","",A83&amp;"|Carousel"),Calc!$AN:$AN,0)),""))</f>
        <v/>
      </c>
    </row>
    <row r="84" ht="15.75" customHeight="1">
      <c r="A84" s="60" t="str">
        <f>IF(IFERROR(AGGREGATE(14,6,(Calc!$AP$2:$AP$501)/((Calc!$AM$2:$AM$501=1)*(Calc!$G$2:$G$501="Carousel")),10),"")="","",LEFT(TEXT(IFERROR(AGGREGATE(14,6,(Calc!$AP$2:$AP$501)/((Calc!$AM$2:$AM$501=1)*(Calc!$G$2:$G$501="Carousel")),10),""),"000000"),4)&amp;"-"&amp;RIGHT(TEXT(IFERROR(AGGREGATE(14,6,(Calc!$AP$2:$AP$501)/((Calc!$AM$2:$AM$501=1)*(Calc!$G$2:$G$501="Carousel")),10),""),"000000"),2))</f>
        <v/>
      </c>
      <c r="B84" s="60" t="str">
        <f t="array" ref="B84">IF(A84="","",IFERROR(INDEX(Calc!$E:$E,MATCH(IF(A84="","",A84&amp;"|Carousel"),Calc!$AN:$AN,0)),""))</f>
        <v/>
      </c>
      <c r="C84" s="60" t="str">
        <f t="array" ref="C84">IF(A84="","",IFERROR(INDEX(Calc!$D:$D,MATCH(IF(A84="","",A84&amp;"|Carousel"),Calc!$AN:$AN,0)),""))</f>
        <v/>
      </c>
      <c r="D84" s="60" t="str">
        <f t="array" ref="D84">IF(A84="","",IFERROR(INDEX(Calc!$F:$F,MATCH(IF(A84="","",A84&amp;"|Carousel"),Calc!$AN:$AN,0)),""))</f>
        <v/>
      </c>
      <c r="E84" s="60" t="str">
        <f t="array" ref="E84">IF(A84="","",IFERROR(INDEX(Calc!$H:$H,MATCH(IF(A84="","",A84&amp;"|Carousel"),Calc!$AN:$AN,0)),""))</f>
        <v/>
      </c>
      <c r="F84" s="61" t="str">
        <f t="array" ref="F84">IF(A84="","",IFERROR(INDEX(Calc!$I:$I,MATCH(IF(A84="","",A84&amp;"|Carousel"),Calc!$AN:$AN,0)),""))</f>
        <v/>
      </c>
      <c r="G84" s="61" t="str">
        <f t="array" ref="G84">IF(A84="","",IFERROR(INDEX(Calc!$J:$J,MATCH(IF(A84="","",A84&amp;"|Carousel"),Calc!$AN:$AN,0)),""))</f>
        <v/>
      </c>
      <c r="H84" s="61" t="str">
        <f t="array" ref="H84">IF(A84="","",IFERROR(INDEX(Calc!$K:$K,MATCH(IF(A84="","",A84&amp;"|Carousel"),Calc!$AN:$AN,0)),""))</f>
        <v/>
      </c>
      <c r="I84" s="61" t="str">
        <f t="array" ref="I84">IF(A84="","",IFERROR(INDEX(Calc!$L:$L,MATCH(IF(A84="","",A84&amp;"|Carousel"),Calc!$AN:$AN,0)),""))</f>
        <v/>
      </c>
      <c r="J84" s="61" t="str">
        <f t="array" ref="J84">IF(A84="","",IFERROR(INDEX(Calc!$M:$M,MATCH(IF(A84="","",A84&amp;"|Carousel"),Calc!$AN:$AN,0)),""))</f>
        <v/>
      </c>
      <c r="K84" s="61" t="str">
        <f t="array" ref="K84">IF(A84="","",IFERROR(INDEX(Calc!$N:$N,MATCH(IF(A84="","",A84&amp;"|Carousel"),Calc!$AN:$AN,0)),""))</f>
        <v/>
      </c>
      <c r="L84" s="62" t="str">
        <f t="array" ref="L84">IF(A84="","",IFERROR(INDEX(Calc!$AI:$AI,MATCH(IF(A84="","",A84&amp;"|Carousel"),Calc!$AN:$AN,0)),""))</f>
        <v/>
      </c>
    </row>
    <row r="85" ht="15.75" customHeight="1">
      <c r="A85" s="60" t="str">
        <f>IF(IFERROR(AGGREGATE(14,6,(Calc!$AP$2:$AP$501)/((Calc!$AM$2:$AM$501=1)*(Calc!$G$2:$G$501="Carousel")),11),"")="","",LEFT(TEXT(IFERROR(AGGREGATE(14,6,(Calc!$AP$2:$AP$501)/((Calc!$AM$2:$AM$501=1)*(Calc!$G$2:$G$501="Carousel")),11),""),"000000"),4)&amp;"-"&amp;RIGHT(TEXT(IFERROR(AGGREGATE(14,6,(Calc!$AP$2:$AP$501)/((Calc!$AM$2:$AM$501=1)*(Calc!$G$2:$G$501="Carousel")),11),""),"000000"),2))</f>
        <v/>
      </c>
      <c r="B85" s="60" t="str">
        <f t="array" ref="B85">IF(A85="","",IFERROR(INDEX(Calc!$E:$E,MATCH(IF(A85="","",A85&amp;"|Carousel"),Calc!$AN:$AN,0)),""))</f>
        <v/>
      </c>
      <c r="C85" s="60" t="str">
        <f t="array" ref="C85">IF(A85="","",IFERROR(INDEX(Calc!$D:$D,MATCH(IF(A85="","",A85&amp;"|Carousel"),Calc!$AN:$AN,0)),""))</f>
        <v/>
      </c>
      <c r="D85" s="60" t="str">
        <f t="array" ref="D85">IF(A85="","",IFERROR(INDEX(Calc!$F:$F,MATCH(IF(A85="","",A85&amp;"|Carousel"),Calc!$AN:$AN,0)),""))</f>
        <v/>
      </c>
      <c r="E85" s="60" t="str">
        <f t="array" ref="E85">IF(A85="","",IFERROR(INDEX(Calc!$H:$H,MATCH(IF(A85="","",A85&amp;"|Carousel"),Calc!$AN:$AN,0)),""))</f>
        <v/>
      </c>
      <c r="F85" s="61" t="str">
        <f t="array" ref="F85">IF(A85="","",IFERROR(INDEX(Calc!$I:$I,MATCH(IF(A85="","",A85&amp;"|Carousel"),Calc!$AN:$AN,0)),""))</f>
        <v/>
      </c>
      <c r="G85" s="61" t="str">
        <f t="array" ref="G85">IF(A85="","",IFERROR(INDEX(Calc!$J:$J,MATCH(IF(A85="","",A85&amp;"|Carousel"),Calc!$AN:$AN,0)),""))</f>
        <v/>
      </c>
      <c r="H85" s="61" t="str">
        <f t="array" ref="H85">IF(A85="","",IFERROR(INDEX(Calc!$K:$K,MATCH(IF(A85="","",A85&amp;"|Carousel"),Calc!$AN:$AN,0)),""))</f>
        <v/>
      </c>
      <c r="I85" s="61" t="str">
        <f t="array" ref="I85">IF(A85="","",IFERROR(INDEX(Calc!$L:$L,MATCH(IF(A85="","",A85&amp;"|Carousel"),Calc!$AN:$AN,0)),""))</f>
        <v/>
      </c>
      <c r="J85" s="61" t="str">
        <f t="array" ref="J85">IF(A85="","",IFERROR(INDEX(Calc!$M:$M,MATCH(IF(A85="","",A85&amp;"|Carousel"),Calc!$AN:$AN,0)),""))</f>
        <v/>
      </c>
      <c r="K85" s="61" t="str">
        <f t="array" ref="K85">IF(A85="","",IFERROR(INDEX(Calc!$N:$N,MATCH(IF(A85="","",A85&amp;"|Carousel"),Calc!$AN:$AN,0)),""))</f>
        <v/>
      </c>
      <c r="L85" s="62" t="str">
        <f t="array" ref="L85">IF(A85="","",IFERROR(INDEX(Calc!$AI:$AI,MATCH(IF(A85="","",A85&amp;"|Carousel"),Calc!$AN:$AN,0)),""))</f>
        <v/>
      </c>
    </row>
    <row r="86" ht="15.75" customHeight="1">
      <c r="A86" s="60" t="str">
        <f>IF(IFERROR(AGGREGATE(14,6,(Calc!$AP$2:$AP$501)/((Calc!$AM$2:$AM$501=1)*(Calc!$G$2:$G$501="Carousel")),12),"")="","",LEFT(TEXT(IFERROR(AGGREGATE(14,6,(Calc!$AP$2:$AP$501)/((Calc!$AM$2:$AM$501=1)*(Calc!$G$2:$G$501="Carousel")),12),""),"000000"),4)&amp;"-"&amp;RIGHT(TEXT(IFERROR(AGGREGATE(14,6,(Calc!$AP$2:$AP$501)/((Calc!$AM$2:$AM$501=1)*(Calc!$G$2:$G$501="Carousel")),12),""),"000000"),2))</f>
        <v/>
      </c>
      <c r="B86" s="60" t="str">
        <f t="array" ref="B86">IF(A86="","",IFERROR(INDEX(Calc!$E:$E,MATCH(IF(A86="","",A86&amp;"|Carousel"),Calc!$AN:$AN,0)),""))</f>
        <v/>
      </c>
      <c r="C86" s="60" t="str">
        <f t="array" ref="C86">IF(A86="","",IFERROR(INDEX(Calc!$D:$D,MATCH(IF(A86="","",A86&amp;"|Carousel"),Calc!$AN:$AN,0)),""))</f>
        <v/>
      </c>
      <c r="D86" s="60" t="str">
        <f t="array" ref="D86">IF(A86="","",IFERROR(INDEX(Calc!$F:$F,MATCH(IF(A86="","",A86&amp;"|Carousel"),Calc!$AN:$AN,0)),""))</f>
        <v/>
      </c>
      <c r="E86" s="60" t="str">
        <f t="array" ref="E86">IF(A86="","",IFERROR(INDEX(Calc!$H:$H,MATCH(IF(A86="","",A86&amp;"|Carousel"),Calc!$AN:$AN,0)),""))</f>
        <v/>
      </c>
      <c r="F86" s="61" t="str">
        <f t="array" ref="F86">IF(A86="","",IFERROR(INDEX(Calc!$I:$I,MATCH(IF(A86="","",A86&amp;"|Carousel"),Calc!$AN:$AN,0)),""))</f>
        <v/>
      </c>
      <c r="G86" s="61" t="str">
        <f t="array" ref="G86">IF(A86="","",IFERROR(INDEX(Calc!$J:$J,MATCH(IF(A86="","",A86&amp;"|Carousel"),Calc!$AN:$AN,0)),""))</f>
        <v/>
      </c>
      <c r="H86" s="61" t="str">
        <f t="array" ref="H86">IF(A86="","",IFERROR(INDEX(Calc!$K:$K,MATCH(IF(A86="","",A86&amp;"|Carousel"),Calc!$AN:$AN,0)),""))</f>
        <v/>
      </c>
      <c r="I86" s="61" t="str">
        <f t="array" ref="I86">IF(A86="","",IFERROR(INDEX(Calc!$L:$L,MATCH(IF(A86="","",A86&amp;"|Carousel"),Calc!$AN:$AN,0)),""))</f>
        <v/>
      </c>
      <c r="J86" s="61" t="str">
        <f t="array" ref="J86">IF(A86="","",IFERROR(INDEX(Calc!$M:$M,MATCH(IF(A86="","",A86&amp;"|Carousel"),Calc!$AN:$AN,0)),""))</f>
        <v/>
      </c>
      <c r="K86" s="61" t="str">
        <f t="array" ref="K86">IF(A86="","",IFERROR(INDEX(Calc!$N:$N,MATCH(IF(A86="","",A86&amp;"|Carousel"),Calc!$AN:$AN,0)),""))</f>
        <v/>
      </c>
      <c r="L86" s="62" t="str">
        <f t="array" ref="L86">IF(A86="","",IFERROR(INDEX(Calc!$AI:$AI,MATCH(IF(A86="","",A86&amp;"|Carousel"),Calc!$AN:$AN,0)),""))</f>
        <v/>
      </c>
    </row>
    <row r="87" ht="15.75" customHeight="1">
      <c r="A87" s="60" t="str">
        <f>IF(IFERROR(AGGREGATE(14,6,(Calc!$AP$2:$AP$501)/((Calc!$AM$2:$AM$501=1)*(Calc!$G$2:$G$501="Carousel")),13),"")="","",LEFT(TEXT(IFERROR(AGGREGATE(14,6,(Calc!$AP$2:$AP$501)/((Calc!$AM$2:$AM$501=1)*(Calc!$G$2:$G$501="Carousel")),13),""),"000000"),4)&amp;"-"&amp;RIGHT(TEXT(IFERROR(AGGREGATE(14,6,(Calc!$AP$2:$AP$501)/((Calc!$AM$2:$AM$501=1)*(Calc!$G$2:$G$501="Carousel")),13),""),"000000"),2))</f>
        <v/>
      </c>
      <c r="B87" s="60" t="str">
        <f t="array" ref="B87">IF(A87="","",IFERROR(INDEX(Calc!$E:$E,MATCH(IF(A87="","",A87&amp;"|Carousel"),Calc!$AN:$AN,0)),""))</f>
        <v/>
      </c>
      <c r="C87" s="60" t="str">
        <f t="array" ref="C87">IF(A87="","",IFERROR(INDEX(Calc!$D:$D,MATCH(IF(A87="","",A87&amp;"|Carousel"),Calc!$AN:$AN,0)),""))</f>
        <v/>
      </c>
      <c r="D87" s="60" t="str">
        <f t="array" ref="D87">IF(A87="","",IFERROR(INDEX(Calc!$F:$F,MATCH(IF(A87="","",A87&amp;"|Carousel"),Calc!$AN:$AN,0)),""))</f>
        <v/>
      </c>
      <c r="E87" s="60" t="str">
        <f t="array" ref="E87">IF(A87="","",IFERROR(INDEX(Calc!$H:$H,MATCH(IF(A87="","",A87&amp;"|Carousel"),Calc!$AN:$AN,0)),""))</f>
        <v/>
      </c>
      <c r="F87" s="61" t="str">
        <f t="array" ref="F87">IF(A87="","",IFERROR(INDEX(Calc!$I:$I,MATCH(IF(A87="","",A87&amp;"|Carousel"),Calc!$AN:$AN,0)),""))</f>
        <v/>
      </c>
      <c r="G87" s="61" t="str">
        <f t="array" ref="G87">IF(A87="","",IFERROR(INDEX(Calc!$J:$J,MATCH(IF(A87="","",A87&amp;"|Carousel"),Calc!$AN:$AN,0)),""))</f>
        <v/>
      </c>
      <c r="H87" s="61" t="str">
        <f t="array" ref="H87">IF(A87="","",IFERROR(INDEX(Calc!$K:$K,MATCH(IF(A87="","",A87&amp;"|Carousel"),Calc!$AN:$AN,0)),""))</f>
        <v/>
      </c>
      <c r="I87" s="61" t="str">
        <f t="array" ref="I87">IF(A87="","",IFERROR(INDEX(Calc!$L:$L,MATCH(IF(A87="","",A87&amp;"|Carousel"),Calc!$AN:$AN,0)),""))</f>
        <v/>
      </c>
      <c r="J87" s="61" t="str">
        <f t="array" ref="J87">IF(A87="","",IFERROR(INDEX(Calc!$M:$M,MATCH(IF(A87="","",A87&amp;"|Carousel"),Calc!$AN:$AN,0)),""))</f>
        <v/>
      </c>
      <c r="K87" s="61" t="str">
        <f t="array" ref="K87">IF(A87="","",IFERROR(INDEX(Calc!$N:$N,MATCH(IF(A87="","",A87&amp;"|Carousel"),Calc!$AN:$AN,0)),""))</f>
        <v/>
      </c>
      <c r="L87" s="62" t="str">
        <f t="array" ref="L87">IF(A87="","",IFERROR(INDEX(Calc!$AI:$AI,MATCH(IF(A87="","",A87&amp;"|Carousel"),Calc!$AN:$AN,0)),""))</f>
        <v/>
      </c>
    </row>
    <row r="88" ht="15.75" customHeight="1">
      <c r="A88" s="60" t="str">
        <f>IF(IFERROR(AGGREGATE(14,6,(Calc!$AP$2:$AP$501)/((Calc!$AM$2:$AM$501=1)*(Calc!$G$2:$G$501="Carousel")),14),"")="","",LEFT(TEXT(IFERROR(AGGREGATE(14,6,(Calc!$AP$2:$AP$501)/((Calc!$AM$2:$AM$501=1)*(Calc!$G$2:$G$501="Carousel")),14),""),"000000"),4)&amp;"-"&amp;RIGHT(TEXT(IFERROR(AGGREGATE(14,6,(Calc!$AP$2:$AP$501)/((Calc!$AM$2:$AM$501=1)*(Calc!$G$2:$G$501="Carousel")),14),""),"000000"),2))</f>
        <v/>
      </c>
      <c r="B88" s="60" t="str">
        <f t="array" ref="B88">IF(A88="","",IFERROR(INDEX(Calc!$E:$E,MATCH(IF(A88="","",A88&amp;"|Carousel"),Calc!$AN:$AN,0)),""))</f>
        <v/>
      </c>
      <c r="C88" s="60" t="str">
        <f t="array" ref="C88">IF(A88="","",IFERROR(INDEX(Calc!$D:$D,MATCH(IF(A88="","",A88&amp;"|Carousel"),Calc!$AN:$AN,0)),""))</f>
        <v/>
      </c>
      <c r="D88" s="60" t="str">
        <f t="array" ref="D88">IF(A88="","",IFERROR(INDEX(Calc!$F:$F,MATCH(IF(A88="","",A88&amp;"|Carousel"),Calc!$AN:$AN,0)),""))</f>
        <v/>
      </c>
      <c r="E88" s="60" t="str">
        <f t="array" ref="E88">IF(A88="","",IFERROR(INDEX(Calc!$H:$H,MATCH(IF(A88="","",A88&amp;"|Carousel"),Calc!$AN:$AN,0)),""))</f>
        <v/>
      </c>
      <c r="F88" s="61" t="str">
        <f t="array" ref="F88">IF(A88="","",IFERROR(INDEX(Calc!$I:$I,MATCH(IF(A88="","",A88&amp;"|Carousel"),Calc!$AN:$AN,0)),""))</f>
        <v/>
      </c>
      <c r="G88" s="61" t="str">
        <f t="array" ref="G88">IF(A88="","",IFERROR(INDEX(Calc!$J:$J,MATCH(IF(A88="","",A88&amp;"|Carousel"),Calc!$AN:$AN,0)),""))</f>
        <v/>
      </c>
      <c r="H88" s="61" t="str">
        <f t="array" ref="H88">IF(A88="","",IFERROR(INDEX(Calc!$K:$K,MATCH(IF(A88="","",A88&amp;"|Carousel"),Calc!$AN:$AN,0)),""))</f>
        <v/>
      </c>
      <c r="I88" s="61" t="str">
        <f t="array" ref="I88">IF(A88="","",IFERROR(INDEX(Calc!$L:$L,MATCH(IF(A88="","",A88&amp;"|Carousel"),Calc!$AN:$AN,0)),""))</f>
        <v/>
      </c>
      <c r="J88" s="61" t="str">
        <f t="array" ref="J88">IF(A88="","",IFERROR(INDEX(Calc!$M:$M,MATCH(IF(A88="","",A88&amp;"|Carousel"),Calc!$AN:$AN,0)),""))</f>
        <v/>
      </c>
      <c r="K88" s="61" t="str">
        <f t="array" ref="K88">IF(A88="","",IFERROR(INDEX(Calc!$N:$N,MATCH(IF(A88="","",A88&amp;"|Carousel"),Calc!$AN:$AN,0)),""))</f>
        <v/>
      </c>
      <c r="L88" s="62" t="str">
        <f t="array" ref="L88">IF(A88="","",IFERROR(INDEX(Calc!$AI:$AI,MATCH(IF(A88="","",A88&amp;"|Carousel"),Calc!$AN:$AN,0)),""))</f>
        <v/>
      </c>
    </row>
    <row r="89" ht="15.75" customHeight="1">
      <c r="A89" s="60" t="str">
        <f>IF(IFERROR(AGGREGATE(14,6,(Calc!$AP$2:$AP$501)/((Calc!$AM$2:$AM$501=1)*(Calc!$G$2:$G$501="Carousel")),15),"")="","",LEFT(TEXT(IFERROR(AGGREGATE(14,6,(Calc!$AP$2:$AP$501)/((Calc!$AM$2:$AM$501=1)*(Calc!$G$2:$G$501="Carousel")),15),""),"000000"),4)&amp;"-"&amp;RIGHT(TEXT(IFERROR(AGGREGATE(14,6,(Calc!$AP$2:$AP$501)/((Calc!$AM$2:$AM$501=1)*(Calc!$G$2:$G$501="Carousel")),15),""),"000000"),2))</f>
        <v/>
      </c>
      <c r="B89" s="60" t="str">
        <f t="array" ref="B89">IF(A89="","",IFERROR(INDEX(Calc!$E:$E,MATCH(IF(A89="","",A89&amp;"|Carousel"),Calc!$AN:$AN,0)),""))</f>
        <v/>
      </c>
      <c r="C89" s="60" t="str">
        <f t="array" ref="C89">IF(A89="","",IFERROR(INDEX(Calc!$D:$D,MATCH(IF(A89="","",A89&amp;"|Carousel"),Calc!$AN:$AN,0)),""))</f>
        <v/>
      </c>
      <c r="D89" s="60" t="str">
        <f t="array" ref="D89">IF(A89="","",IFERROR(INDEX(Calc!$F:$F,MATCH(IF(A89="","",A89&amp;"|Carousel"),Calc!$AN:$AN,0)),""))</f>
        <v/>
      </c>
      <c r="E89" s="60" t="str">
        <f t="array" ref="E89">IF(A89="","",IFERROR(INDEX(Calc!$H:$H,MATCH(IF(A89="","",A89&amp;"|Carousel"),Calc!$AN:$AN,0)),""))</f>
        <v/>
      </c>
      <c r="F89" s="61" t="str">
        <f t="array" ref="F89">IF(A89="","",IFERROR(INDEX(Calc!$I:$I,MATCH(IF(A89="","",A89&amp;"|Carousel"),Calc!$AN:$AN,0)),""))</f>
        <v/>
      </c>
      <c r="G89" s="61" t="str">
        <f t="array" ref="G89">IF(A89="","",IFERROR(INDEX(Calc!$J:$J,MATCH(IF(A89="","",A89&amp;"|Carousel"),Calc!$AN:$AN,0)),""))</f>
        <v/>
      </c>
      <c r="H89" s="61" t="str">
        <f t="array" ref="H89">IF(A89="","",IFERROR(INDEX(Calc!$K:$K,MATCH(IF(A89="","",A89&amp;"|Carousel"),Calc!$AN:$AN,0)),""))</f>
        <v/>
      </c>
      <c r="I89" s="61" t="str">
        <f t="array" ref="I89">IF(A89="","",IFERROR(INDEX(Calc!$L:$L,MATCH(IF(A89="","",A89&amp;"|Carousel"),Calc!$AN:$AN,0)),""))</f>
        <v/>
      </c>
      <c r="J89" s="61" t="str">
        <f t="array" ref="J89">IF(A89="","",IFERROR(INDEX(Calc!$M:$M,MATCH(IF(A89="","",A89&amp;"|Carousel"),Calc!$AN:$AN,0)),""))</f>
        <v/>
      </c>
      <c r="K89" s="61" t="str">
        <f t="array" ref="K89">IF(A89="","",IFERROR(INDEX(Calc!$N:$N,MATCH(IF(A89="","",A89&amp;"|Carousel"),Calc!$AN:$AN,0)),""))</f>
        <v/>
      </c>
      <c r="L89" s="62" t="str">
        <f t="array" ref="L89">IF(A89="","",IFERROR(INDEX(Calc!$AI:$AI,MATCH(IF(A89="","",A89&amp;"|Carousel"),Calc!$AN:$AN,0)),""))</f>
        <v/>
      </c>
    </row>
    <row r="90" ht="15.75" customHeight="1">
      <c r="A90" s="60" t="str">
        <f>IF(IFERROR(AGGREGATE(14,6,(Calc!$AP$2:$AP$501)/((Calc!$AM$2:$AM$501=1)*(Calc!$G$2:$G$501="Carousel")),16),"")="","",LEFT(TEXT(IFERROR(AGGREGATE(14,6,(Calc!$AP$2:$AP$501)/((Calc!$AM$2:$AM$501=1)*(Calc!$G$2:$G$501="Carousel")),16),""),"000000"),4)&amp;"-"&amp;RIGHT(TEXT(IFERROR(AGGREGATE(14,6,(Calc!$AP$2:$AP$501)/((Calc!$AM$2:$AM$501=1)*(Calc!$G$2:$G$501="Carousel")),16),""),"000000"),2))</f>
        <v/>
      </c>
      <c r="B90" s="60" t="str">
        <f t="array" ref="B90">IF(A90="","",IFERROR(INDEX(Calc!$E:$E,MATCH(IF(A90="","",A90&amp;"|Carousel"),Calc!$AN:$AN,0)),""))</f>
        <v/>
      </c>
      <c r="C90" s="60" t="str">
        <f t="array" ref="C90">IF(A90="","",IFERROR(INDEX(Calc!$D:$D,MATCH(IF(A90="","",A90&amp;"|Carousel"),Calc!$AN:$AN,0)),""))</f>
        <v/>
      </c>
      <c r="D90" s="60" t="str">
        <f t="array" ref="D90">IF(A90="","",IFERROR(INDEX(Calc!$F:$F,MATCH(IF(A90="","",A90&amp;"|Carousel"),Calc!$AN:$AN,0)),""))</f>
        <v/>
      </c>
      <c r="E90" s="60" t="str">
        <f t="array" ref="E90">IF(A90="","",IFERROR(INDEX(Calc!$H:$H,MATCH(IF(A90="","",A90&amp;"|Carousel"),Calc!$AN:$AN,0)),""))</f>
        <v/>
      </c>
      <c r="F90" s="61" t="str">
        <f t="array" ref="F90">IF(A90="","",IFERROR(INDEX(Calc!$I:$I,MATCH(IF(A90="","",A90&amp;"|Carousel"),Calc!$AN:$AN,0)),""))</f>
        <v/>
      </c>
      <c r="G90" s="61" t="str">
        <f t="array" ref="G90">IF(A90="","",IFERROR(INDEX(Calc!$J:$J,MATCH(IF(A90="","",A90&amp;"|Carousel"),Calc!$AN:$AN,0)),""))</f>
        <v/>
      </c>
      <c r="H90" s="61" t="str">
        <f t="array" ref="H90">IF(A90="","",IFERROR(INDEX(Calc!$K:$K,MATCH(IF(A90="","",A90&amp;"|Carousel"),Calc!$AN:$AN,0)),""))</f>
        <v/>
      </c>
      <c r="I90" s="61" t="str">
        <f t="array" ref="I90">IF(A90="","",IFERROR(INDEX(Calc!$L:$L,MATCH(IF(A90="","",A90&amp;"|Carousel"),Calc!$AN:$AN,0)),""))</f>
        <v/>
      </c>
      <c r="J90" s="61" t="str">
        <f t="array" ref="J90">IF(A90="","",IFERROR(INDEX(Calc!$M:$M,MATCH(IF(A90="","",A90&amp;"|Carousel"),Calc!$AN:$AN,0)),""))</f>
        <v/>
      </c>
      <c r="K90" s="61" t="str">
        <f t="array" ref="K90">IF(A90="","",IFERROR(INDEX(Calc!$N:$N,MATCH(IF(A90="","",A90&amp;"|Carousel"),Calc!$AN:$AN,0)),""))</f>
        <v/>
      </c>
      <c r="L90" s="62" t="str">
        <f t="array" ref="L90">IF(A90="","",IFERROR(INDEX(Calc!$AI:$AI,MATCH(IF(A90="","",A90&amp;"|Carousel"),Calc!$AN:$AN,0)),""))</f>
        <v/>
      </c>
    </row>
    <row r="91" ht="15.75" customHeight="1">
      <c r="A91" s="60" t="str">
        <f>IF(IFERROR(AGGREGATE(14,6,(Calc!$AP$2:$AP$501)/((Calc!$AM$2:$AM$501=1)*(Calc!$G$2:$G$501="Carousel")),17),"")="","",LEFT(TEXT(IFERROR(AGGREGATE(14,6,(Calc!$AP$2:$AP$501)/((Calc!$AM$2:$AM$501=1)*(Calc!$G$2:$G$501="Carousel")),17),""),"000000"),4)&amp;"-"&amp;RIGHT(TEXT(IFERROR(AGGREGATE(14,6,(Calc!$AP$2:$AP$501)/((Calc!$AM$2:$AM$501=1)*(Calc!$G$2:$G$501="Carousel")),17),""),"000000"),2))</f>
        <v/>
      </c>
      <c r="B91" s="60" t="str">
        <f t="array" ref="B91">IF(A91="","",IFERROR(INDEX(Calc!$E:$E,MATCH(IF(A91="","",A91&amp;"|Carousel"),Calc!$AN:$AN,0)),""))</f>
        <v/>
      </c>
      <c r="C91" s="60" t="str">
        <f t="array" ref="C91">IF(A91="","",IFERROR(INDEX(Calc!$D:$D,MATCH(IF(A91="","",A91&amp;"|Carousel"),Calc!$AN:$AN,0)),""))</f>
        <v/>
      </c>
      <c r="D91" s="60" t="str">
        <f t="array" ref="D91">IF(A91="","",IFERROR(INDEX(Calc!$F:$F,MATCH(IF(A91="","",A91&amp;"|Carousel"),Calc!$AN:$AN,0)),""))</f>
        <v/>
      </c>
      <c r="E91" s="60" t="str">
        <f t="array" ref="E91">IF(A91="","",IFERROR(INDEX(Calc!$H:$H,MATCH(IF(A91="","",A91&amp;"|Carousel"),Calc!$AN:$AN,0)),""))</f>
        <v/>
      </c>
      <c r="F91" s="61" t="str">
        <f t="array" ref="F91">IF(A91="","",IFERROR(INDEX(Calc!$I:$I,MATCH(IF(A91="","",A91&amp;"|Carousel"),Calc!$AN:$AN,0)),""))</f>
        <v/>
      </c>
      <c r="G91" s="61" t="str">
        <f t="array" ref="G91">IF(A91="","",IFERROR(INDEX(Calc!$J:$J,MATCH(IF(A91="","",A91&amp;"|Carousel"),Calc!$AN:$AN,0)),""))</f>
        <v/>
      </c>
      <c r="H91" s="61" t="str">
        <f t="array" ref="H91">IF(A91="","",IFERROR(INDEX(Calc!$K:$K,MATCH(IF(A91="","",A91&amp;"|Carousel"),Calc!$AN:$AN,0)),""))</f>
        <v/>
      </c>
      <c r="I91" s="61" t="str">
        <f t="array" ref="I91">IF(A91="","",IFERROR(INDEX(Calc!$L:$L,MATCH(IF(A91="","",A91&amp;"|Carousel"),Calc!$AN:$AN,0)),""))</f>
        <v/>
      </c>
      <c r="J91" s="61" t="str">
        <f t="array" ref="J91">IF(A91="","",IFERROR(INDEX(Calc!$M:$M,MATCH(IF(A91="","",A91&amp;"|Carousel"),Calc!$AN:$AN,0)),""))</f>
        <v/>
      </c>
      <c r="K91" s="61" t="str">
        <f t="array" ref="K91">IF(A91="","",IFERROR(INDEX(Calc!$N:$N,MATCH(IF(A91="","",A91&amp;"|Carousel"),Calc!$AN:$AN,0)),""))</f>
        <v/>
      </c>
      <c r="L91" s="62" t="str">
        <f t="array" ref="L91">IF(A91="","",IFERROR(INDEX(Calc!$AI:$AI,MATCH(IF(A91="","",A91&amp;"|Carousel"),Calc!$AN:$AN,0)),""))</f>
        <v/>
      </c>
    </row>
    <row r="92" ht="15.75" customHeight="1">
      <c r="A92" s="60" t="str">
        <f>IF(IFERROR(AGGREGATE(14,6,(Calc!$AP$2:$AP$501)/((Calc!$AM$2:$AM$501=1)*(Calc!$G$2:$G$501="Carousel")),18),"")="","",LEFT(TEXT(IFERROR(AGGREGATE(14,6,(Calc!$AP$2:$AP$501)/((Calc!$AM$2:$AM$501=1)*(Calc!$G$2:$G$501="Carousel")),18),""),"000000"),4)&amp;"-"&amp;RIGHT(TEXT(IFERROR(AGGREGATE(14,6,(Calc!$AP$2:$AP$501)/((Calc!$AM$2:$AM$501=1)*(Calc!$G$2:$G$501="Carousel")),18),""),"000000"),2))</f>
        <v/>
      </c>
      <c r="B92" s="60" t="str">
        <f t="array" ref="B92">IF(A92="","",IFERROR(INDEX(Calc!$E:$E,MATCH(IF(A92="","",A92&amp;"|Carousel"),Calc!$AN:$AN,0)),""))</f>
        <v/>
      </c>
      <c r="C92" s="60" t="str">
        <f t="array" ref="C92">IF(A92="","",IFERROR(INDEX(Calc!$D:$D,MATCH(IF(A92="","",A92&amp;"|Carousel"),Calc!$AN:$AN,0)),""))</f>
        <v/>
      </c>
      <c r="D92" s="60" t="str">
        <f t="array" ref="D92">IF(A92="","",IFERROR(INDEX(Calc!$F:$F,MATCH(IF(A92="","",A92&amp;"|Carousel"),Calc!$AN:$AN,0)),""))</f>
        <v/>
      </c>
      <c r="E92" s="60" t="str">
        <f t="array" ref="E92">IF(A92="","",IFERROR(INDEX(Calc!$H:$H,MATCH(IF(A92="","",A92&amp;"|Carousel"),Calc!$AN:$AN,0)),""))</f>
        <v/>
      </c>
      <c r="F92" s="61" t="str">
        <f t="array" ref="F92">IF(A92="","",IFERROR(INDEX(Calc!$I:$I,MATCH(IF(A92="","",A92&amp;"|Carousel"),Calc!$AN:$AN,0)),""))</f>
        <v/>
      </c>
      <c r="G92" s="61" t="str">
        <f t="array" ref="G92">IF(A92="","",IFERROR(INDEX(Calc!$J:$J,MATCH(IF(A92="","",A92&amp;"|Carousel"),Calc!$AN:$AN,0)),""))</f>
        <v/>
      </c>
      <c r="H92" s="61" t="str">
        <f t="array" ref="H92">IF(A92="","",IFERROR(INDEX(Calc!$K:$K,MATCH(IF(A92="","",A92&amp;"|Carousel"),Calc!$AN:$AN,0)),""))</f>
        <v/>
      </c>
      <c r="I92" s="61" t="str">
        <f t="array" ref="I92">IF(A92="","",IFERROR(INDEX(Calc!$L:$L,MATCH(IF(A92="","",A92&amp;"|Carousel"),Calc!$AN:$AN,0)),""))</f>
        <v/>
      </c>
      <c r="J92" s="61" t="str">
        <f t="array" ref="J92">IF(A92="","",IFERROR(INDEX(Calc!$M:$M,MATCH(IF(A92="","",A92&amp;"|Carousel"),Calc!$AN:$AN,0)),""))</f>
        <v/>
      </c>
      <c r="K92" s="61" t="str">
        <f t="array" ref="K92">IF(A92="","",IFERROR(INDEX(Calc!$N:$N,MATCH(IF(A92="","",A92&amp;"|Carousel"),Calc!$AN:$AN,0)),""))</f>
        <v/>
      </c>
      <c r="L92" s="62" t="str">
        <f t="array" ref="L92">IF(A92="","",IFERROR(INDEX(Calc!$AI:$AI,MATCH(IF(A92="","",A92&amp;"|Carousel"),Calc!$AN:$AN,0)),""))</f>
        <v/>
      </c>
    </row>
    <row r="93" ht="15.75" customHeight="1">
      <c r="A93" s="60" t="str">
        <f>IF(IFERROR(AGGREGATE(14,6,(Calc!$AP$2:$AP$501)/((Calc!$AM$2:$AM$501=1)*(Calc!$G$2:$G$501="Carousel")),19),"")="","",LEFT(TEXT(IFERROR(AGGREGATE(14,6,(Calc!$AP$2:$AP$501)/((Calc!$AM$2:$AM$501=1)*(Calc!$G$2:$G$501="Carousel")),19),""),"000000"),4)&amp;"-"&amp;RIGHT(TEXT(IFERROR(AGGREGATE(14,6,(Calc!$AP$2:$AP$501)/((Calc!$AM$2:$AM$501=1)*(Calc!$G$2:$G$501="Carousel")),19),""),"000000"),2))</f>
        <v/>
      </c>
      <c r="B93" s="60" t="str">
        <f t="array" ref="B93">IF(A93="","",IFERROR(INDEX(Calc!$E:$E,MATCH(IF(A93="","",A93&amp;"|Carousel"),Calc!$AN:$AN,0)),""))</f>
        <v/>
      </c>
      <c r="C93" s="60" t="str">
        <f t="array" ref="C93">IF(A93="","",IFERROR(INDEX(Calc!$D:$D,MATCH(IF(A93="","",A93&amp;"|Carousel"),Calc!$AN:$AN,0)),""))</f>
        <v/>
      </c>
      <c r="D93" s="60" t="str">
        <f t="array" ref="D93">IF(A93="","",IFERROR(INDEX(Calc!$F:$F,MATCH(IF(A93="","",A93&amp;"|Carousel"),Calc!$AN:$AN,0)),""))</f>
        <v/>
      </c>
      <c r="E93" s="60" t="str">
        <f t="array" ref="E93">IF(A93="","",IFERROR(INDEX(Calc!$H:$H,MATCH(IF(A93="","",A93&amp;"|Carousel"),Calc!$AN:$AN,0)),""))</f>
        <v/>
      </c>
      <c r="F93" s="61" t="str">
        <f t="array" ref="F93">IF(A93="","",IFERROR(INDEX(Calc!$I:$I,MATCH(IF(A93="","",A93&amp;"|Carousel"),Calc!$AN:$AN,0)),""))</f>
        <v/>
      </c>
      <c r="G93" s="61" t="str">
        <f t="array" ref="G93">IF(A93="","",IFERROR(INDEX(Calc!$J:$J,MATCH(IF(A93="","",A93&amp;"|Carousel"),Calc!$AN:$AN,0)),""))</f>
        <v/>
      </c>
      <c r="H93" s="61" t="str">
        <f t="array" ref="H93">IF(A93="","",IFERROR(INDEX(Calc!$K:$K,MATCH(IF(A93="","",A93&amp;"|Carousel"),Calc!$AN:$AN,0)),""))</f>
        <v/>
      </c>
      <c r="I93" s="61" t="str">
        <f t="array" ref="I93">IF(A93="","",IFERROR(INDEX(Calc!$L:$L,MATCH(IF(A93="","",A93&amp;"|Carousel"),Calc!$AN:$AN,0)),""))</f>
        <v/>
      </c>
      <c r="J93" s="61" t="str">
        <f t="array" ref="J93">IF(A93="","",IFERROR(INDEX(Calc!$M:$M,MATCH(IF(A93="","",A93&amp;"|Carousel"),Calc!$AN:$AN,0)),""))</f>
        <v/>
      </c>
      <c r="K93" s="61" t="str">
        <f t="array" ref="K93">IF(A93="","",IFERROR(INDEX(Calc!$N:$N,MATCH(IF(A93="","",A93&amp;"|Carousel"),Calc!$AN:$AN,0)),""))</f>
        <v/>
      </c>
      <c r="L93" s="62" t="str">
        <f t="array" ref="L93">IF(A93="","",IFERROR(INDEX(Calc!$AI:$AI,MATCH(IF(A93="","",A93&amp;"|Carousel"),Calc!$AN:$AN,0)),""))</f>
        <v/>
      </c>
    </row>
    <row r="94" ht="15.75" customHeight="1">
      <c r="A94" s="60" t="str">
        <f>IF(IFERROR(AGGREGATE(14,6,(Calc!$AP$2:$AP$501)/((Calc!$AM$2:$AM$501=1)*(Calc!$G$2:$G$501="Carousel")),20),"")="","",LEFT(TEXT(IFERROR(AGGREGATE(14,6,(Calc!$AP$2:$AP$501)/((Calc!$AM$2:$AM$501=1)*(Calc!$G$2:$G$501="Carousel")),20),""),"000000"),4)&amp;"-"&amp;RIGHT(TEXT(IFERROR(AGGREGATE(14,6,(Calc!$AP$2:$AP$501)/((Calc!$AM$2:$AM$501=1)*(Calc!$G$2:$G$501="Carousel")),20),""),"000000"),2))</f>
        <v/>
      </c>
      <c r="B94" s="60" t="str">
        <f t="array" ref="B94">IF(A94="","",IFERROR(INDEX(Calc!$E:$E,MATCH(IF(A94="","",A94&amp;"|Carousel"),Calc!$AN:$AN,0)),""))</f>
        <v/>
      </c>
      <c r="C94" s="60" t="str">
        <f t="array" ref="C94">IF(A94="","",IFERROR(INDEX(Calc!$D:$D,MATCH(IF(A94="","",A94&amp;"|Carousel"),Calc!$AN:$AN,0)),""))</f>
        <v/>
      </c>
      <c r="D94" s="60" t="str">
        <f t="array" ref="D94">IF(A94="","",IFERROR(INDEX(Calc!$F:$F,MATCH(IF(A94="","",A94&amp;"|Carousel"),Calc!$AN:$AN,0)),""))</f>
        <v/>
      </c>
      <c r="E94" s="60" t="str">
        <f t="array" ref="E94">IF(A94="","",IFERROR(INDEX(Calc!$H:$H,MATCH(IF(A94="","",A94&amp;"|Carousel"),Calc!$AN:$AN,0)),""))</f>
        <v/>
      </c>
      <c r="F94" s="61" t="str">
        <f t="array" ref="F94">IF(A94="","",IFERROR(INDEX(Calc!$I:$I,MATCH(IF(A94="","",A94&amp;"|Carousel"),Calc!$AN:$AN,0)),""))</f>
        <v/>
      </c>
      <c r="G94" s="61" t="str">
        <f t="array" ref="G94">IF(A94="","",IFERROR(INDEX(Calc!$J:$J,MATCH(IF(A94="","",A94&amp;"|Carousel"),Calc!$AN:$AN,0)),""))</f>
        <v/>
      </c>
      <c r="H94" s="61" t="str">
        <f t="array" ref="H94">IF(A94="","",IFERROR(INDEX(Calc!$K:$K,MATCH(IF(A94="","",A94&amp;"|Carousel"),Calc!$AN:$AN,0)),""))</f>
        <v/>
      </c>
      <c r="I94" s="61" t="str">
        <f t="array" ref="I94">IF(A94="","",IFERROR(INDEX(Calc!$L:$L,MATCH(IF(A94="","",A94&amp;"|Carousel"),Calc!$AN:$AN,0)),""))</f>
        <v/>
      </c>
      <c r="J94" s="61" t="str">
        <f t="array" ref="J94">IF(A94="","",IFERROR(INDEX(Calc!$M:$M,MATCH(IF(A94="","",A94&amp;"|Carousel"),Calc!$AN:$AN,0)),""))</f>
        <v/>
      </c>
      <c r="K94" s="61" t="str">
        <f t="array" ref="K94">IF(A94="","",IFERROR(INDEX(Calc!$N:$N,MATCH(IF(A94="","",A94&amp;"|Carousel"),Calc!$AN:$AN,0)),""))</f>
        <v/>
      </c>
      <c r="L94" s="62" t="str">
        <f t="array" ref="L94">IF(A94="","",IFERROR(INDEX(Calc!$AI:$AI,MATCH(IF(A94="","",A94&amp;"|Carousel"),Calc!$AN:$AN,0)),""))</f>
        <v/>
      </c>
    </row>
    <row r="95" ht="15.75" customHeight="1">
      <c r="A95" s="60" t="str">
        <f>IF(IFERROR(AGGREGATE(14,6,(Calc!$AP$2:$AP$501)/((Calc!$AM$2:$AM$501=1)*(Calc!$G$2:$G$501="Carousel")),21),"")="","",LEFT(TEXT(IFERROR(AGGREGATE(14,6,(Calc!$AP$2:$AP$501)/((Calc!$AM$2:$AM$501=1)*(Calc!$G$2:$G$501="Carousel")),21),""),"000000"),4)&amp;"-"&amp;RIGHT(TEXT(IFERROR(AGGREGATE(14,6,(Calc!$AP$2:$AP$501)/((Calc!$AM$2:$AM$501=1)*(Calc!$G$2:$G$501="Carousel")),21),""),"000000"),2))</f>
        <v/>
      </c>
      <c r="B95" s="60" t="str">
        <f t="array" ref="B95">IF(A95="","",IFERROR(INDEX(Calc!$E:$E,MATCH(IF(A95="","",A95&amp;"|Carousel"),Calc!$AN:$AN,0)),""))</f>
        <v/>
      </c>
      <c r="C95" s="60" t="str">
        <f t="array" ref="C95">IF(A95="","",IFERROR(INDEX(Calc!$D:$D,MATCH(IF(A95="","",A95&amp;"|Carousel"),Calc!$AN:$AN,0)),""))</f>
        <v/>
      </c>
      <c r="D95" s="60" t="str">
        <f t="array" ref="D95">IF(A95="","",IFERROR(INDEX(Calc!$F:$F,MATCH(IF(A95="","",A95&amp;"|Carousel"),Calc!$AN:$AN,0)),""))</f>
        <v/>
      </c>
      <c r="E95" s="60" t="str">
        <f t="array" ref="E95">IF(A95="","",IFERROR(INDEX(Calc!$H:$H,MATCH(IF(A95="","",A95&amp;"|Carousel"),Calc!$AN:$AN,0)),""))</f>
        <v/>
      </c>
      <c r="F95" s="61" t="str">
        <f t="array" ref="F95">IF(A95="","",IFERROR(INDEX(Calc!$I:$I,MATCH(IF(A95="","",A95&amp;"|Carousel"),Calc!$AN:$AN,0)),""))</f>
        <v/>
      </c>
      <c r="G95" s="61" t="str">
        <f t="array" ref="G95">IF(A95="","",IFERROR(INDEX(Calc!$J:$J,MATCH(IF(A95="","",A95&amp;"|Carousel"),Calc!$AN:$AN,0)),""))</f>
        <v/>
      </c>
      <c r="H95" s="61" t="str">
        <f t="array" ref="H95">IF(A95="","",IFERROR(INDEX(Calc!$K:$K,MATCH(IF(A95="","",A95&amp;"|Carousel"),Calc!$AN:$AN,0)),""))</f>
        <v/>
      </c>
      <c r="I95" s="61" t="str">
        <f t="array" ref="I95">IF(A95="","",IFERROR(INDEX(Calc!$L:$L,MATCH(IF(A95="","",A95&amp;"|Carousel"),Calc!$AN:$AN,0)),""))</f>
        <v/>
      </c>
      <c r="J95" s="61" t="str">
        <f t="array" ref="J95">IF(A95="","",IFERROR(INDEX(Calc!$M:$M,MATCH(IF(A95="","",A95&amp;"|Carousel"),Calc!$AN:$AN,0)),""))</f>
        <v/>
      </c>
      <c r="K95" s="61" t="str">
        <f t="array" ref="K95">IF(A95="","",IFERROR(INDEX(Calc!$N:$N,MATCH(IF(A95="","",A95&amp;"|Carousel"),Calc!$AN:$AN,0)),""))</f>
        <v/>
      </c>
      <c r="L95" s="62" t="str">
        <f t="array" ref="L95">IF(A95="","",IFERROR(INDEX(Calc!$AI:$AI,MATCH(IF(A95="","",A95&amp;"|Carousel"),Calc!$AN:$AN,0)),""))</f>
        <v/>
      </c>
    </row>
    <row r="96" ht="15.75" customHeight="1">
      <c r="A96" s="60" t="str">
        <f>IF(IFERROR(AGGREGATE(14,6,(Calc!$AP$2:$AP$501)/((Calc!$AM$2:$AM$501=1)*(Calc!$G$2:$G$501="Carousel")),22),"")="","",LEFT(TEXT(IFERROR(AGGREGATE(14,6,(Calc!$AP$2:$AP$501)/((Calc!$AM$2:$AM$501=1)*(Calc!$G$2:$G$501="Carousel")),22),""),"000000"),4)&amp;"-"&amp;RIGHT(TEXT(IFERROR(AGGREGATE(14,6,(Calc!$AP$2:$AP$501)/((Calc!$AM$2:$AM$501=1)*(Calc!$G$2:$G$501="Carousel")),22),""),"000000"),2))</f>
        <v/>
      </c>
      <c r="B96" s="60" t="str">
        <f t="array" ref="B96">IF(A96="","",IFERROR(INDEX(Calc!$E:$E,MATCH(IF(A96="","",A96&amp;"|Carousel"),Calc!$AN:$AN,0)),""))</f>
        <v/>
      </c>
      <c r="C96" s="60" t="str">
        <f t="array" ref="C96">IF(A96="","",IFERROR(INDEX(Calc!$D:$D,MATCH(IF(A96="","",A96&amp;"|Carousel"),Calc!$AN:$AN,0)),""))</f>
        <v/>
      </c>
      <c r="D96" s="60" t="str">
        <f t="array" ref="D96">IF(A96="","",IFERROR(INDEX(Calc!$F:$F,MATCH(IF(A96="","",A96&amp;"|Carousel"),Calc!$AN:$AN,0)),""))</f>
        <v/>
      </c>
      <c r="E96" s="60" t="str">
        <f t="array" ref="E96">IF(A96="","",IFERROR(INDEX(Calc!$H:$H,MATCH(IF(A96="","",A96&amp;"|Carousel"),Calc!$AN:$AN,0)),""))</f>
        <v/>
      </c>
      <c r="F96" s="61" t="str">
        <f t="array" ref="F96">IF(A96="","",IFERROR(INDEX(Calc!$I:$I,MATCH(IF(A96="","",A96&amp;"|Carousel"),Calc!$AN:$AN,0)),""))</f>
        <v/>
      </c>
      <c r="G96" s="61" t="str">
        <f t="array" ref="G96">IF(A96="","",IFERROR(INDEX(Calc!$J:$J,MATCH(IF(A96="","",A96&amp;"|Carousel"),Calc!$AN:$AN,0)),""))</f>
        <v/>
      </c>
      <c r="H96" s="61" t="str">
        <f t="array" ref="H96">IF(A96="","",IFERROR(INDEX(Calc!$K:$K,MATCH(IF(A96="","",A96&amp;"|Carousel"),Calc!$AN:$AN,0)),""))</f>
        <v/>
      </c>
      <c r="I96" s="61" t="str">
        <f t="array" ref="I96">IF(A96="","",IFERROR(INDEX(Calc!$L:$L,MATCH(IF(A96="","",A96&amp;"|Carousel"),Calc!$AN:$AN,0)),""))</f>
        <v/>
      </c>
      <c r="J96" s="61" t="str">
        <f t="array" ref="J96">IF(A96="","",IFERROR(INDEX(Calc!$M:$M,MATCH(IF(A96="","",A96&amp;"|Carousel"),Calc!$AN:$AN,0)),""))</f>
        <v/>
      </c>
      <c r="K96" s="61" t="str">
        <f t="array" ref="K96">IF(A96="","",IFERROR(INDEX(Calc!$N:$N,MATCH(IF(A96="","",A96&amp;"|Carousel"),Calc!$AN:$AN,0)),""))</f>
        <v/>
      </c>
      <c r="L96" s="62" t="str">
        <f t="array" ref="L96">IF(A96="","",IFERROR(INDEX(Calc!$AI:$AI,MATCH(IF(A96="","",A96&amp;"|Carousel"),Calc!$AN:$AN,0)),""))</f>
        <v/>
      </c>
    </row>
    <row r="97" ht="15.75" customHeight="1">
      <c r="A97" s="60" t="str">
        <f>IF(IFERROR(AGGREGATE(14,6,(Calc!$AP$2:$AP$501)/((Calc!$AM$2:$AM$501=1)*(Calc!$G$2:$G$501="Carousel")),23),"")="","",LEFT(TEXT(IFERROR(AGGREGATE(14,6,(Calc!$AP$2:$AP$501)/((Calc!$AM$2:$AM$501=1)*(Calc!$G$2:$G$501="Carousel")),23),""),"000000"),4)&amp;"-"&amp;RIGHT(TEXT(IFERROR(AGGREGATE(14,6,(Calc!$AP$2:$AP$501)/((Calc!$AM$2:$AM$501=1)*(Calc!$G$2:$G$501="Carousel")),23),""),"000000"),2))</f>
        <v/>
      </c>
      <c r="B97" s="60" t="str">
        <f t="array" ref="B97">IF(A97="","",IFERROR(INDEX(Calc!$E:$E,MATCH(IF(A97="","",A97&amp;"|Carousel"),Calc!$AN:$AN,0)),""))</f>
        <v/>
      </c>
      <c r="C97" s="60" t="str">
        <f t="array" ref="C97">IF(A97="","",IFERROR(INDEX(Calc!$D:$D,MATCH(IF(A97="","",A97&amp;"|Carousel"),Calc!$AN:$AN,0)),""))</f>
        <v/>
      </c>
      <c r="D97" s="60" t="str">
        <f t="array" ref="D97">IF(A97="","",IFERROR(INDEX(Calc!$F:$F,MATCH(IF(A97="","",A97&amp;"|Carousel"),Calc!$AN:$AN,0)),""))</f>
        <v/>
      </c>
      <c r="E97" s="60" t="str">
        <f t="array" ref="E97">IF(A97="","",IFERROR(INDEX(Calc!$H:$H,MATCH(IF(A97="","",A97&amp;"|Carousel"),Calc!$AN:$AN,0)),""))</f>
        <v/>
      </c>
      <c r="F97" s="61" t="str">
        <f t="array" ref="F97">IF(A97="","",IFERROR(INDEX(Calc!$I:$I,MATCH(IF(A97="","",A97&amp;"|Carousel"),Calc!$AN:$AN,0)),""))</f>
        <v/>
      </c>
      <c r="G97" s="61" t="str">
        <f t="array" ref="G97">IF(A97="","",IFERROR(INDEX(Calc!$J:$J,MATCH(IF(A97="","",A97&amp;"|Carousel"),Calc!$AN:$AN,0)),""))</f>
        <v/>
      </c>
      <c r="H97" s="61" t="str">
        <f t="array" ref="H97">IF(A97="","",IFERROR(INDEX(Calc!$K:$K,MATCH(IF(A97="","",A97&amp;"|Carousel"),Calc!$AN:$AN,0)),""))</f>
        <v/>
      </c>
      <c r="I97" s="61" t="str">
        <f t="array" ref="I97">IF(A97="","",IFERROR(INDEX(Calc!$L:$L,MATCH(IF(A97="","",A97&amp;"|Carousel"),Calc!$AN:$AN,0)),""))</f>
        <v/>
      </c>
      <c r="J97" s="61" t="str">
        <f t="array" ref="J97">IF(A97="","",IFERROR(INDEX(Calc!$M:$M,MATCH(IF(A97="","",A97&amp;"|Carousel"),Calc!$AN:$AN,0)),""))</f>
        <v/>
      </c>
      <c r="K97" s="61" t="str">
        <f t="array" ref="K97">IF(A97="","",IFERROR(INDEX(Calc!$N:$N,MATCH(IF(A97="","",A97&amp;"|Carousel"),Calc!$AN:$AN,0)),""))</f>
        <v/>
      </c>
      <c r="L97" s="62" t="str">
        <f t="array" ref="L97">IF(A97="","",IFERROR(INDEX(Calc!$AI:$AI,MATCH(IF(A97="","",A97&amp;"|Carousel"),Calc!$AN:$AN,0)),""))</f>
        <v/>
      </c>
    </row>
    <row r="98" ht="15.75" customHeight="1">
      <c r="A98" s="60" t="str">
        <f>IF(IFERROR(AGGREGATE(14,6,(Calc!$AP$2:$AP$501)/((Calc!$AM$2:$AM$501=1)*(Calc!$G$2:$G$501="Carousel")),24),"")="","",LEFT(TEXT(IFERROR(AGGREGATE(14,6,(Calc!$AP$2:$AP$501)/((Calc!$AM$2:$AM$501=1)*(Calc!$G$2:$G$501="Carousel")),24),""),"000000"),4)&amp;"-"&amp;RIGHT(TEXT(IFERROR(AGGREGATE(14,6,(Calc!$AP$2:$AP$501)/((Calc!$AM$2:$AM$501=1)*(Calc!$G$2:$G$501="Carousel")),24),""),"000000"),2))</f>
        <v/>
      </c>
      <c r="B98" s="60" t="str">
        <f t="array" ref="B98">IF(A98="","",IFERROR(INDEX(Calc!$E:$E,MATCH(IF(A98="","",A98&amp;"|Carousel"),Calc!$AN:$AN,0)),""))</f>
        <v/>
      </c>
      <c r="C98" s="60" t="str">
        <f t="array" ref="C98">IF(A98="","",IFERROR(INDEX(Calc!$D:$D,MATCH(IF(A98="","",A98&amp;"|Carousel"),Calc!$AN:$AN,0)),""))</f>
        <v/>
      </c>
      <c r="D98" s="60" t="str">
        <f t="array" ref="D98">IF(A98="","",IFERROR(INDEX(Calc!$F:$F,MATCH(IF(A98="","",A98&amp;"|Carousel"),Calc!$AN:$AN,0)),""))</f>
        <v/>
      </c>
      <c r="E98" s="60" t="str">
        <f t="array" ref="E98">IF(A98="","",IFERROR(INDEX(Calc!$H:$H,MATCH(IF(A98="","",A98&amp;"|Carousel"),Calc!$AN:$AN,0)),""))</f>
        <v/>
      </c>
      <c r="F98" s="61" t="str">
        <f t="array" ref="F98">IF(A98="","",IFERROR(INDEX(Calc!$I:$I,MATCH(IF(A98="","",A98&amp;"|Carousel"),Calc!$AN:$AN,0)),""))</f>
        <v/>
      </c>
      <c r="G98" s="61" t="str">
        <f t="array" ref="G98">IF(A98="","",IFERROR(INDEX(Calc!$J:$J,MATCH(IF(A98="","",A98&amp;"|Carousel"),Calc!$AN:$AN,0)),""))</f>
        <v/>
      </c>
      <c r="H98" s="61" t="str">
        <f t="array" ref="H98">IF(A98="","",IFERROR(INDEX(Calc!$K:$K,MATCH(IF(A98="","",A98&amp;"|Carousel"),Calc!$AN:$AN,0)),""))</f>
        <v/>
      </c>
      <c r="I98" s="61" t="str">
        <f t="array" ref="I98">IF(A98="","",IFERROR(INDEX(Calc!$L:$L,MATCH(IF(A98="","",A98&amp;"|Carousel"),Calc!$AN:$AN,0)),""))</f>
        <v/>
      </c>
      <c r="J98" s="61" t="str">
        <f t="array" ref="J98">IF(A98="","",IFERROR(INDEX(Calc!$M:$M,MATCH(IF(A98="","",A98&amp;"|Carousel"),Calc!$AN:$AN,0)),""))</f>
        <v/>
      </c>
      <c r="K98" s="61" t="str">
        <f t="array" ref="K98">IF(A98="","",IFERROR(INDEX(Calc!$N:$N,MATCH(IF(A98="","",A98&amp;"|Carousel"),Calc!$AN:$AN,0)),""))</f>
        <v/>
      </c>
      <c r="L98" s="62" t="str">
        <f t="array" ref="L98">IF(A98="","",IFERROR(INDEX(Calc!$AI:$AI,MATCH(IF(A98="","",A98&amp;"|Carousel"),Calc!$AN:$AN,0)),""))</f>
        <v/>
      </c>
    </row>
    <row r="99" ht="15.75" customHeight="1">
      <c r="A99" s="60" t="str">
        <f>IF(IFERROR(AGGREGATE(14,6,(Calc!$AP$2:$AP$501)/((Calc!$AM$2:$AM$501=1)*(Calc!$G$2:$G$501="Carousel")),25),"")="","",LEFT(TEXT(IFERROR(AGGREGATE(14,6,(Calc!$AP$2:$AP$501)/((Calc!$AM$2:$AM$501=1)*(Calc!$G$2:$G$501="Carousel")),25),""),"000000"),4)&amp;"-"&amp;RIGHT(TEXT(IFERROR(AGGREGATE(14,6,(Calc!$AP$2:$AP$501)/((Calc!$AM$2:$AM$501=1)*(Calc!$G$2:$G$501="Carousel")),25),""),"000000"),2))</f>
        <v/>
      </c>
      <c r="B99" s="60" t="str">
        <f t="array" ref="B99">IF(A99="","",IFERROR(INDEX(Calc!$E:$E,MATCH(IF(A99="","",A99&amp;"|Carousel"),Calc!$AN:$AN,0)),""))</f>
        <v/>
      </c>
      <c r="C99" s="60" t="str">
        <f t="array" ref="C99">IF(A99="","",IFERROR(INDEX(Calc!$D:$D,MATCH(IF(A99="","",A99&amp;"|Carousel"),Calc!$AN:$AN,0)),""))</f>
        <v/>
      </c>
      <c r="D99" s="60" t="str">
        <f t="array" ref="D99">IF(A99="","",IFERROR(INDEX(Calc!$F:$F,MATCH(IF(A99="","",A99&amp;"|Carousel"),Calc!$AN:$AN,0)),""))</f>
        <v/>
      </c>
      <c r="E99" s="60" t="str">
        <f t="array" ref="E99">IF(A99="","",IFERROR(INDEX(Calc!$H:$H,MATCH(IF(A99="","",A99&amp;"|Carousel"),Calc!$AN:$AN,0)),""))</f>
        <v/>
      </c>
      <c r="F99" s="61" t="str">
        <f t="array" ref="F99">IF(A99="","",IFERROR(INDEX(Calc!$I:$I,MATCH(IF(A99="","",A99&amp;"|Carousel"),Calc!$AN:$AN,0)),""))</f>
        <v/>
      </c>
      <c r="G99" s="61" t="str">
        <f t="array" ref="G99">IF(A99="","",IFERROR(INDEX(Calc!$J:$J,MATCH(IF(A99="","",A99&amp;"|Carousel"),Calc!$AN:$AN,0)),""))</f>
        <v/>
      </c>
      <c r="H99" s="61" t="str">
        <f t="array" ref="H99">IF(A99="","",IFERROR(INDEX(Calc!$K:$K,MATCH(IF(A99="","",A99&amp;"|Carousel"),Calc!$AN:$AN,0)),""))</f>
        <v/>
      </c>
      <c r="I99" s="61" t="str">
        <f t="array" ref="I99">IF(A99="","",IFERROR(INDEX(Calc!$L:$L,MATCH(IF(A99="","",A99&amp;"|Carousel"),Calc!$AN:$AN,0)),""))</f>
        <v/>
      </c>
      <c r="J99" s="61" t="str">
        <f t="array" ref="J99">IF(A99="","",IFERROR(INDEX(Calc!$M:$M,MATCH(IF(A99="","",A99&amp;"|Carousel"),Calc!$AN:$AN,0)),""))</f>
        <v/>
      </c>
      <c r="K99" s="61" t="str">
        <f t="array" ref="K99">IF(A99="","",IFERROR(INDEX(Calc!$N:$N,MATCH(IF(A99="","",A99&amp;"|Carousel"),Calc!$AN:$AN,0)),""))</f>
        <v/>
      </c>
      <c r="L99" s="62" t="str">
        <f t="array" ref="L99">IF(A99="","",IFERROR(INDEX(Calc!$AI:$AI,MATCH(IF(A99="","",A99&amp;"|Carousel"),Calc!$AN:$AN,0)),""))</f>
        <v/>
      </c>
    </row>
    <row r="100" ht="15.75" customHeight="1">
      <c r="A100" s="60" t="str">
        <f>IF(IFERROR(AGGREGATE(14,6,(Calc!$AP$2:$AP$501)/((Calc!$AM$2:$AM$501=1)*(Calc!$G$2:$G$501="Carousel")),26),"")="","",LEFT(TEXT(IFERROR(AGGREGATE(14,6,(Calc!$AP$2:$AP$501)/((Calc!$AM$2:$AM$501=1)*(Calc!$G$2:$G$501="Carousel")),26),""),"000000"),4)&amp;"-"&amp;RIGHT(TEXT(IFERROR(AGGREGATE(14,6,(Calc!$AP$2:$AP$501)/((Calc!$AM$2:$AM$501=1)*(Calc!$G$2:$G$501="Carousel")),26),""),"000000"),2))</f>
        <v/>
      </c>
      <c r="B100" s="60" t="str">
        <f t="array" ref="B100">IF(A100="","",IFERROR(INDEX(Calc!$E:$E,MATCH(IF(A100="","",A100&amp;"|Carousel"),Calc!$AN:$AN,0)),""))</f>
        <v/>
      </c>
      <c r="C100" s="60" t="str">
        <f t="array" ref="C100">IF(A100="","",IFERROR(INDEX(Calc!$D:$D,MATCH(IF(A100="","",A100&amp;"|Carousel"),Calc!$AN:$AN,0)),""))</f>
        <v/>
      </c>
      <c r="D100" s="60" t="str">
        <f t="array" ref="D100">IF(A100="","",IFERROR(INDEX(Calc!$F:$F,MATCH(IF(A100="","",A100&amp;"|Carousel"),Calc!$AN:$AN,0)),""))</f>
        <v/>
      </c>
      <c r="E100" s="60" t="str">
        <f t="array" ref="E100">IF(A100="","",IFERROR(INDEX(Calc!$H:$H,MATCH(IF(A100="","",A100&amp;"|Carousel"),Calc!$AN:$AN,0)),""))</f>
        <v/>
      </c>
      <c r="F100" s="61" t="str">
        <f t="array" ref="F100">IF(A100="","",IFERROR(INDEX(Calc!$I:$I,MATCH(IF(A100="","",A100&amp;"|Carousel"),Calc!$AN:$AN,0)),""))</f>
        <v/>
      </c>
      <c r="G100" s="61" t="str">
        <f t="array" ref="G100">IF(A100="","",IFERROR(INDEX(Calc!$J:$J,MATCH(IF(A100="","",A100&amp;"|Carousel"),Calc!$AN:$AN,0)),""))</f>
        <v/>
      </c>
      <c r="H100" s="61" t="str">
        <f t="array" ref="H100">IF(A100="","",IFERROR(INDEX(Calc!$K:$K,MATCH(IF(A100="","",A100&amp;"|Carousel"),Calc!$AN:$AN,0)),""))</f>
        <v/>
      </c>
      <c r="I100" s="61" t="str">
        <f t="array" ref="I100">IF(A100="","",IFERROR(INDEX(Calc!$L:$L,MATCH(IF(A100="","",A100&amp;"|Carousel"),Calc!$AN:$AN,0)),""))</f>
        <v/>
      </c>
      <c r="J100" s="61" t="str">
        <f t="array" ref="J100">IF(A100="","",IFERROR(INDEX(Calc!$M:$M,MATCH(IF(A100="","",A100&amp;"|Carousel"),Calc!$AN:$AN,0)),""))</f>
        <v/>
      </c>
      <c r="K100" s="61" t="str">
        <f t="array" ref="K100">IF(A100="","",IFERROR(INDEX(Calc!$N:$N,MATCH(IF(A100="","",A100&amp;"|Carousel"),Calc!$AN:$AN,0)),""))</f>
        <v/>
      </c>
      <c r="L100" s="62" t="str">
        <f t="array" ref="L100">IF(A100="","",IFERROR(INDEX(Calc!$AI:$AI,MATCH(IF(A100="","",A100&amp;"|Carousel"),Calc!$AN:$AN,0)),""))</f>
        <v/>
      </c>
    </row>
    <row r="101" ht="15.75" customHeight="1">
      <c r="A101" s="60" t="str">
        <f>IF(IFERROR(AGGREGATE(14,6,(Calc!$AP$2:$AP$501)/((Calc!$AM$2:$AM$501=1)*(Calc!$G$2:$G$501="Carousel")),27),"")="","",LEFT(TEXT(IFERROR(AGGREGATE(14,6,(Calc!$AP$2:$AP$501)/((Calc!$AM$2:$AM$501=1)*(Calc!$G$2:$G$501="Carousel")),27),""),"000000"),4)&amp;"-"&amp;RIGHT(TEXT(IFERROR(AGGREGATE(14,6,(Calc!$AP$2:$AP$501)/((Calc!$AM$2:$AM$501=1)*(Calc!$G$2:$G$501="Carousel")),27),""),"000000"),2))</f>
        <v/>
      </c>
      <c r="B101" s="60" t="str">
        <f t="array" ref="B101">IF(A101="","",IFERROR(INDEX(Calc!$E:$E,MATCH(IF(A101="","",A101&amp;"|Carousel"),Calc!$AN:$AN,0)),""))</f>
        <v/>
      </c>
      <c r="C101" s="60" t="str">
        <f t="array" ref="C101">IF(A101="","",IFERROR(INDEX(Calc!$D:$D,MATCH(IF(A101="","",A101&amp;"|Carousel"),Calc!$AN:$AN,0)),""))</f>
        <v/>
      </c>
      <c r="D101" s="60" t="str">
        <f t="array" ref="D101">IF(A101="","",IFERROR(INDEX(Calc!$F:$F,MATCH(IF(A101="","",A101&amp;"|Carousel"),Calc!$AN:$AN,0)),""))</f>
        <v/>
      </c>
      <c r="E101" s="60" t="str">
        <f t="array" ref="E101">IF(A101="","",IFERROR(INDEX(Calc!$H:$H,MATCH(IF(A101="","",A101&amp;"|Carousel"),Calc!$AN:$AN,0)),""))</f>
        <v/>
      </c>
      <c r="F101" s="61" t="str">
        <f t="array" ref="F101">IF(A101="","",IFERROR(INDEX(Calc!$I:$I,MATCH(IF(A101="","",A101&amp;"|Carousel"),Calc!$AN:$AN,0)),""))</f>
        <v/>
      </c>
      <c r="G101" s="61" t="str">
        <f t="array" ref="G101">IF(A101="","",IFERROR(INDEX(Calc!$J:$J,MATCH(IF(A101="","",A101&amp;"|Carousel"),Calc!$AN:$AN,0)),""))</f>
        <v/>
      </c>
      <c r="H101" s="61" t="str">
        <f t="array" ref="H101">IF(A101="","",IFERROR(INDEX(Calc!$K:$K,MATCH(IF(A101="","",A101&amp;"|Carousel"),Calc!$AN:$AN,0)),""))</f>
        <v/>
      </c>
      <c r="I101" s="61" t="str">
        <f t="array" ref="I101">IF(A101="","",IFERROR(INDEX(Calc!$L:$L,MATCH(IF(A101="","",A101&amp;"|Carousel"),Calc!$AN:$AN,0)),""))</f>
        <v/>
      </c>
      <c r="J101" s="61" t="str">
        <f t="array" ref="J101">IF(A101="","",IFERROR(INDEX(Calc!$M:$M,MATCH(IF(A101="","",A101&amp;"|Carousel"),Calc!$AN:$AN,0)),""))</f>
        <v/>
      </c>
      <c r="K101" s="61" t="str">
        <f t="array" ref="K101">IF(A101="","",IFERROR(INDEX(Calc!$N:$N,MATCH(IF(A101="","",A101&amp;"|Carousel"),Calc!$AN:$AN,0)),""))</f>
        <v/>
      </c>
      <c r="L101" s="62" t="str">
        <f t="array" ref="L101">IF(A101="","",IFERROR(INDEX(Calc!$AI:$AI,MATCH(IF(A101="","",A101&amp;"|Carousel"),Calc!$AN:$AN,0)),""))</f>
        <v/>
      </c>
    </row>
    <row r="102" ht="15.75" customHeight="1">
      <c r="A102" s="60" t="str">
        <f>IF(IFERROR(AGGREGATE(14,6,(Calc!$AP$2:$AP$501)/((Calc!$AM$2:$AM$501=1)*(Calc!$G$2:$G$501="Carousel")),28),"")="","",LEFT(TEXT(IFERROR(AGGREGATE(14,6,(Calc!$AP$2:$AP$501)/((Calc!$AM$2:$AM$501=1)*(Calc!$G$2:$G$501="Carousel")),28),""),"000000"),4)&amp;"-"&amp;RIGHT(TEXT(IFERROR(AGGREGATE(14,6,(Calc!$AP$2:$AP$501)/((Calc!$AM$2:$AM$501=1)*(Calc!$G$2:$G$501="Carousel")),28),""),"000000"),2))</f>
        <v/>
      </c>
      <c r="B102" s="60" t="str">
        <f t="array" ref="B102">IF(A102="","",IFERROR(INDEX(Calc!$E:$E,MATCH(IF(A102="","",A102&amp;"|Carousel"),Calc!$AN:$AN,0)),""))</f>
        <v/>
      </c>
      <c r="C102" s="60" t="str">
        <f t="array" ref="C102">IF(A102="","",IFERROR(INDEX(Calc!$D:$D,MATCH(IF(A102="","",A102&amp;"|Carousel"),Calc!$AN:$AN,0)),""))</f>
        <v/>
      </c>
      <c r="D102" s="60" t="str">
        <f t="array" ref="D102">IF(A102="","",IFERROR(INDEX(Calc!$F:$F,MATCH(IF(A102="","",A102&amp;"|Carousel"),Calc!$AN:$AN,0)),""))</f>
        <v/>
      </c>
      <c r="E102" s="60" t="str">
        <f t="array" ref="E102">IF(A102="","",IFERROR(INDEX(Calc!$H:$H,MATCH(IF(A102="","",A102&amp;"|Carousel"),Calc!$AN:$AN,0)),""))</f>
        <v/>
      </c>
      <c r="F102" s="61" t="str">
        <f t="array" ref="F102">IF(A102="","",IFERROR(INDEX(Calc!$I:$I,MATCH(IF(A102="","",A102&amp;"|Carousel"),Calc!$AN:$AN,0)),""))</f>
        <v/>
      </c>
      <c r="G102" s="61" t="str">
        <f t="array" ref="G102">IF(A102="","",IFERROR(INDEX(Calc!$J:$J,MATCH(IF(A102="","",A102&amp;"|Carousel"),Calc!$AN:$AN,0)),""))</f>
        <v/>
      </c>
      <c r="H102" s="61" t="str">
        <f t="array" ref="H102">IF(A102="","",IFERROR(INDEX(Calc!$K:$K,MATCH(IF(A102="","",A102&amp;"|Carousel"),Calc!$AN:$AN,0)),""))</f>
        <v/>
      </c>
      <c r="I102" s="61" t="str">
        <f t="array" ref="I102">IF(A102="","",IFERROR(INDEX(Calc!$L:$L,MATCH(IF(A102="","",A102&amp;"|Carousel"),Calc!$AN:$AN,0)),""))</f>
        <v/>
      </c>
      <c r="J102" s="61" t="str">
        <f t="array" ref="J102">IF(A102="","",IFERROR(INDEX(Calc!$M:$M,MATCH(IF(A102="","",A102&amp;"|Carousel"),Calc!$AN:$AN,0)),""))</f>
        <v/>
      </c>
      <c r="K102" s="61" t="str">
        <f t="array" ref="K102">IF(A102="","",IFERROR(INDEX(Calc!$N:$N,MATCH(IF(A102="","",A102&amp;"|Carousel"),Calc!$AN:$AN,0)),""))</f>
        <v/>
      </c>
      <c r="L102" s="62" t="str">
        <f t="array" ref="L102">IF(A102="","",IFERROR(INDEX(Calc!$AI:$AI,MATCH(IF(A102="","",A102&amp;"|Carousel"),Calc!$AN:$AN,0)),""))</f>
        <v/>
      </c>
    </row>
    <row r="103" ht="15.75" customHeight="1">
      <c r="A103" s="60" t="str">
        <f>IF(IFERROR(AGGREGATE(14,6,(Calc!$AP$2:$AP$501)/((Calc!$AM$2:$AM$501=1)*(Calc!$G$2:$G$501="Carousel")),29),"")="","",LEFT(TEXT(IFERROR(AGGREGATE(14,6,(Calc!$AP$2:$AP$501)/((Calc!$AM$2:$AM$501=1)*(Calc!$G$2:$G$501="Carousel")),29),""),"000000"),4)&amp;"-"&amp;RIGHT(TEXT(IFERROR(AGGREGATE(14,6,(Calc!$AP$2:$AP$501)/((Calc!$AM$2:$AM$501=1)*(Calc!$G$2:$G$501="Carousel")),29),""),"000000"),2))</f>
        <v/>
      </c>
      <c r="B103" s="60" t="str">
        <f t="array" ref="B103">IF(A103="","",IFERROR(INDEX(Calc!$E:$E,MATCH(IF(A103="","",A103&amp;"|Carousel"),Calc!$AN:$AN,0)),""))</f>
        <v/>
      </c>
      <c r="C103" s="60" t="str">
        <f t="array" ref="C103">IF(A103="","",IFERROR(INDEX(Calc!$D:$D,MATCH(IF(A103="","",A103&amp;"|Carousel"),Calc!$AN:$AN,0)),""))</f>
        <v/>
      </c>
      <c r="D103" s="60" t="str">
        <f t="array" ref="D103">IF(A103="","",IFERROR(INDEX(Calc!$F:$F,MATCH(IF(A103="","",A103&amp;"|Carousel"),Calc!$AN:$AN,0)),""))</f>
        <v/>
      </c>
      <c r="E103" s="60" t="str">
        <f t="array" ref="E103">IF(A103="","",IFERROR(INDEX(Calc!$H:$H,MATCH(IF(A103="","",A103&amp;"|Carousel"),Calc!$AN:$AN,0)),""))</f>
        <v/>
      </c>
      <c r="F103" s="61" t="str">
        <f t="array" ref="F103">IF(A103="","",IFERROR(INDEX(Calc!$I:$I,MATCH(IF(A103="","",A103&amp;"|Carousel"),Calc!$AN:$AN,0)),""))</f>
        <v/>
      </c>
      <c r="G103" s="61" t="str">
        <f t="array" ref="G103">IF(A103="","",IFERROR(INDEX(Calc!$J:$J,MATCH(IF(A103="","",A103&amp;"|Carousel"),Calc!$AN:$AN,0)),""))</f>
        <v/>
      </c>
      <c r="H103" s="61" t="str">
        <f t="array" ref="H103">IF(A103="","",IFERROR(INDEX(Calc!$K:$K,MATCH(IF(A103="","",A103&amp;"|Carousel"),Calc!$AN:$AN,0)),""))</f>
        <v/>
      </c>
      <c r="I103" s="61" t="str">
        <f t="array" ref="I103">IF(A103="","",IFERROR(INDEX(Calc!$L:$L,MATCH(IF(A103="","",A103&amp;"|Carousel"),Calc!$AN:$AN,0)),""))</f>
        <v/>
      </c>
      <c r="J103" s="61" t="str">
        <f t="array" ref="J103">IF(A103="","",IFERROR(INDEX(Calc!$M:$M,MATCH(IF(A103="","",A103&amp;"|Carousel"),Calc!$AN:$AN,0)),""))</f>
        <v/>
      </c>
      <c r="K103" s="61" t="str">
        <f t="array" ref="K103">IF(A103="","",IFERROR(INDEX(Calc!$N:$N,MATCH(IF(A103="","",A103&amp;"|Carousel"),Calc!$AN:$AN,0)),""))</f>
        <v/>
      </c>
      <c r="L103" s="62" t="str">
        <f t="array" ref="L103">IF(A103="","",IFERROR(INDEX(Calc!$AI:$AI,MATCH(IF(A103="","",A103&amp;"|Carousel"),Calc!$AN:$AN,0)),""))</f>
        <v/>
      </c>
    </row>
    <row r="104" ht="15.75" customHeight="1">
      <c r="A104" s="60" t="str">
        <f>IF(IFERROR(AGGREGATE(14,6,(Calc!$AP$2:$AP$501)/((Calc!$AM$2:$AM$501=1)*(Calc!$G$2:$G$501="Carousel")),30),"")="","",LEFT(TEXT(IFERROR(AGGREGATE(14,6,(Calc!$AP$2:$AP$501)/((Calc!$AM$2:$AM$501=1)*(Calc!$G$2:$G$501="Carousel")),30),""),"000000"),4)&amp;"-"&amp;RIGHT(TEXT(IFERROR(AGGREGATE(14,6,(Calc!$AP$2:$AP$501)/((Calc!$AM$2:$AM$501=1)*(Calc!$G$2:$G$501="Carousel")),30),""),"000000"),2))</f>
        <v/>
      </c>
      <c r="B104" s="60" t="str">
        <f t="array" ref="B104">IF(A104="","",IFERROR(INDEX(Calc!$E:$E,MATCH(IF(A104="","",A104&amp;"|Carousel"),Calc!$AN:$AN,0)),""))</f>
        <v/>
      </c>
      <c r="C104" s="60" t="str">
        <f t="array" ref="C104">IF(A104="","",IFERROR(INDEX(Calc!$D:$D,MATCH(IF(A104="","",A104&amp;"|Carousel"),Calc!$AN:$AN,0)),""))</f>
        <v/>
      </c>
      <c r="D104" s="60" t="str">
        <f t="array" ref="D104">IF(A104="","",IFERROR(INDEX(Calc!$F:$F,MATCH(IF(A104="","",A104&amp;"|Carousel"),Calc!$AN:$AN,0)),""))</f>
        <v/>
      </c>
      <c r="E104" s="60" t="str">
        <f t="array" ref="E104">IF(A104="","",IFERROR(INDEX(Calc!$H:$H,MATCH(IF(A104="","",A104&amp;"|Carousel"),Calc!$AN:$AN,0)),""))</f>
        <v/>
      </c>
      <c r="F104" s="61" t="str">
        <f t="array" ref="F104">IF(A104="","",IFERROR(INDEX(Calc!$I:$I,MATCH(IF(A104="","",A104&amp;"|Carousel"),Calc!$AN:$AN,0)),""))</f>
        <v/>
      </c>
      <c r="G104" s="61" t="str">
        <f t="array" ref="G104">IF(A104="","",IFERROR(INDEX(Calc!$J:$J,MATCH(IF(A104="","",A104&amp;"|Carousel"),Calc!$AN:$AN,0)),""))</f>
        <v/>
      </c>
      <c r="H104" s="61" t="str">
        <f t="array" ref="H104">IF(A104="","",IFERROR(INDEX(Calc!$K:$K,MATCH(IF(A104="","",A104&amp;"|Carousel"),Calc!$AN:$AN,0)),""))</f>
        <v/>
      </c>
      <c r="I104" s="61" t="str">
        <f t="array" ref="I104">IF(A104="","",IFERROR(INDEX(Calc!$L:$L,MATCH(IF(A104="","",A104&amp;"|Carousel"),Calc!$AN:$AN,0)),""))</f>
        <v/>
      </c>
      <c r="J104" s="61" t="str">
        <f t="array" ref="J104">IF(A104="","",IFERROR(INDEX(Calc!$M:$M,MATCH(IF(A104="","",A104&amp;"|Carousel"),Calc!$AN:$AN,0)),""))</f>
        <v/>
      </c>
      <c r="K104" s="61" t="str">
        <f t="array" ref="K104">IF(A104="","",IFERROR(INDEX(Calc!$N:$N,MATCH(IF(A104="","",A104&amp;"|Carousel"),Calc!$AN:$AN,0)),""))</f>
        <v/>
      </c>
      <c r="L104" s="62" t="str">
        <f t="array" ref="L104">IF(A104="","",IFERROR(INDEX(Calc!$AI:$AI,MATCH(IF(A104="","",A104&amp;"|Carousel"),Calc!$AN:$AN,0)),""))</f>
        <v/>
      </c>
    </row>
    <row r="105" ht="15.75" customHeight="1"/>
    <row r="106" ht="19.5" customHeight="1">
      <c r="A106" s="21" t="s">
        <v>155</v>
      </c>
      <c r="B106" s="22"/>
      <c r="C106" s="22"/>
      <c r="D106" s="22"/>
      <c r="E106" s="22"/>
      <c r="F106" s="22"/>
      <c r="G106" s="22"/>
      <c r="H106" s="22"/>
      <c r="I106" s="22"/>
      <c r="J106" s="22"/>
      <c r="K106" s="22"/>
      <c r="L106" s="22"/>
      <c r="M106" s="7"/>
    </row>
    <row r="107" ht="15.75" customHeight="1">
      <c r="A107" s="58" t="s">
        <v>149</v>
      </c>
      <c r="B107" s="58" t="s">
        <v>144</v>
      </c>
      <c r="C107" s="58" t="s">
        <v>19</v>
      </c>
      <c r="D107" s="58" t="s">
        <v>45</v>
      </c>
      <c r="E107" s="58" t="s">
        <v>31</v>
      </c>
      <c r="F107" s="58" t="s">
        <v>20</v>
      </c>
      <c r="G107" s="58" t="s">
        <v>48</v>
      </c>
      <c r="H107" s="58" t="s">
        <v>49</v>
      </c>
      <c r="I107" s="58" t="s">
        <v>50</v>
      </c>
      <c r="J107" s="58" t="s">
        <v>51</v>
      </c>
      <c r="K107" s="58" t="s">
        <v>145</v>
      </c>
      <c r="L107" s="58" t="s">
        <v>146</v>
      </c>
    </row>
    <row r="108" ht="15.75" customHeight="1">
      <c r="A108" s="60">
        <v>1.0</v>
      </c>
      <c r="B108" s="60" t="str">
        <f t="array" ref="B108">IFERROR(INDEX(Calc!$E:$E,MATCH(IFERROR(AGGREGATE(14,6,(Calc!$AO$2:$AO$501)/(Calc!$G$2:$G$501="Carousel"),1),""),Calc!$AO:$AO,0)),"")</f>
        <v/>
      </c>
      <c r="C108" s="60" t="str">
        <f t="array" ref="C108">IFERROR(INDEX(Calc!$D:$D,MATCH(IFERROR(AGGREGATE(14,6,(Calc!$AO$2:$AO$501)/(Calc!$G$2:$G$501="Carousel"),1),""),Calc!$AO:$AO,0)),"")</f>
        <v/>
      </c>
      <c r="D108" s="60" t="str">
        <f t="array" ref="D108">IFERROR(INDEX(Calc!$F:$F,MATCH(IFERROR(AGGREGATE(14,6,(Calc!$AO$2:$AO$501)/(Calc!$G$2:$G$501="Carousel"),1),""),Calc!$AO:$AO,0)),"")</f>
        <v/>
      </c>
      <c r="E108" s="60" t="str">
        <f t="array" ref="E108">IFERROR(INDEX(Calc!$H:$H,MATCH(IFERROR(AGGREGATE(14,6,(Calc!$AO$2:$AO$501)/(Calc!$G$2:$G$501="Carousel"),1),""),Calc!$AO:$AO,0)),"")</f>
        <v/>
      </c>
      <c r="F108" s="61" t="str">
        <f t="array" ref="F108">IFERROR(INDEX(Calc!$I:$I,MATCH(IFERROR(AGGREGATE(14,6,(Calc!$AO$2:$AO$501)/(Calc!$G$2:$G$501="Carousel"),1),""),Calc!$AO:$AO,0)),"")</f>
        <v/>
      </c>
      <c r="G108" s="61" t="str">
        <f t="array" ref="G108">IFERROR(INDEX(Calc!$J:$J,MATCH(IFERROR(AGGREGATE(14,6,(Calc!$AO$2:$AO$501)/(Calc!$G$2:$G$501="Carousel"),1),""),Calc!$AO:$AO,0)),"")</f>
        <v/>
      </c>
      <c r="H108" s="61" t="str">
        <f t="array" ref="H108">IFERROR(INDEX(Calc!$K:$K,MATCH(IFERROR(AGGREGATE(14,6,(Calc!$AO$2:$AO$501)/(Calc!$G$2:$G$501="Carousel"),1),""),Calc!$AO:$AO,0)),"")</f>
        <v/>
      </c>
      <c r="I108" s="61" t="str">
        <f t="array" ref="I108">IFERROR(INDEX(Calc!$L:$L,MATCH(IFERROR(AGGREGATE(14,6,(Calc!$AO$2:$AO$501)/(Calc!$G$2:$G$501="Carousel"),1),""),Calc!$AO:$AO,0)),"")</f>
        <v/>
      </c>
      <c r="J108" s="61" t="str">
        <f t="array" ref="J108">IFERROR(INDEX(Calc!$M:$M,MATCH(IFERROR(AGGREGATE(14,6,(Calc!$AO$2:$AO$501)/(Calc!$G$2:$G$501="Carousel"),1),""),Calc!$AO:$AO,0)),"")</f>
        <v/>
      </c>
      <c r="K108" s="61" t="str">
        <f t="array" ref="K108">IFERROR(INDEX(Calc!$N:$N,MATCH(IFERROR(AGGREGATE(14,6,(Calc!$AO$2:$AO$501)/(Calc!$G$2:$G$501="Carousel"),1),""),Calc!$AO:$AO,0)),"")</f>
        <v/>
      </c>
      <c r="L108" s="62" t="str">
        <f t="array" ref="L108">IFERROR(INDEX(Calc!$AJ:$AJ,MATCH(IFERROR(AGGREGATE(14,6,(Calc!$AO$2:$AO$501)/(Calc!$G$2:$G$501="Carousel"),1),""),Calc!$AO:$AO,0)),"")</f>
        <v/>
      </c>
    </row>
    <row r="109" ht="15.75" customHeight="1">
      <c r="A109" s="60">
        <v>2.0</v>
      </c>
      <c r="B109" s="60" t="str">
        <f t="array" ref="B109">IFERROR(INDEX(Calc!$E:$E,MATCH(IFERROR(AGGREGATE(14,6,(Calc!$AO$2:$AO$501)/(Calc!$G$2:$G$501="Carousel"),2),""),Calc!$AO:$AO,0)),"")</f>
        <v/>
      </c>
      <c r="C109" s="60" t="str">
        <f t="array" ref="C109">IFERROR(INDEX(Calc!$D:$D,MATCH(IFERROR(AGGREGATE(14,6,(Calc!$AO$2:$AO$501)/(Calc!$G$2:$G$501="Carousel"),2),""),Calc!$AO:$AO,0)),"")</f>
        <v/>
      </c>
      <c r="D109" s="60" t="str">
        <f t="array" ref="D109">IFERROR(INDEX(Calc!$F:$F,MATCH(IFERROR(AGGREGATE(14,6,(Calc!$AO$2:$AO$501)/(Calc!$G$2:$G$501="Carousel"),2),""),Calc!$AO:$AO,0)),"")</f>
        <v/>
      </c>
      <c r="E109" s="60" t="str">
        <f t="array" ref="E109">IFERROR(INDEX(Calc!$H:$H,MATCH(IFERROR(AGGREGATE(14,6,(Calc!$AO$2:$AO$501)/(Calc!$G$2:$G$501="Carousel"),2),""),Calc!$AO:$AO,0)),"")</f>
        <v/>
      </c>
      <c r="F109" s="61" t="str">
        <f t="array" ref="F109">IFERROR(INDEX(Calc!$I:$I,MATCH(IFERROR(AGGREGATE(14,6,(Calc!$AO$2:$AO$501)/(Calc!$G$2:$G$501="Carousel"),2),""),Calc!$AO:$AO,0)),"")</f>
        <v/>
      </c>
      <c r="G109" s="61" t="str">
        <f t="array" ref="G109">IFERROR(INDEX(Calc!$J:$J,MATCH(IFERROR(AGGREGATE(14,6,(Calc!$AO$2:$AO$501)/(Calc!$G$2:$G$501="Carousel"),2),""),Calc!$AO:$AO,0)),"")</f>
        <v/>
      </c>
      <c r="H109" s="61" t="str">
        <f t="array" ref="H109">IFERROR(INDEX(Calc!$K:$K,MATCH(IFERROR(AGGREGATE(14,6,(Calc!$AO$2:$AO$501)/(Calc!$G$2:$G$501="Carousel"),2),""),Calc!$AO:$AO,0)),"")</f>
        <v/>
      </c>
      <c r="I109" s="61" t="str">
        <f t="array" ref="I109">IFERROR(INDEX(Calc!$L:$L,MATCH(IFERROR(AGGREGATE(14,6,(Calc!$AO$2:$AO$501)/(Calc!$G$2:$G$501="Carousel"),2),""),Calc!$AO:$AO,0)),"")</f>
        <v/>
      </c>
      <c r="J109" s="61" t="str">
        <f t="array" ref="J109">IFERROR(INDEX(Calc!$M:$M,MATCH(IFERROR(AGGREGATE(14,6,(Calc!$AO$2:$AO$501)/(Calc!$G$2:$G$501="Carousel"),2),""),Calc!$AO:$AO,0)),"")</f>
        <v/>
      </c>
      <c r="K109" s="61" t="str">
        <f t="array" ref="K109">IFERROR(INDEX(Calc!$N:$N,MATCH(IFERROR(AGGREGATE(14,6,(Calc!$AO$2:$AO$501)/(Calc!$G$2:$G$501="Carousel"),2),""),Calc!$AO:$AO,0)),"")</f>
        <v/>
      </c>
      <c r="L109" s="62" t="str">
        <f t="array" ref="L109">IFERROR(INDEX(Calc!$AJ:$AJ,MATCH(IFERROR(AGGREGATE(14,6,(Calc!$AO$2:$AO$501)/(Calc!$G$2:$G$501="Carousel"),2),""),Calc!$AO:$AO,0)),"")</f>
        <v/>
      </c>
    </row>
    <row r="110" ht="15.75" customHeight="1">
      <c r="A110" s="60">
        <v>3.0</v>
      </c>
      <c r="B110" s="60" t="str">
        <f t="array" ref="B110">IFERROR(INDEX(Calc!$E:$E,MATCH(IFERROR(AGGREGATE(14,6,(Calc!$AO$2:$AO$501)/(Calc!$G$2:$G$501="Carousel"),3),""),Calc!$AO:$AO,0)),"")</f>
        <v/>
      </c>
      <c r="C110" s="60" t="str">
        <f t="array" ref="C110">IFERROR(INDEX(Calc!$D:$D,MATCH(IFERROR(AGGREGATE(14,6,(Calc!$AO$2:$AO$501)/(Calc!$G$2:$G$501="Carousel"),3),""),Calc!$AO:$AO,0)),"")</f>
        <v/>
      </c>
      <c r="D110" s="60" t="str">
        <f t="array" ref="D110">IFERROR(INDEX(Calc!$F:$F,MATCH(IFERROR(AGGREGATE(14,6,(Calc!$AO$2:$AO$501)/(Calc!$G$2:$G$501="Carousel"),3),""),Calc!$AO:$AO,0)),"")</f>
        <v/>
      </c>
      <c r="E110" s="60" t="str">
        <f t="array" ref="E110">IFERROR(INDEX(Calc!$H:$H,MATCH(IFERROR(AGGREGATE(14,6,(Calc!$AO$2:$AO$501)/(Calc!$G$2:$G$501="Carousel"),3),""),Calc!$AO:$AO,0)),"")</f>
        <v/>
      </c>
      <c r="F110" s="61" t="str">
        <f t="array" ref="F110">IFERROR(INDEX(Calc!$I:$I,MATCH(IFERROR(AGGREGATE(14,6,(Calc!$AO$2:$AO$501)/(Calc!$G$2:$G$501="Carousel"),3),""),Calc!$AO:$AO,0)),"")</f>
        <v/>
      </c>
      <c r="G110" s="61" t="str">
        <f t="array" ref="G110">IFERROR(INDEX(Calc!$J:$J,MATCH(IFERROR(AGGREGATE(14,6,(Calc!$AO$2:$AO$501)/(Calc!$G$2:$G$501="Carousel"),3),""),Calc!$AO:$AO,0)),"")</f>
        <v/>
      </c>
      <c r="H110" s="61" t="str">
        <f t="array" ref="H110">IFERROR(INDEX(Calc!$K:$K,MATCH(IFERROR(AGGREGATE(14,6,(Calc!$AO$2:$AO$501)/(Calc!$G$2:$G$501="Carousel"),3),""),Calc!$AO:$AO,0)),"")</f>
        <v/>
      </c>
      <c r="I110" s="61" t="str">
        <f t="array" ref="I110">IFERROR(INDEX(Calc!$L:$L,MATCH(IFERROR(AGGREGATE(14,6,(Calc!$AO$2:$AO$501)/(Calc!$G$2:$G$501="Carousel"),3),""),Calc!$AO:$AO,0)),"")</f>
        <v/>
      </c>
      <c r="J110" s="61" t="str">
        <f t="array" ref="J110">IFERROR(INDEX(Calc!$M:$M,MATCH(IFERROR(AGGREGATE(14,6,(Calc!$AO$2:$AO$501)/(Calc!$G$2:$G$501="Carousel"),3),""),Calc!$AO:$AO,0)),"")</f>
        <v/>
      </c>
      <c r="K110" s="61" t="str">
        <f t="array" ref="K110">IFERROR(INDEX(Calc!$N:$N,MATCH(IFERROR(AGGREGATE(14,6,(Calc!$AO$2:$AO$501)/(Calc!$G$2:$G$501="Carousel"),3),""),Calc!$AO:$AO,0)),"")</f>
        <v/>
      </c>
      <c r="L110" s="62" t="str">
        <f t="array" ref="L110">IFERROR(INDEX(Calc!$AJ:$AJ,MATCH(IFERROR(AGGREGATE(14,6,(Calc!$AO$2:$AO$501)/(Calc!$G$2:$G$501="Carousel"),3),""),Calc!$AO:$AO,0)),"")</f>
        <v/>
      </c>
    </row>
    <row r="111" ht="15.75" customHeight="1">
      <c r="A111" s="60">
        <v>4.0</v>
      </c>
      <c r="B111" s="60" t="str">
        <f t="array" ref="B111">IFERROR(INDEX(Calc!$E:$E,MATCH(IFERROR(AGGREGATE(14,6,(Calc!$AO$2:$AO$501)/(Calc!$G$2:$G$501="Carousel"),4),""),Calc!$AO:$AO,0)),"")</f>
        <v/>
      </c>
      <c r="C111" s="60" t="str">
        <f t="array" ref="C111">IFERROR(INDEX(Calc!$D:$D,MATCH(IFERROR(AGGREGATE(14,6,(Calc!$AO$2:$AO$501)/(Calc!$G$2:$G$501="Carousel"),4),""),Calc!$AO:$AO,0)),"")</f>
        <v/>
      </c>
      <c r="D111" s="60" t="str">
        <f t="array" ref="D111">IFERROR(INDEX(Calc!$F:$F,MATCH(IFERROR(AGGREGATE(14,6,(Calc!$AO$2:$AO$501)/(Calc!$G$2:$G$501="Carousel"),4),""),Calc!$AO:$AO,0)),"")</f>
        <v/>
      </c>
      <c r="E111" s="60" t="str">
        <f t="array" ref="E111">IFERROR(INDEX(Calc!$H:$H,MATCH(IFERROR(AGGREGATE(14,6,(Calc!$AO$2:$AO$501)/(Calc!$G$2:$G$501="Carousel"),4),""),Calc!$AO:$AO,0)),"")</f>
        <v/>
      </c>
      <c r="F111" s="61" t="str">
        <f t="array" ref="F111">IFERROR(INDEX(Calc!$I:$I,MATCH(IFERROR(AGGREGATE(14,6,(Calc!$AO$2:$AO$501)/(Calc!$G$2:$G$501="Carousel"),4),""),Calc!$AO:$AO,0)),"")</f>
        <v/>
      </c>
      <c r="G111" s="61" t="str">
        <f t="array" ref="G111">IFERROR(INDEX(Calc!$J:$J,MATCH(IFERROR(AGGREGATE(14,6,(Calc!$AO$2:$AO$501)/(Calc!$G$2:$G$501="Carousel"),4),""),Calc!$AO:$AO,0)),"")</f>
        <v/>
      </c>
      <c r="H111" s="61" t="str">
        <f t="array" ref="H111">IFERROR(INDEX(Calc!$K:$K,MATCH(IFERROR(AGGREGATE(14,6,(Calc!$AO$2:$AO$501)/(Calc!$G$2:$G$501="Carousel"),4),""),Calc!$AO:$AO,0)),"")</f>
        <v/>
      </c>
      <c r="I111" s="61" t="str">
        <f t="array" ref="I111">IFERROR(INDEX(Calc!$L:$L,MATCH(IFERROR(AGGREGATE(14,6,(Calc!$AO$2:$AO$501)/(Calc!$G$2:$G$501="Carousel"),4),""),Calc!$AO:$AO,0)),"")</f>
        <v/>
      </c>
      <c r="J111" s="61" t="str">
        <f t="array" ref="J111">IFERROR(INDEX(Calc!$M:$M,MATCH(IFERROR(AGGREGATE(14,6,(Calc!$AO$2:$AO$501)/(Calc!$G$2:$G$501="Carousel"),4),""),Calc!$AO:$AO,0)),"")</f>
        <v/>
      </c>
      <c r="K111" s="61" t="str">
        <f t="array" ref="K111">IFERROR(INDEX(Calc!$N:$N,MATCH(IFERROR(AGGREGATE(14,6,(Calc!$AO$2:$AO$501)/(Calc!$G$2:$G$501="Carousel"),4),""),Calc!$AO:$AO,0)),"")</f>
        <v/>
      </c>
      <c r="L111" s="62" t="str">
        <f t="array" ref="L111">IFERROR(INDEX(Calc!$AJ:$AJ,MATCH(IFERROR(AGGREGATE(14,6,(Calc!$AO$2:$AO$501)/(Calc!$G$2:$G$501="Carousel"),4),""),Calc!$AO:$AO,0)),"")</f>
        <v/>
      </c>
    </row>
    <row r="112" ht="15.75" customHeight="1">
      <c r="A112" s="60">
        <v>5.0</v>
      </c>
      <c r="B112" s="60" t="str">
        <f t="array" ref="B112">IFERROR(INDEX(Calc!$E:$E,MATCH(IFERROR(AGGREGATE(14,6,(Calc!$AO$2:$AO$501)/(Calc!$G$2:$G$501="Carousel"),5),""),Calc!$AO:$AO,0)),"")</f>
        <v/>
      </c>
      <c r="C112" s="60" t="str">
        <f t="array" ref="C112">IFERROR(INDEX(Calc!$D:$D,MATCH(IFERROR(AGGREGATE(14,6,(Calc!$AO$2:$AO$501)/(Calc!$G$2:$G$501="Carousel"),5),""),Calc!$AO:$AO,0)),"")</f>
        <v/>
      </c>
      <c r="D112" s="60" t="str">
        <f t="array" ref="D112">IFERROR(INDEX(Calc!$F:$F,MATCH(IFERROR(AGGREGATE(14,6,(Calc!$AO$2:$AO$501)/(Calc!$G$2:$G$501="Carousel"),5),""),Calc!$AO:$AO,0)),"")</f>
        <v/>
      </c>
      <c r="E112" s="60" t="str">
        <f t="array" ref="E112">IFERROR(INDEX(Calc!$H:$H,MATCH(IFERROR(AGGREGATE(14,6,(Calc!$AO$2:$AO$501)/(Calc!$G$2:$G$501="Carousel"),5),""),Calc!$AO:$AO,0)),"")</f>
        <v/>
      </c>
      <c r="F112" s="61" t="str">
        <f t="array" ref="F112">IFERROR(INDEX(Calc!$I:$I,MATCH(IFERROR(AGGREGATE(14,6,(Calc!$AO$2:$AO$501)/(Calc!$G$2:$G$501="Carousel"),5),""),Calc!$AO:$AO,0)),"")</f>
        <v/>
      </c>
      <c r="G112" s="61" t="str">
        <f t="array" ref="G112">IFERROR(INDEX(Calc!$J:$J,MATCH(IFERROR(AGGREGATE(14,6,(Calc!$AO$2:$AO$501)/(Calc!$G$2:$G$501="Carousel"),5),""),Calc!$AO:$AO,0)),"")</f>
        <v/>
      </c>
      <c r="H112" s="61" t="str">
        <f t="array" ref="H112">IFERROR(INDEX(Calc!$K:$K,MATCH(IFERROR(AGGREGATE(14,6,(Calc!$AO$2:$AO$501)/(Calc!$G$2:$G$501="Carousel"),5),""),Calc!$AO:$AO,0)),"")</f>
        <v/>
      </c>
      <c r="I112" s="61" t="str">
        <f t="array" ref="I112">IFERROR(INDEX(Calc!$L:$L,MATCH(IFERROR(AGGREGATE(14,6,(Calc!$AO$2:$AO$501)/(Calc!$G$2:$G$501="Carousel"),5),""),Calc!$AO:$AO,0)),"")</f>
        <v/>
      </c>
      <c r="J112" s="61" t="str">
        <f t="array" ref="J112">IFERROR(INDEX(Calc!$M:$M,MATCH(IFERROR(AGGREGATE(14,6,(Calc!$AO$2:$AO$501)/(Calc!$G$2:$G$501="Carousel"),5),""),Calc!$AO:$AO,0)),"")</f>
        <v/>
      </c>
      <c r="K112" s="61" t="str">
        <f t="array" ref="K112">IFERROR(INDEX(Calc!$N:$N,MATCH(IFERROR(AGGREGATE(14,6,(Calc!$AO$2:$AO$501)/(Calc!$G$2:$G$501="Carousel"),5),""),Calc!$AO:$AO,0)),"")</f>
        <v/>
      </c>
      <c r="L112" s="62" t="str">
        <f t="array" ref="L112">IFERROR(INDEX(Calc!$AJ:$AJ,MATCH(IFERROR(AGGREGATE(14,6,(Calc!$AO$2:$AO$501)/(Calc!$G$2:$G$501="Carousel"),5),""),Calc!$AO:$AO,0)),"")</f>
        <v/>
      </c>
    </row>
    <row r="113" ht="15.75" customHeight="1">
      <c r="A113" s="60">
        <v>6.0</v>
      </c>
      <c r="B113" s="60" t="str">
        <f t="array" ref="B113">IFERROR(INDEX(Calc!$E:$E,MATCH(IFERROR(AGGREGATE(14,6,(Calc!$AO$2:$AO$501)/(Calc!$G$2:$G$501="Carousel"),6),""),Calc!$AO:$AO,0)),"")</f>
        <v/>
      </c>
      <c r="C113" s="60" t="str">
        <f t="array" ref="C113">IFERROR(INDEX(Calc!$D:$D,MATCH(IFERROR(AGGREGATE(14,6,(Calc!$AO$2:$AO$501)/(Calc!$G$2:$G$501="Carousel"),6),""),Calc!$AO:$AO,0)),"")</f>
        <v/>
      </c>
      <c r="D113" s="60" t="str">
        <f t="array" ref="D113">IFERROR(INDEX(Calc!$F:$F,MATCH(IFERROR(AGGREGATE(14,6,(Calc!$AO$2:$AO$501)/(Calc!$G$2:$G$501="Carousel"),6),""),Calc!$AO:$AO,0)),"")</f>
        <v/>
      </c>
      <c r="E113" s="60" t="str">
        <f t="array" ref="E113">IFERROR(INDEX(Calc!$H:$H,MATCH(IFERROR(AGGREGATE(14,6,(Calc!$AO$2:$AO$501)/(Calc!$G$2:$G$501="Carousel"),6),""),Calc!$AO:$AO,0)),"")</f>
        <v/>
      </c>
      <c r="F113" s="61" t="str">
        <f t="array" ref="F113">IFERROR(INDEX(Calc!$I:$I,MATCH(IFERROR(AGGREGATE(14,6,(Calc!$AO$2:$AO$501)/(Calc!$G$2:$G$501="Carousel"),6),""),Calc!$AO:$AO,0)),"")</f>
        <v/>
      </c>
      <c r="G113" s="61" t="str">
        <f t="array" ref="G113">IFERROR(INDEX(Calc!$J:$J,MATCH(IFERROR(AGGREGATE(14,6,(Calc!$AO$2:$AO$501)/(Calc!$G$2:$G$501="Carousel"),6),""),Calc!$AO:$AO,0)),"")</f>
        <v/>
      </c>
      <c r="H113" s="61" t="str">
        <f t="array" ref="H113">IFERROR(INDEX(Calc!$K:$K,MATCH(IFERROR(AGGREGATE(14,6,(Calc!$AO$2:$AO$501)/(Calc!$G$2:$G$501="Carousel"),6),""),Calc!$AO:$AO,0)),"")</f>
        <v/>
      </c>
      <c r="I113" s="61" t="str">
        <f t="array" ref="I113">IFERROR(INDEX(Calc!$L:$L,MATCH(IFERROR(AGGREGATE(14,6,(Calc!$AO$2:$AO$501)/(Calc!$G$2:$G$501="Carousel"),6),""),Calc!$AO:$AO,0)),"")</f>
        <v/>
      </c>
      <c r="J113" s="61" t="str">
        <f t="array" ref="J113">IFERROR(INDEX(Calc!$M:$M,MATCH(IFERROR(AGGREGATE(14,6,(Calc!$AO$2:$AO$501)/(Calc!$G$2:$G$501="Carousel"),6),""),Calc!$AO:$AO,0)),"")</f>
        <v/>
      </c>
      <c r="K113" s="61" t="str">
        <f t="array" ref="K113">IFERROR(INDEX(Calc!$N:$N,MATCH(IFERROR(AGGREGATE(14,6,(Calc!$AO$2:$AO$501)/(Calc!$G$2:$G$501="Carousel"),6),""),Calc!$AO:$AO,0)),"")</f>
        <v/>
      </c>
      <c r="L113" s="62" t="str">
        <f t="array" ref="L113">IFERROR(INDEX(Calc!$AJ:$AJ,MATCH(IFERROR(AGGREGATE(14,6,(Calc!$AO$2:$AO$501)/(Calc!$G$2:$G$501="Carousel"),6),""),Calc!$AO:$AO,0)),"")</f>
        <v/>
      </c>
    </row>
    <row r="114" ht="15.75" customHeight="1">
      <c r="A114" s="60">
        <v>7.0</v>
      </c>
      <c r="B114" s="60" t="str">
        <f t="array" ref="B114">IFERROR(INDEX(Calc!$E:$E,MATCH(IFERROR(AGGREGATE(14,6,(Calc!$AO$2:$AO$501)/(Calc!$G$2:$G$501="Carousel"),7),""),Calc!$AO:$AO,0)),"")</f>
        <v/>
      </c>
      <c r="C114" s="60" t="str">
        <f t="array" ref="C114">IFERROR(INDEX(Calc!$D:$D,MATCH(IFERROR(AGGREGATE(14,6,(Calc!$AO$2:$AO$501)/(Calc!$G$2:$G$501="Carousel"),7),""),Calc!$AO:$AO,0)),"")</f>
        <v/>
      </c>
      <c r="D114" s="60" t="str">
        <f t="array" ref="D114">IFERROR(INDEX(Calc!$F:$F,MATCH(IFERROR(AGGREGATE(14,6,(Calc!$AO$2:$AO$501)/(Calc!$G$2:$G$501="Carousel"),7),""),Calc!$AO:$AO,0)),"")</f>
        <v/>
      </c>
      <c r="E114" s="60" t="str">
        <f t="array" ref="E114">IFERROR(INDEX(Calc!$H:$H,MATCH(IFERROR(AGGREGATE(14,6,(Calc!$AO$2:$AO$501)/(Calc!$G$2:$G$501="Carousel"),7),""),Calc!$AO:$AO,0)),"")</f>
        <v/>
      </c>
      <c r="F114" s="61" t="str">
        <f t="array" ref="F114">IFERROR(INDEX(Calc!$I:$I,MATCH(IFERROR(AGGREGATE(14,6,(Calc!$AO$2:$AO$501)/(Calc!$G$2:$G$501="Carousel"),7),""),Calc!$AO:$AO,0)),"")</f>
        <v/>
      </c>
      <c r="G114" s="61" t="str">
        <f t="array" ref="G114">IFERROR(INDEX(Calc!$J:$J,MATCH(IFERROR(AGGREGATE(14,6,(Calc!$AO$2:$AO$501)/(Calc!$G$2:$G$501="Carousel"),7),""),Calc!$AO:$AO,0)),"")</f>
        <v/>
      </c>
      <c r="H114" s="61" t="str">
        <f t="array" ref="H114">IFERROR(INDEX(Calc!$K:$K,MATCH(IFERROR(AGGREGATE(14,6,(Calc!$AO$2:$AO$501)/(Calc!$G$2:$G$501="Carousel"),7),""),Calc!$AO:$AO,0)),"")</f>
        <v/>
      </c>
      <c r="I114" s="61" t="str">
        <f t="array" ref="I114">IFERROR(INDEX(Calc!$L:$L,MATCH(IFERROR(AGGREGATE(14,6,(Calc!$AO$2:$AO$501)/(Calc!$G$2:$G$501="Carousel"),7),""),Calc!$AO:$AO,0)),"")</f>
        <v/>
      </c>
      <c r="J114" s="61" t="str">
        <f t="array" ref="J114">IFERROR(INDEX(Calc!$M:$M,MATCH(IFERROR(AGGREGATE(14,6,(Calc!$AO$2:$AO$501)/(Calc!$G$2:$G$501="Carousel"),7),""),Calc!$AO:$AO,0)),"")</f>
        <v/>
      </c>
      <c r="K114" s="61" t="str">
        <f t="array" ref="K114">IFERROR(INDEX(Calc!$N:$N,MATCH(IFERROR(AGGREGATE(14,6,(Calc!$AO$2:$AO$501)/(Calc!$G$2:$G$501="Carousel"),7),""),Calc!$AO:$AO,0)),"")</f>
        <v/>
      </c>
      <c r="L114" s="62" t="str">
        <f t="array" ref="L114">IFERROR(INDEX(Calc!$AJ:$AJ,MATCH(IFERROR(AGGREGATE(14,6,(Calc!$AO$2:$AO$501)/(Calc!$G$2:$G$501="Carousel"),7),""),Calc!$AO:$AO,0)),"")</f>
        <v/>
      </c>
    </row>
    <row r="115" ht="15.75" customHeight="1">
      <c r="A115" s="60">
        <v>8.0</v>
      </c>
      <c r="B115" s="60" t="str">
        <f t="array" ref="B115">IFERROR(INDEX(Calc!$E:$E,MATCH(IFERROR(AGGREGATE(14,6,(Calc!$AO$2:$AO$501)/(Calc!$G$2:$G$501="Carousel"),8),""),Calc!$AO:$AO,0)),"")</f>
        <v/>
      </c>
      <c r="C115" s="60" t="str">
        <f t="array" ref="C115">IFERROR(INDEX(Calc!$D:$D,MATCH(IFERROR(AGGREGATE(14,6,(Calc!$AO$2:$AO$501)/(Calc!$G$2:$G$501="Carousel"),8),""),Calc!$AO:$AO,0)),"")</f>
        <v/>
      </c>
      <c r="D115" s="60" t="str">
        <f t="array" ref="D115">IFERROR(INDEX(Calc!$F:$F,MATCH(IFERROR(AGGREGATE(14,6,(Calc!$AO$2:$AO$501)/(Calc!$G$2:$G$501="Carousel"),8),""),Calc!$AO:$AO,0)),"")</f>
        <v/>
      </c>
      <c r="E115" s="60" t="str">
        <f t="array" ref="E115">IFERROR(INDEX(Calc!$H:$H,MATCH(IFERROR(AGGREGATE(14,6,(Calc!$AO$2:$AO$501)/(Calc!$G$2:$G$501="Carousel"),8),""),Calc!$AO:$AO,0)),"")</f>
        <v/>
      </c>
      <c r="F115" s="61" t="str">
        <f t="array" ref="F115">IFERROR(INDEX(Calc!$I:$I,MATCH(IFERROR(AGGREGATE(14,6,(Calc!$AO$2:$AO$501)/(Calc!$G$2:$G$501="Carousel"),8),""),Calc!$AO:$AO,0)),"")</f>
        <v/>
      </c>
      <c r="G115" s="61" t="str">
        <f t="array" ref="G115">IFERROR(INDEX(Calc!$J:$J,MATCH(IFERROR(AGGREGATE(14,6,(Calc!$AO$2:$AO$501)/(Calc!$G$2:$G$501="Carousel"),8),""),Calc!$AO:$AO,0)),"")</f>
        <v/>
      </c>
      <c r="H115" s="61" t="str">
        <f t="array" ref="H115">IFERROR(INDEX(Calc!$K:$K,MATCH(IFERROR(AGGREGATE(14,6,(Calc!$AO$2:$AO$501)/(Calc!$G$2:$G$501="Carousel"),8),""),Calc!$AO:$AO,0)),"")</f>
        <v/>
      </c>
      <c r="I115" s="61" t="str">
        <f t="array" ref="I115">IFERROR(INDEX(Calc!$L:$L,MATCH(IFERROR(AGGREGATE(14,6,(Calc!$AO$2:$AO$501)/(Calc!$G$2:$G$501="Carousel"),8),""),Calc!$AO:$AO,0)),"")</f>
        <v/>
      </c>
      <c r="J115" s="61" t="str">
        <f t="array" ref="J115">IFERROR(INDEX(Calc!$M:$M,MATCH(IFERROR(AGGREGATE(14,6,(Calc!$AO$2:$AO$501)/(Calc!$G$2:$G$501="Carousel"),8),""),Calc!$AO:$AO,0)),"")</f>
        <v/>
      </c>
      <c r="K115" s="61" t="str">
        <f t="array" ref="K115">IFERROR(INDEX(Calc!$N:$N,MATCH(IFERROR(AGGREGATE(14,6,(Calc!$AO$2:$AO$501)/(Calc!$G$2:$G$501="Carousel"),8),""),Calc!$AO:$AO,0)),"")</f>
        <v/>
      </c>
      <c r="L115" s="62" t="str">
        <f t="array" ref="L115">IFERROR(INDEX(Calc!$AJ:$AJ,MATCH(IFERROR(AGGREGATE(14,6,(Calc!$AO$2:$AO$501)/(Calc!$G$2:$G$501="Carousel"),8),""),Calc!$AO:$AO,0)),"")</f>
        <v/>
      </c>
    </row>
    <row r="116" ht="15.75" customHeight="1">
      <c r="A116" s="60">
        <v>9.0</v>
      </c>
      <c r="B116" s="60" t="str">
        <f t="array" ref="B116">IFERROR(INDEX(Calc!$E:$E,MATCH(IFERROR(AGGREGATE(14,6,(Calc!$AO$2:$AO$501)/(Calc!$G$2:$G$501="Carousel"),9),""),Calc!$AO:$AO,0)),"")</f>
        <v/>
      </c>
      <c r="C116" s="60" t="str">
        <f t="array" ref="C116">IFERROR(INDEX(Calc!$D:$D,MATCH(IFERROR(AGGREGATE(14,6,(Calc!$AO$2:$AO$501)/(Calc!$G$2:$G$501="Carousel"),9),""),Calc!$AO:$AO,0)),"")</f>
        <v/>
      </c>
      <c r="D116" s="60" t="str">
        <f t="array" ref="D116">IFERROR(INDEX(Calc!$F:$F,MATCH(IFERROR(AGGREGATE(14,6,(Calc!$AO$2:$AO$501)/(Calc!$G$2:$G$501="Carousel"),9),""),Calc!$AO:$AO,0)),"")</f>
        <v/>
      </c>
      <c r="E116" s="60" t="str">
        <f t="array" ref="E116">IFERROR(INDEX(Calc!$H:$H,MATCH(IFERROR(AGGREGATE(14,6,(Calc!$AO$2:$AO$501)/(Calc!$G$2:$G$501="Carousel"),9),""),Calc!$AO:$AO,0)),"")</f>
        <v/>
      </c>
      <c r="F116" s="61" t="str">
        <f t="array" ref="F116">IFERROR(INDEX(Calc!$I:$I,MATCH(IFERROR(AGGREGATE(14,6,(Calc!$AO$2:$AO$501)/(Calc!$G$2:$G$501="Carousel"),9),""),Calc!$AO:$AO,0)),"")</f>
        <v/>
      </c>
      <c r="G116" s="61" t="str">
        <f t="array" ref="G116">IFERROR(INDEX(Calc!$J:$J,MATCH(IFERROR(AGGREGATE(14,6,(Calc!$AO$2:$AO$501)/(Calc!$G$2:$G$501="Carousel"),9),""),Calc!$AO:$AO,0)),"")</f>
        <v/>
      </c>
      <c r="H116" s="61" t="str">
        <f t="array" ref="H116">IFERROR(INDEX(Calc!$K:$K,MATCH(IFERROR(AGGREGATE(14,6,(Calc!$AO$2:$AO$501)/(Calc!$G$2:$G$501="Carousel"),9),""),Calc!$AO:$AO,0)),"")</f>
        <v/>
      </c>
      <c r="I116" s="61" t="str">
        <f t="array" ref="I116">IFERROR(INDEX(Calc!$L:$L,MATCH(IFERROR(AGGREGATE(14,6,(Calc!$AO$2:$AO$501)/(Calc!$G$2:$G$501="Carousel"),9),""),Calc!$AO:$AO,0)),"")</f>
        <v/>
      </c>
      <c r="J116" s="61" t="str">
        <f t="array" ref="J116">IFERROR(INDEX(Calc!$M:$M,MATCH(IFERROR(AGGREGATE(14,6,(Calc!$AO$2:$AO$501)/(Calc!$G$2:$G$501="Carousel"),9),""),Calc!$AO:$AO,0)),"")</f>
        <v/>
      </c>
      <c r="K116" s="61" t="str">
        <f t="array" ref="K116">IFERROR(INDEX(Calc!$N:$N,MATCH(IFERROR(AGGREGATE(14,6,(Calc!$AO$2:$AO$501)/(Calc!$G$2:$G$501="Carousel"),9),""),Calc!$AO:$AO,0)),"")</f>
        <v/>
      </c>
      <c r="L116" s="62" t="str">
        <f t="array" ref="L116">IFERROR(INDEX(Calc!$AJ:$AJ,MATCH(IFERROR(AGGREGATE(14,6,(Calc!$AO$2:$AO$501)/(Calc!$G$2:$G$501="Carousel"),9),""),Calc!$AO:$AO,0)),"")</f>
        <v/>
      </c>
    </row>
    <row r="117" ht="15.75" customHeight="1">
      <c r="A117" s="60">
        <v>10.0</v>
      </c>
      <c r="B117" s="60" t="str">
        <f t="array" ref="B117">IFERROR(INDEX(Calc!$E:$E,MATCH(IFERROR(AGGREGATE(14,6,(Calc!$AO$2:$AO$501)/(Calc!$G$2:$G$501="Carousel"),10),""),Calc!$AO:$AO,0)),"")</f>
        <v/>
      </c>
      <c r="C117" s="60" t="str">
        <f t="array" ref="C117">IFERROR(INDEX(Calc!$D:$D,MATCH(IFERROR(AGGREGATE(14,6,(Calc!$AO$2:$AO$501)/(Calc!$G$2:$G$501="Carousel"),10),""),Calc!$AO:$AO,0)),"")</f>
        <v/>
      </c>
      <c r="D117" s="60" t="str">
        <f t="array" ref="D117">IFERROR(INDEX(Calc!$F:$F,MATCH(IFERROR(AGGREGATE(14,6,(Calc!$AO$2:$AO$501)/(Calc!$G$2:$G$501="Carousel"),10),""),Calc!$AO:$AO,0)),"")</f>
        <v/>
      </c>
      <c r="E117" s="60" t="str">
        <f t="array" ref="E117">IFERROR(INDEX(Calc!$H:$H,MATCH(IFERROR(AGGREGATE(14,6,(Calc!$AO$2:$AO$501)/(Calc!$G$2:$G$501="Carousel"),10),""),Calc!$AO:$AO,0)),"")</f>
        <v/>
      </c>
      <c r="F117" s="61" t="str">
        <f t="array" ref="F117">IFERROR(INDEX(Calc!$I:$I,MATCH(IFERROR(AGGREGATE(14,6,(Calc!$AO$2:$AO$501)/(Calc!$G$2:$G$501="Carousel"),10),""),Calc!$AO:$AO,0)),"")</f>
        <v/>
      </c>
      <c r="G117" s="61" t="str">
        <f t="array" ref="G117">IFERROR(INDEX(Calc!$J:$J,MATCH(IFERROR(AGGREGATE(14,6,(Calc!$AO$2:$AO$501)/(Calc!$G$2:$G$501="Carousel"),10),""),Calc!$AO:$AO,0)),"")</f>
        <v/>
      </c>
      <c r="H117" s="61" t="str">
        <f t="array" ref="H117">IFERROR(INDEX(Calc!$K:$K,MATCH(IFERROR(AGGREGATE(14,6,(Calc!$AO$2:$AO$501)/(Calc!$G$2:$G$501="Carousel"),10),""),Calc!$AO:$AO,0)),"")</f>
        <v/>
      </c>
      <c r="I117" s="61" t="str">
        <f t="array" ref="I117">IFERROR(INDEX(Calc!$L:$L,MATCH(IFERROR(AGGREGATE(14,6,(Calc!$AO$2:$AO$501)/(Calc!$G$2:$G$501="Carousel"),10),""),Calc!$AO:$AO,0)),"")</f>
        <v/>
      </c>
      <c r="J117" s="61" t="str">
        <f t="array" ref="J117">IFERROR(INDEX(Calc!$M:$M,MATCH(IFERROR(AGGREGATE(14,6,(Calc!$AO$2:$AO$501)/(Calc!$G$2:$G$501="Carousel"),10),""),Calc!$AO:$AO,0)),"")</f>
        <v/>
      </c>
      <c r="K117" s="61" t="str">
        <f t="array" ref="K117">IFERROR(INDEX(Calc!$N:$N,MATCH(IFERROR(AGGREGATE(14,6,(Calc!$AO$2:$AO$501)/(Calc!$G$2:$G$501="Carousel"),10),""),Calc!$AO:$AO,0)),"")</f>
        <v/>
      </c>
      <c r="L117" s="62" t="str">
        <f t="array" ref="L117">IFERROR(INDEX(Calc!$AJ:$AJ,MATCH(IFERROR(AGGREGATE(14,6,(Calc!$AO$2:$AO$501)/(Calc!$G$2:$G$501="Carousel"),10),""),Calc!$AO:$AO,0)),"")</f>
        <v/>
      </c>
    </row>
    <row r="118" ht="15.75" customHeight="1">
      <c r="A118" s="60">
        <v>11.0</v>
      </c>
      <c r="B118" s="60" t="str">
        <f t="array" ref="B118">IFERROR(INDEX(Calc!$E:$E,MATCH(IFERROR(AGGREGATE(14,6,(Calc!$AO$2:$AO$501)/(Calc!$G$2:$G$501="Carousel"),11),""),Calc!$AO:$AO,0)),"")</f>
        <v/>
      </c>
      <c r="C118" s="60" t="str">
        <f t="array" ref="C118">IFERROR(INDEX(Calc!$D:$D,MATCH(IFERROR(AGGREGATE(14,6,(Calc!$AO$2:$AO$501)/(Calc!$G$2:$G$501="Carousel"),11),""),Calc!$AO:$AO,0)),"")</f>
        <v/>
      </c>
      <c r="D118" s="60" t="str">
        <f t="array" ref="D118">IFERROR(INDEX(Calc!$F:$F,MATCH(IFERROR(AGGREGATE(14,6,(Calc!$AO$2:$AO$501)/(Calc!$G$2:$G$501="Carousel"),11),""),Calc!$AO:$AO,0)),"")</f>
        <v/>
      </c>
      <c r="E118" s="60" t="str">
        <f t="array" ref="E118">IFERROR(INDEX(Calc!$H:$H,MATCH(IFERROR(AGGREGATE(14,6,(Calc!$AO$2:$AO$501)/(Calc!$G$2:$G$501="Carousel"),11),""),Calc!$AO:$AO,0)),"")</f>
        <v/>
      </c>
      <c r="F118" s="61" t="str">
        <f t="array" ref="F118">IFERROR(INDEX(Calc!$I:$I,MATCH(IFERROR(AGGREGATE(14,6,(Calc!$AO$2:$AO$501)/(Calc!$G$2:$G$501="Carousel"),11),""),Calc!$AO:$AO,0)),"")</f>
        <v/>
      </c>
      <c r="G118" s="61" t="str">
        <f t="array" ref="G118">IFERROR(INDEX(Calc!$J:$J,MATCH(IFERROR(AGGREGATE(14,6,(Calc!$AO$2:$AO$501)/(Calc!$G$2:$G$501="Carousel"),11),""),Calc!$AO:$AO,0)),"")</f>
        <v/>
      </c>
      <c r="H118" s="61" t="str">
        <f t="array" ref="H118">IFERROR(INDEX(Calc!$K:$K,MATCH(IFERROR(AGGREGATE(14,6,(Calc!$AO$2:$AO$501)/(Calc!$G$2:$G$501="Carousel"),11),""),Calc!$AO:$AO,0)),"")</f>
        <v/>
      </c>
      <c r="I118" s="61" t="str">
        <f t="array" ref="I118">IFERROR(INDEX(Calc!$L:$L,MATCH(IFERROR(AGGREGATE(14,6,(Calc!$AO$2:$AO$501)/(Calc!$G$2:$G$501="Carousel"),11),""),Calc!$AO:$AO,0)),"")</f>
        <v/>
      </c>
      <c r="J118" s="61" t="str">
        <f t="array" ref="J118">IFERROR(INDEX(Calc!$M:$M,MATCH(IFERROR(AGGREGATE(14,6,(Calc!$AO$2:$AO$501)/(Calc!$G$2:$G$501="Carousel"),11),""),Calc!$AO:$AO,0)),"")</f>
        <v/>
      </c>
      <c r="K118" s="61" t="str">
        <f t="array" ref="K118">IFERROR(INDEX(Calc!$N:$N,MATCH(IFERROR(AGGREGATE(14,6,(Calc!$AO$2:$AO$501)/(Calc!$G$2:$G$501="Carousel"),11),""),Calc!$AO:$AO,0)),"")</f>
        <v/>
      </c>
      <c r="L118" s="62" t="str">
        <f t="array" ref="L118">IFERROR(INDEX(Calc!$AJ:$AJ,MATCH(IFERROR(AGGREGATE(14,6,(Calc!$AO$2:$AO$501)/(Calc!$G$2:$G$501="Carousel"),11),""),Calc!$AO:$AO,0)),"")</f>
        <v/>
      </c>
    </row>
    <row r="119" ht="15.75" customHeight="1">
      <c r="A119" s="60">
        <v>12.0</v>
      </c>
      <c r="B119" s="60" t="str">
        <f t="array" ref="B119">IFERROR(INDEX(Calc!$E:$E,MATCH(IFERROR(AGGREGATE(14,6,(Calc!$AO$2:$AO$501)/(Calc!$G$2:$G$501="Carousel"),12),""),Calc!$AO:$AO,0)),"")</f>
        <v/>
      </c>
      <c r="C119" s="60" t="str">
        <f t="array" ref="C119">IFERROR(INDEX(Calc!$D:$D,MATCH(IFERROR(AGGREGATE(14,6,(Calc!$AO$2:$AO$501)/(Calc!$G$2:$G$501="Carousel"),12),""),Calc!$AO:$AO,0)),"")</f>
        <v/>
      </c>
      <c r="D119" s="60" t="str">
        <f t="array" ref="D119">IFERROR(INDEX(Calc!$F:$F,MATCH(IFERROR(AGGREGATE(14,6,(Calc!$AO$2:$AO$501)/(Calc!$G$2:$G$501="Carousel"),12),""),Calc!$AO:$AO,0)),"")</f>
        <v/>
      </c>
      <c r="E119" s="60" t="str">
        <f t="array" ref="E119">IFERROR(INDEX(Calc!$H:$H,MATCH(IFERROR(AGGREGATE(14,6,(Calc!$AO$2:$AO$501)/(Calc!$G$2:$G$501="Carousel"),12),""),Calc!$AO:$AO,0)),"")</f>
        <v/>
      </c>
      <c r="F119" s="61" t="str">
        <f t="array" ref="F119">IFERROR(INDEX(Calc!$I:$I,MATCH(IFERROR(AGGREGATE(14,6,(Calc!$AO$2:$AO$501)/(Calc!$G$2:$G$501="Carousel"),12),""),Calc!$AO:$AO,0)),"")</f>
        <v/>
      </c>
      <c r="G119" s="61" t="str">
        <f t="array" ref="G119">IFERROR(INDEX(Calc!$J:$J,MATCH(IFERROR(AGGREGATE(14,6,(Calc!$AO$2:$AO$501)/(Calc!$G$2:$G$501="Carousel"),12),""),Calc!$AO:$AO,0)),"")</f>
        <v/>
      </c>
      <c r="H119" s="61" t="str">
        <f t="array" ref="H119">IFERROR(INDEX(Calc!$K:$K,MATCH(IFERROR(AGGREGATE(14,6,(Calc!$AO$2:$AO$501)/(Calc!$G$2:$G$501="Carousel"),12),""),Calc!$AO:$AO,0)),"")</f>
        <v/>
      </c>
      <c r="I119" s="61" t="str">
        <f t="array" ref="I119">IFERROR(INDEX(Calc!$L:$L,MATCH(IFERROR(AGGREGATE(14,6,(Calc!$AO$2:$AO$501)/(Calc!$G$2:$G$501="Carousel"),12),""),Calc!$AO:$AO,0)),"")</f>
        <v/>
      </c>
      <c r="J119" s="61" t="str">
        <f t="array" ref="J119">IFERROR(INDEX(Calc!$M:$M,MATCH(IFERROR(AGGREGATE(14,6,(Calc!$AO$2:$AO$501)/(Calc!$G$2:$G$501="Carousel"),12),""),Calc!$AO:$AO,0)),"")</f>
        <v/>
      </c>
      <c r="K119" s="61" t="str">
        <f t="array" ref="K119">IFERROR(INDEX(Calc!$N:$N,MATCH(IFERROR(AGGREGATE(14,6,(Calc!$AO$2:$AO$501)/(Calc!$G$2:$G$501="Carousel"),12),""),Calc!$AO:$AO,0)),"")</f>
        <v/>
      </c>
      <c r="L119" s="62" t="str">
        <f t="array" ref="L119">IFERROR(INDEX(Calc!$AJ:$AJ,MATCH(IFERROR(AGGREGATE(14,6,(Calc!$AO$2:$AO$501)/(Calc!$G$2:$G$501="Carousel"),12),""),Calc!$AO:$AO,0)),"")</f>
        <v/>
      </c>
    </row>
    <row r="120" ht="15.75" customHeight="1">
      <c r="A120" s="60">
        <v>13.0</v>
      </c>
      <c r="B120" s="60" t="str">
        <f t="array" ref="B120">IFERROR(INDEX(Calc!$E:$E,MATCH(IFERROR(AGGREGATE(14,6,(Calc!$AO$2:$AO$501)/(Calc!$G$2:$G$501="Carousel"),13),""),Calc!$AO:$AO,0)),"")</f>
        <v/>
      </c>
      <c r="C120" s="60" t="str">
        <f t="array" ref="C120">IFERROR(INDEX(Calc!$D:$D,MATCH(IFERROR(AGGREGATE(14,6,(Calc!$AO$2:$AO$501)/(Calc!$G$2:$G$501="Carousel"),13),""),Calc!$AO:$AO,0)),"")</f>
        <v/>
      </c>
      <c r="D120" s="60" t="str">
        <f t="array" ref="D120">IFERROR(INDEX(Calc!$F:$F,MATCH(IFERROR(AGGREGATE(14,6,(Calc!$AO$2:$AO$501)/(Calc!$G$2:$G$501="Carousel"),13),""),Calc!$AO:$AO,0)),"")</f>
        <v/>
      </c>
      <c r="E120" s="60" t="str">
        <f t="array" ref="E120">IFERROR(INDEX(Calc!$H:$H,MATCH(IFERROR(AGGREGATE(14,6,(Calc!$AO$2:$AO$501)/(Calc!$G$2:$G$501="Carousel"),13),""),Calc!$AO:$AO,0)),"")</f>
        <v/>
      </c>
      <c r="F120" s="61" t="str">
        <f t="array" ref="F120">IFERROR(INDEX(Calc!$I:$I,MATCH(IFERROR(AGGREGATE(14,6,(Calc!$AO$2:$AO$501)/(Calc!$G$2:$G$501="Carousel"),13),""),Calc!$AO:$AO,0)),"")</f>
        <v/>
      </c>
      <c r="G120" s="61" t="str">
        <f t="array" ref="G120">IFERROR(INDEX(Calc!$J:$J,MATCH(IFERROR(AGGREGATE(14,6,(Calc!$AO$2:$AO$501)/(Calc!$G$2:$G$501="Carousel"),13),""),Calc!$AO:$AO,0)),"")</f>
        <v/>
      </c>
      <c r="H120" s="61" t="str">
        <f t="array" ref="H120">IFERROR(INDEX(Calc!$K:$K,MATCH(IFERROR(AGGREGATE(14,6,(Calc!$AO$2:$AO$501)/(Calc!$G$2:$G$501="Carousel"),13),""),Calc!$AO:$AO,0)),"")</f>
        <v/>
      </c>
      <c r="I120" s="61" t="str">
        <f t="array" ref="I120">IFERROR(INDEX(Calc!$L:$L,MATCH(IFERROR(AGGREGATE(14,6,(Calc!$AO$2:$AO$501)/(Calc!$G$2:$G$501="Carousel"),13),""),Calc!$AO:$AO,0)),"")</f>
        <v/>
      </c>
      <c r="J120" s="61" t="str">
        <f t="array" ref="J120">IFERROR(INDEX(Calc!$M:$M,MATCH(IFERROR(AGGREGATE(14,6,(Calc!$AO$2:$AO$501)/(Calc!$G$2:$G$501="Carousel"),13),""),Calc!$AO:$AO,0)),"")</f>
        <v/>
      </c>
      <c r="K120" s="61" t="str">
        <f t="array" ref="K120">IFERROR(INDEX(Calc!$N:$N,MATCH(IFERROR(AGGREGATE(14,6,(Calc!$AO$2:$AO$501)/(Calc!$G$2:$G$501="Carousel"),13),""),Calc!$AO:$AO,0)),"")</f>
        <v/>
      </c>
      <c r="L120" s="62" t="str">
        <f t="array" ref="L120">IFERROR(INDEX(Calc!$AJ:$AJ,MATCH(IFERROR(AGGREGATE(14,6,(Calc!$AO$2:$AO$501)/(Calc!$G$2:$G$501="Carousel"),13),""),Calc!$AO:$AO,0)),"")</f>
        <v/>
      </c>
    </row>
    <row r="121" ht="15.75" customHeight="1">
      <c r="A121" s="60">
        <v>14.0</v>
      </c>
      <c r="B121" s="60" t="str">
        <f t="array" ref="B121">IFERROR(INDEX(Calc!$E:$E,MATCH(IFERROR(AGGREGATE(14,6,(Calc!$AO$2:$AO$501)/(Calc!$G$2:$G$501="Carousel"),14),""),Calc!$AO:$AO,0)),"")</f>
        <v/>
      </c>
      <c r="C121" s="60" t="str">
        <f t="array" ref="C121">IFERROR(INDEX(Calc!$D:$D,MATCH(IFERROR(AGGREGATE(14,6,(Calc!$AO$2:$AO$501)/(Calc!$G$2:$G$501="Carousel"),14),""),Calc!$AO:$AO,0)),"")</f>
        <v/>
      </c>
      <c r="D121" s="60" t="str">
        <f t="array" ref="D121">IFERROR(INDEX(Calc!$F:$F,MATCH(IFERROR(AGGREGATE(14,6,(Calc!$AO$2:$AO$501)/(Calc!$G$2:$G$501="Carousel"),14),""),Calc!$AO:$AO,0)),"")</f>
        <v/>
      </c>
      <c r="E121" s="60" t="str">
        <f t="array" ref="E121">IFERROR(INDEX(Calc!$H:$H,MATCH(IFERROR(AGGREGATE(14,6,(Calc!$AO$2:$AO$501)/(Calc!$G$2:$G$501="Carousel"),14),""),Calc!$AO:$AO,0)),"")</f>
        <v/>
      </c>
      <c r="F121" s="61" t="str">
        <f t="array" ref="F121">IFERROR(INDEX(Calc!$I:$I,MATCH(IFERROR(AGGREGATE(14,6,(Calc!$AO$2:$AO$501)/(Calc!$G$2:$G$501="Carousel"),14),""),Calc!$AO:$AO,0)),"")</f>
        <v/>
      </c>
      <c r="G121" s="61" t="str">
        <f t="array" ref="G121">IFERROR(INDEX(Calc!$J:$J,MATCH(IFERROR(AGGREGATE(14,6,(Calc!$AO$2:$AO$501)/(Calc!$G$2:$G$501="Carousel"),14),""),Calc!$AO:$AO,0)),"")</f>
        <v/>
      </c>
      <c r="H121" s="61" t="str">
        <f t="array" ref="H121">IFERROR(INDEX(Calc!$K:$K,MATCH(IFERROR(AGGREGATE(14,6,(Calc!$AO$2:$AO$501)/(Calc!$G$2:$G$501="Carousel"),14),""),Calc!$AO:$AO,0)),"")</f>
        <v/>
      </c>
      <c r="I121" s="61" t="str">
        <f t="array" ref="I121">IFERROR(INDEX(Calc!$L:$L,MATCH(IFERROR(AGGREGATE(14,6,(Calc!$AO$2:$AO$501)/(Calc!$G$2:$G$501="Carousel"),14),""),Calc!$AO:$AO,0)),"")</f>
        <v/>
      </c>
      <c r="J121" s="61" t="str">
        <f t="array" ref="J121">IFERROR(INDEX(Calc!$M:$M,MATCH(IFERROR(AGGREGATE(14,6,(Calc!$AO$2:$AO$501)/(Calc!$G$2:$G$501="Carousel"),14),""),Calc!$AO:$AO,0)),"")</f>
        <v/>
      </c>
      <c r="K121" s="61" t="str">
        <f t="array" ref="K121">IFERROR(INDEX(Calc!$N:$N,MATCH(IFERROR(AGGREGATE(14,6,(Calc!$AO$2:$AO$501)/(Calc!$G$2:$G$501="Carousel"),14),""),Calc!$AO:$AO,0)),"")</f>
        <v/>
      </c>
      <c r="L121" s="62" t="str">
        <f t="array" ref="L121">IFERROR(INDEX(Calc!$AJ:$AJ,MATCH(IFERROR(AGGREGATE(14,6,(Calc!$AO$2:$AO$501)/(Calc!$G$2:$G$501="Carousel"),14),""),Calc!$AO:$AO,0)),"")</f>
        <v/>
      </c>
    </row>
    <row r="122" ht="15.75" customHeight="1">
      <c r="A122" s="60">
        <v>15.0</v>
      </c>
      <c r="B122" s="60" t="str">
        <f t="array" ref="B122">IFERROR(INDEX(Calc!$E:$E,MATCH(IFERROR(AGGREGATE(14,6,(Calc!$AO$2:$AO$501)/(Calc!$G$2:$G$501="Carousel"),15),""),Calc!$AO:$AO,0)),"")</f>
        <v/>
      </c>
      <c r="C122" s="60" t="str">
        <f t="array" ref="C122">IFERROR(INDEX(Calc!$D:$D,MATCH(IFERROR(AGGREGATE(14,6,(Calc!$AO$2:$AO$501)/(Calc!$G$2:$G$501="Carousel"),15),""),Calc!$AO:$AO,0)),"")</f>
        <v/>
      </c>
      <c r="D122" s="60" t="str">
        <f t="array" ref="D122">IFERROR(INDEX(Calc!$F:$F,MATCH(IFERROR(AGGREGATE(14,6,(Calc!$AO$2:$AO$501)/(Calc!$G$2:$G$501="Carousel"),15),""),Calc!$AO:$AO,0)),"")</f>
        <v/>
      </c>
      <c r="E122" s="60" t="str">
        <f t="array" ref="E122">IFERROR(INDEX(Calc!$H:$H,MATCH(IFERROR(AGGREGATE(14,6,(Calc!$AO$2:$AO$501)/(Calc!$G$2:$G$501="Carousel"),15),""),Calc!$AO:$AO,0)),"")</f>
        <v/>
      </c>
      <c r="F122" s="61" t="str">
        <f t="array" ref="F122">IFERROR(INDEX(Calc!$I:$I,MATCH(IFERROR(AGGREGATE(14,6,(Calc!$AO$2:$AO$501)/(Calc!$G$2:$G$501="Carousel"),15),""),Calc!$AO:$AO,0)),"")</f>
        <v/>
      </c>
      <c r="G122" s="61" t="str">
        <f t="array" ref="G122">IFERROR(INDEX(Calc!$J:$J,MATCH(IFERROR(AGGREGATE(14,6,(Calc!$AO$2:$AO$501)/(Calc!$G$2:$G$501="Carousel"),15),""),Calc!$AO:$AO,0)),"")</f>
        <v/>
      </c>
      <c r="H122" s="61" t="str">
        <f t="array" ref="H122">IFERROR(INDEX(Calc!$K:$K,MATCH(IFERROR(AGGREGATE(14,6,(Calc!$AO$2:$AO$501)/(Calc!$G$2:$G$501="Carousel"),15),""),Calc!$AO:$AO,0)),"")</f>
        <v/>
      </c>
      <c r="I122" s="61" t="str">
        <f t="array" ref="I122">IFERROR(INDEX(Calc!$L:$L,MATCH(IFERROR(AGGREGATE(14,6,(Calc!$AO$2:$AO$501)/(Calc!$G$2:$G$501="Carousel"),15),""),Calc!$AO:$AO,0)),"")</f>
        <v/>
      </c>
      <c r="J122" s="61" t="str">
        <f t="array" ref="J122">IFERROR(INDEX(Calc!$M:$M,MATCH(IFERROR(AGGREGATE(14,6,(Calc!$AO$2:$AO$501)/(Calc!$G$2:$G$501="Carousel"),15),""),Calc!$AO:$AO,0)),"")</f>
        <v/>
      </c>
      <c r="K122" s="61" t="str">
        <f t="array" ref="K122">IFERROR(INDEX(Calc!$N:$N,MATCH(IFERROR(AGGREGATE(14,6,(Calc!$AO$2:$AO$501)/(Calc!$G$2:$G$501="Carousel"),15),""),Calc!$AO:$AO,0)),"")</f>
        <v/>
      </c>
      <c r="L122" s="62" t="str">
        <f t="array" ref="L122">IFERROR(INDEX(Calc!$AJ:$AJ,MATCH(IFERROR(AGGREGATE(14,6,(Calc!$AO$2:$AO$501)/(Calc!$G$2:$G$501="Carousel"),15),""),Calc!$AO:$AO,0)),"")</f>
        <v/>
      </c>
    </row>
    <row r="123" ht="15.75" customHeight="1">
      <c r="A123" s="60">
        <v>16.0</v>
      </c>
      <c r="B123" s="60" t="str">
        <f t="array" ref="B123">IFERROR(INDEX(Calc!$E:$E,MATCH(IFERROR(AGGREGATE(14,6,(Calc!$AO$2:$AO$501)/(Calc!$G$2:$G$501="Carousel"),16),""),Calc!$AO:$AO,0)),"")</f>
        <v/>
      </c>
      <c r="C123" s="60" t="str">
        <f t="array" ref="C123">IFERROR(INDEX(Calc!$D:$D,MATCH(IFERROR(AGGREGATE(14,6,(Calc!$AO$2:$AO$501)/(Calc!$G$2:$G$501="Carousel"),16),""),Calc!$AO:$AO,0)),"")</f>
        <v/>
      </c>
      <c r="D123" s="60" t="str">
        <f t="array" ref="D123">IFERROR(INDEX(Calc!$F:$F,MATCH(IFERROR(AGGREGATE(14,6,(Calc!$AO$2:$AO$501)/(Calc!$G$2:$G$501="Carousel"),16),""),Calc!$AO:$AO,0)),"")</f>
        <v/>
      </c>
      <c r="E123" s="60" t="str">
        <f t="array" ref="E123">IFERROR(INDEX(Calc!$H:$H,MATCH(IFERROR(AGGREGATE(14,6,(Calc!$AO$2:$AO$501)/(Calc!$G$2:$G$501="Carousel"),16),""),Calc!$AO:$AO,0)),"")</f>
        <v/>
      </c>
      <c r="F123" s="61" t="str">
        <f t="array" ref="F123">IFERROR(INDEX(Calc!$I:$I,MATCH(IFERROR(AGGREGATE(14,6,(Calc!$AO$2:$AO$501)/(Calc!$G$2:$G$501="Carousel"),16),""),Calc!$AO:$AO,0)),"")</f>
        <v/>
      </c>
      <c r="G123" s="61" t="str">
        <f t="array" ref="G123">IFERROR(INDEX(Calc!$J:$J,MATCH(IFERROR(AGGREGATE(14,6,(Calc!$AO$2:$AO$501)/(Calc!$G$2:$G$501="Carousel"),16),""),Calc!$AO:$AO,0)),"")</f>
        <v/>
      </c>
      <c r="H123" s="61" t="str">
        <f t="array" ref="H123">IFERROR(INDEX(Calc!$K:$K,MATCH(IFERROR(AGGREGATE(14,6,(Calc!$AO$2:$AO$501)/(Calc!$G$2:$G$501="Carousel"),16),""),Calc!$AO:$AO,0)),"")</f>
        <v/>
      </c>
      <c r="I123" s="61" t="str">
        <f t="array" ref="I123">IFERROR(INDEX(Calc!$L:$L,MATCH(IFERROR(AGGREGATE(14,6,(Calc!$AO$2:$AO$501)/(Calc!$G$2:$G$501="Carousel"),16),""),Calc!$AO:$AO,0)),"")</f>
        <v/>
      </c>
      <c r="J123" s="61" t="str">
        <f t="array" ref="J123">IFERROR(INDEX(Calc!$M:$M,MATCH(IFERROR(AGGREGATE(14,6,(Calc!$AO$2:$AO$501)/(Calc!$G$2:$G$501="Carousel"),16),""),Calc!$AO:$AO,0)),"")</f>
        <v/>
      </c>
      <c r="K123" s="61" t="str">
        <f t="array" ref="K123">IFERROR(INDEX(Calc!$N:$N,MATCH(IFERROR(AGGREGATE(14,6,(Calc!$AO$2:$AO$501)/(Calc!$G$2:$G$501="Carousel"),16),""),Calc!$AO:$AO,0)),"")</f>
        <v/>
      </c>
      <c r="L123" s="62" t="str">
        <f t="array" ref="L123">IFERROR(INDEX(Calc!$AJ:$AJ,MATCH(IFERROR(AGGREGATE(14,6,(Calc!$AO$2:$AO$501)/(Calc!$G$2:$G$501="Carousel"),16),""),Calc!$AO:$AO,0)),"")</f>
        <v/>
      </c>
    </row>
    <row r="124" ht="15.75" customHeight="1">
      <c r="A124" s="60">
        <v>17.0</v>
      </c>
      <c r="B124" s="60" t="str">
        <f t="array" ref="B124">IFERROR(INDEX(Calc!$E:$E,MATCH(IFERROR(AGGREGATE(14,6,(Calc!$AO$2:$AO$501)/(Calc!$G$2:$G$501="Carousel"),17),""),Calc!$AO:$AO,0)),"")</f>
        <v/>
      </c>
      <c r="C124" s="60" t="str">
        <f t="array" ref="C124">IFERROR(INDEX(Calc!$D:$D,MATCH(IFERROR(AGGREGATE(14,6,(Calc!$AO$2:$AO$501)/(Calc!$G$2:$G$501="Carousel"),17),""),Calc!$AO:$AO,0)),"")</f>
        <v/>
      </c>
      <c r="D124" s="60" t="str">
        <f t="array" ref="D124">IFERROR(INDEX(Calc!$F:$F,MATCH(IFERROR(AGGREGATE(14,6,(Calc!$AO$2:$AO$501)/(Calc!$G$2:$G$501="Carousel"),17),""),Calc!$AO:$AO,0)),"")</f>
        <v/>
      </c>
      <c r="E124" s="60" t="str">
        <f t="array" ref="E124">IFERROR(INDEX(Calc!$H:$H,MATCH(IFERROR(AGGREGATE(14,6,(Calc!$AO$2:$AO$501)/(Calc!$G$2:$G$501="Carousel"),17),""),Calc!$AO:$AO,0)),"")</f>
        <v/>
      </c>
      <c r="F124" s="61" t="str">
        <f t="array" ref="F124">IFERROR(INDEX(Calc!$I:$I,MATCH(IFERROR(AGGREGATE(14,6,(Calc!$AO$2:$AO$501)/(Calc!$G$2:$G$501="Carousel"),17),""),Calc!$AO:$AO,0)),"")</f>
        <v/>
      </c>
      <c r="G124" s="61" t="str">
        <f t="array" ref="G124">IFERROR(INDEX(Calc!$J:$J,MATCH(IFERROR(AGGREGATE(14,6,(Calc!$AO$2:$AO$501)/(Calc!$G$2:$G$501="Carousel"),17),""),Calc!$AO:$AO,0)),"")</f>
        <v/>
      </c>
      <c r="H124" s="61" t="str">
        <f t="array" ref="H124">IFERROR(INDEX(Calc!$K:$K,MATCH(IFERROR(AGGREGATE(14,6,(Calc!$AO$2:$AO$501)/(Calc!$G$2:$G$501="Carousel"),17),""),Calc!$AO:$AO,0)),"")</f>
        <v/>
      </c>
      <c r="I124" s="61" t="str">
        <f t="array" ref="I124">IFERROR(INDEX(Calc!$L:$L,MATCH(IFERROR(AGGREGATE(14,6,(Calc!$AO$2:$AO$501)/(Calc!$G$2:$G$501="Carousel"),17),""),Calc!$AO:$AO,0)),"")</f>
        <v/>
      </c>
      <c r="J124" s="61" t="str">
        <f t="array" ref="J124">IFERROR(INDEX(Calc!$M:$M,MATCH(IFERROR(AGGREGATE(14,6,(Calc!$AO$2:$AO$501)/(Calc!$G$2:$G$501="Carousel"),17),""),Calc!$AO:$AO,0)),"")</f>
        <v/>
      </c>
      <c r="K124" s="61" t="str">
        <f t="array" ref="K124">IFERROR(INDEX(Calc!$N:$N,MATCH(IFERROR(AGGREGATE(14,6,(Calc!$AO$2:$AO$501)/(Calc!$G$2:$G$501="Carousel"),17),""),Calc!$AO:$AO,0)),"")</f>
        <v/>
      </c>
      <c r="L124" s="62" t="str">
        <f t="array" ref="L124">IFERROR(INDEX(Calc!$AJ:$AJ,MATCH(IFERROR(AGGREGATE(14,6,(Calc!$AO$2:$AO$501)/(Calc!$G$2:$G$501="Carousel"),17),""),Calc!$AO:$AO,0)),"")</f>
        <v/>
      </c>
    </row>
    <row r="125" ht="15.75" customHeight="1">
      <c r="A125" s="60">
        <v>18.0</v>
      </c>
      <c r="B125" s="60" t="str">
        <f t="array" ref="B125">IFERROR(INDEX(Calc!$E:$E,MATCH(IFERROR(AGGREGATE(14,6,(Calc!$AO$2:$AO$501)/(Calc!$G$2:$G$501="Carousel"),18),""),Calc!$AO:$AO,0)),"")</f>
        <v/>
      </c>
      <c r="C125" s="60" t="str">
        <f t="array" ref="C125">IFERROR(INDEX(Calc!$D:$D,MATCH(IFERROR(AGGREGATE(14,6,(Calc!$AO$2:$AO$501)/(Calc!$G$2:$G$501="Carousel"),18),""),Calc!$AO:$AO,0)),"")</f>
        <v/>
      </c>
      <c r="D125" s="60" t="str">
        <f t="array" ref="D125">IFERROR(INDEX(Calc!$F:$F,MATCH(IFERROR(AGGREGATE(14,6,(Calc!$AO$2:$AO$501)/(Calc!$G$2:$G$501="Carousel"),18),""),Calc!$AO:$AO,0)),"")</f>
        <v/>
      </c>
      <c r="E125" s="60" t="str">
        <f t="array" ref="E125">IFERROR(INDEX(Calc!$H:$H,MATCH(IFERROR(AGGREGATE(14,6,(Calc!$AO$2:$AO$501)/(Calc!$G$2:$G$501="Carousel"),18),""),Calc!$AO:$AO,0)),"")</f>
        <v/>
      </c>
      <c r="F125" s="61" t="str">
        <f t="array" ref="F125">IFERROR(INDEX(Calc!$I:$I,MATCH(IFERROR(AGGREGATE(14,6,(Calc!$AO$2:$AO$501)/(Calc!$G$2:$G$501="Carousel"),18),""),Calc!$AO:$AO,0)),"")</f>
        <v/>
      </c>
      <c r="G125" s="61" t="str">
        <f t="array" ref="G125">IFERROR(INDEX(Calc!$J:$J,MATCH(IFERROR(AGGREGATE(14,6,(Calc!$AO$2:$AO$501)/(Calc!$G$2:$G$501="Carousel"),18),""),Calc!$AO:$AO,0)),"")</f>
        <v/>
      </c>
      <c r="H125" s="61" t="str">
        <f t="array" ref="H125">IFERROR(INDEX(Calc!$K:$K,MATCH(IFERROR(AGGREGATE(14,6,(Calc!$AO$2:$AO$501)/(Calc!$G$2:$G$501="Carousel"),18),""),Calc!$AO:$AO,0)),"")</f>
        <v/>
      </c>
      <c r="I125" s="61" t="str">
        <f t="array" ref="I125">IFERROR(INDEX(Calc!$L:$L,MATCH(IFERROR(AGGREGATE(14,6,(Calc!$AO$2:$AO$501)/(Calc!$G$2:$G$501="Carousel"),18),""),Calc!$AO:$AO,0)),"")</f>
        <v/>
      </c>
      <c r="J125" s="61" t="str">
        <f t="array" ref="J125">IFERROR(INDEX(Calc!$M:$M,MATCH(IFERROR(AGGREGATE(14,6,(Calc!$AO$2:$AO$501)/(Calc!$G$2:$G$501="Carousel"),18),""),Calc!$AO:$AO,0)),"")</f>
        <v/>
      </c>
      <c r="K125" s="61" t="str">
        <f t="array" ref="K125">IFERROR(INDEX(Calc!$N:$N,MATCH(IFERROR(AGGREGATE(14,6,(Calc!$AO$2:$AO$501)/(Calc!$G$2:$G$501="Carousel"),18),""),Calc!$AO:$AO,0)),"")</f>
        <v/>
      </c>
      <c r="L125" s="62" t="str">
        <f t="array" ref="L125">IFERROR(INDEX(Calc!$AJ:$AJ,MATCH(IFERROR(AGGREGATE(14,6,(Calc!$AO$2:$AO$501)/(Calc!$G$2:$G$501="Carousel"),18),""),Calc!$AO:$AO,0)),"")</f>
        <v/>
      </c>
    </row>
    <row r="126" ht="15.75" customHeight="1">
      <c r="A126" s="60">
        <v>19.0</v>
      </c>
      <c r="B126" s="60" t="str">
        <f t="array" ref="B126">IFERROR(INDEX(Calc!$E:$E,MATCH(IFERROR(AGGREGATE(14,6,(Calc!$AO$2:$AO$501)/(Calc!$G$2:$G$501="Carousel"),19),""),Calc!$AO:$AO,0)),"")</f>
        <v/>
      </c>
      <c r="C126" s="60" t="str">
        <f t="array" ref="C126">IFERROR(INDEX(Calc!$D:$D,MATCH(IFERROR(AGGREGATE(14,6,(Calc!$AO$2:$AO$501)/(Calc!$G$2:$G$501="Carousel"),19),""),Calc!$AO:$AO,0)),"")</f>
        <v/>
      </c>
      <c r="D126" s="60" t="str">
        <f t="array" ref="D126">IFERROR(INDEX(Calc!$F:$F,MATCH(IFERROR(AGGREGATE(14,6,(Calc!$AO$2:$AO$501)/(Calc!$G$2:$G$501="Carousel"),19),""),Calc!$AO:$AO,0)),"")</f>
        <v/>
      </c>
      <c r="E126" s="60" t="str">
        <f t="array" ref="E126">IFERROR(INDEX(Calc!$H:$H,MATCH(IFERROR(AGGREGATE(14,6,(Calc!$AO$2:$AO$501)/(Calc!$G$2:$G$501="Carousel"),19),""),Calc!$AO:$AO,0)),"")</f>
        <v/>
      </c>
      <c r="F126" s="61" t="str">
        <f t="array" ref="F126">IFERROR(INDEX(Calc!$I:$I,MATCH(IFERROR(AGGREGATE(14,6,(Calc!$AO$2:$AO$501)/(Calc!$G$2:$G$501="Carousel"),19),""),Calc!$AO:$AO,0)),"")</f>
        <v/>
      </c>
      <c r="G126" s="61" t="str">
        <f t="array" ref="G126">IFERROR(INDEX(Calc!$J:$J,MATCH(IFERROR(AGGREGATE(14,6,(Calc!$AO$2:$AO$501)/(Calc!$G$2:$G$501="Carousel"),19),""),Calc!$AO:$AO,0)),"")</f>
        <v/>
      </c>
      <c r="H126" s="61" t="str">
        <f t="array" ref="H126">IFERROR(INDEX(Calc!$K:$K,MATCH(IFERROR(AGGREGATE(14,6,(Calc!$AO$2:$AO$501)/(Calc!$G$2:$G$501="Carousel"),19),""),Calc!$AO:$AO,0)),"")</f>
        <v/>
      </c>
      <c r="I126" s="61" t="str">
        <f t="array" ref="I126">IFERROR(INDEX(Calc!$L:$L,MATCH(IFERROR(AGGREGATE(14,6,(Calc!$AO$2:$AO$501)/(Calc!$G$2:$G$501="Carousel"),19),""),Calc!$AO:$AO,0)),"")</f>
        <v/>
      </c>
      <c r="J126" s="61" t="str">
        <f t="array" ref="J126">IFERROR(INDEX(Calc!$M:$M,MATCH(IFERROR(AGGREGATE(14,6,(Calc!$AO$2:$AO$501)/(Calc!$G$2:$G$501="Carousel"),19),""),Calc!$AO:$AO,0)),"")</f>
        <v/>
      </c>
      <c r="K126" s="61" t="str">
        <f t="array" ref="K126">IFERROR(INDEX(Calc!$N:$N,MATCH(IFERROR(AGGREGATE(14,6,(Calc!$AO$2:$AO$501)/(Calc!$G$2:$G$501="Carousel"),19),""),Calc!$AO:$AO,0)),"")</f>
        <v/>
      </c>
      <c r="L126" s="62" t="str">
        <f t="array" ref="L126">IFERROR(INDEX(Calc!$AJ:$AJ,MATCH(IFERROR(AGGREGATE(14,6,(Calc!$AO$2:$AO$501)/(Calc!$G$2:$G$501="Carousel"),19),""),Calc!$AO:$AO,0)),"")</f>
        <v/>
      </c>
    </row>
    <row r="127" ht="15.75" customHeight="1">
      <c r="A127" s="60">
        <v>20.0</v>
      </c>
      <c r="B127" s="60" t="str">
        <f t="array" ref="B127">IFERROR(INDEX(Calc!$E:$E,MATCH(IFERROR(AGGREGATE(14,6,(Calc!$AO$2:$AO$501)/(Calc!$G$2:$G$501="Carousel"),20),""),Calc!$AO:$AO,0)),"")</f>
        <v/>
      </c>
      <c r="C127" s="60" t="str">
        <f t="array" ref="C127">IFERROR(INDEX(Calc!$D:$D,MATCH(IFERROR(AGGREGATE(14,6,(Calc!$AO$2:$AO$501)/(Calc!$G$2:$G$501="Carousel"),20),""),Calc!$AO:$AO,0)),"")</f>
        <v/>
      </c>
      <c r="D127" s="60" t="str">
        <f t="array" ref="D127">IFERROR(INDEX(Calc!$F:$F,MATCH(IFERROR(AGGREGATE(14,6,(Calc!$AO$2:$AO$501)/(Calc!$G$2:$G$501="Carousel"),20),""),Calc!$AO:$AO,0)),"")</f>
        <v/>
      </c>
      <c r="E127" s="60" t="str">
        <f t="array" ref="E127">IFERROR(INDEX(Calc!$H:$H,MATCH(IFERROR(AGGREGATE(14,6,(Calc!$AO$2:$AO$501)/(Calc!$G$2:$G$501="Carousel"),20),""),Calc!$AO:$AO,0)),"")</f>
        <v/>
      </c>
      <c r="F127" s="61" t="str">
        <f t="array" ref="F127">IFERROR(INDEX(Calc!$I:$I,MATCH(IFERROR(AGGREGATE(14,6,(Calc!$AO$2:$AO$501)/(Calc!$G$2:$G$501="Carousel"),20),""),Calc!$AO:$AO,0)),"")</f>
        <v/>
      </c>
      <c r="G127" s="61" t="str">
        <f t="array" ref="G127">IFERROR(INDEX(Calc!$J:$J,MATCH(IFERROR(AGGREGATE(14,6,(Calc!$AO$2:$AO$501)/(Calc!$G$2:$G$501="Carousel"),20),""),Calc!$AO:$AO,0)),"")</f>
        <v/>
      </c>
      <c r="H127" s="61" t="str">
        <f t="array" ref="H127">IFERROR(INDEX(Calc!$K:$K,MATCH(IFERROR(AGGREGATE(14,6,(Calc!$AO$2:$AO$501)/(Calc!$G$2:$G$501="Carousel"),20),""),Calc!$AO:$AO,0)),"")</f>
        <v/>
      </c>
      <c r="I127" s="61" t="str">
        <f t="array" ref="I127">IFERROR(INDEX(Calc!$L:$L,MATCH(IFERROR(AGGREGATE(14,6,(Calc!$AO$2:$AO$501)/(Calc!$G$2:$G$501="Carousel"),20),""),Calc!$AO:$AO,0)),"")</f>
        <v/>
      </c>
      <c r="J127" s="61" t="str">
        <f t="array" ref="J127">IFERROR(INDEX(Calc!$M:$M,MATCH(IFERROR(AGGREGATE(14,6,(Calc!$AO$2:$AO$501)/(Calc!$G$2:$G$501="Carousel"),20),""),Calc!$AO:$AO,0)),"")</f>
        <v/>
      </c>
      <c r="K127" s="61" t="str">
        <f t="array" ref="K127">IFERROR(INDEX(Calc!$N:$N,MATCH(IFERROR(AGGREGATE(14,6,(Calc!$AO$2:$AO$501)/(Calc!$G$2:$G$501="Carousel"),20),""),Calc!$AO:$AO,0)),"")</f>
        <v/>
      </c>
      <c r="L127" s="62" t="str">
        <f t="array" ref="L127">IFERROR(INDEX(Calc!$AJ:$AJ,MATCH(IFERROR(AGGREGATE(14,6,(Calc!$AO$2:$AO$501)/(Calc!$G$2:$G$501="Carousel"),20),""),Calc!$AO:$AO,0)),"")</f>
        <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D4"/>
    <mergeCell ref="F4:I4"/>
    <mergeCell ref="A5:D5"/>
    <mergeCell ref="F5:I5"/>
    <mergeCell ref="A10:M10"/>
    <mergeCell ref="A73:M73"/>
    <mergeCell ref="A106:M106"/>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7A3D"/>
    <pageSetUpPr/>
  </sheetPr>
  <sheetViews>
    <sheetView showGridLines="0" workbookViewId="0"/>
  </sheetViews>
  <sheetFormatPr customHeight="1" defaultColWidth="14.43" defaultRowHeight="15.0"/>
  <cols>
    <col customWidth="1" min="1" max="1" width="22.0"/>
    <col customWidth="1" min="2" max="3" width="18.0"/>
    <col customWidth="1" min="4" max="5" width="16.0"/>
    <col customWidth="1" min="6" max="26" width="8.71"/>
  </cols>
  <sheetData>
    <row r="1">
      <c r="A1" s="1" t="s">
        <v>156</v>
      </c>
    </row>
    <row r="2">
      <c r="A2" s="5" t="s">
        <v>124</v>
      </c>
    </row>
    <row r="4">
      <c r="A4" s="53" t="s">
        <v>157</v>
      </c>
      <c r="B4" s="65" t="str">
        <f>TEXT(TODAY(),"YYYY-MM")</f>
        <v>2026-07</v>
      </c>
    </row>
    <row r="5">
      <c r="A5" s="53" t="s">
        <v>158</v>
      </c>
      <c r="B5" s="65" t="str">
        <f>TEXT(EDATE(TODAY(),-1),"YYYY-MM")</f>
        <v>2026-06</v>
      </c>
    </row>
    <row r="7" ht="21.75" customHeight="1">
      <c r="A7" s="21" t="s">
        <v>159</v>
      </c>
      <c r="B7" s="22"/>
      <c r="C7" s="22"/>
      <c r="D7" s="22"/>
      <c r="E7" s="7"/>
      <c r="H7" s="13" t="s">
        <v>19</v>
      </c>
      <c r="I7" s="13" t="s">
        <v>160</v>
      </c>
      <c r="J7" s="13" t="s">
        <v>161</v>
      </c>
    </row>
    <row r="8">
      <c r="A8" s="49" t="s">
        <v>162</v>
      </c>
      <c r="B8" s="49" t="s">
        <v>163</v>
      </c>
      <c r="C8" s="49" t="s">
        <v>164</v>
      </c>
      <c r="D8" s="49" t="s">
        <v>165</v>
      </c>
      <c r="E8" s="49" t="s">
        <v>166</v>
      </c>
      <c r="H8" s="13" t="s">
        <v>21</v>
      </c>
      <c r="I8" s="13">
        <f>IFERROR(AVERAGEIFS(Calc!$AJ$2:$AJ$501,Calc!$D$2:$D$501,H8,Calc!$C$2:$C$501,$B$5),0)</f>
        <v>0</v>
      </c>
      <c r="J8" s="13">
        <f>IFERROR(AVERAGEIFS(Calc!$AJ$2:$AJ$501,Calc!$D$2:$D$501,H8,Calc!$C$2:$C$501,$B$4),0)</f>
        <v>0</v>
      </c>
    </row>
    <row r="9">
      <c r="A9" s="50" t="s">
        <v>13</v>
      </c>
      <c r="B9" s="51">
        <f>COUNTIF(Calc!$C$2:$C$501,$B$5)</f>
        <v>14</v>
      </c>
      <c r="C9" s="51">
        <f>COUNTIF(Calc!$C$2:$C$501,$B$4)</f>
        <v>8</v>
      </c>
      <c r="D9" s="51">
        <f t="shared" ref="D9:D15" si="1">C9-B9</f>
        <v>-6</v>
      </c>
      <c r="E9" s="66">
        <f t="shared" ref="E9:E15" si="2">IFERROR((C9-B9)/B9,0)</f>
        <v>-0.4285714286</v>
      </c>
      <c r="H9" s="13" t="s">
        <v>22</v>
      </c>
      <c r="I9" s="13">
        <f>IFERROR(AVERAGEIFS(Calc!$AJ$2:$AJ$501,Calc!$D$2:$D$501,H9,Calc!$C$2:$C$501,$B$5),0)</f>
        <v>0</v>
      </c>
      <c r="J9" s="13">
        <f>IFERROR(AVERAGEIFS(Calc!$AJ$2:$AJ$501,Calc!$D$2:$D$501,H9,Calc!$C$2:$C$501,$B$4),0)</f>
        <v>0</v>
      </c>
    </row>
    <row r="10">
      <c r="A10" s="50" t="s">
        <v>20</v>
      </c>
      <c r="B10" s="51">
        <f>SUMIF(Calc!$C$2:$C$501,$B$5,Calc!$I$2:$I$501)</f>
        <v>2269476</v>
      </c>
      <c r="C10" s="51" t="str">
        <f>SUMIF(Calc!$C$2:$C$501,$B$4,Calc!$I$2:$I$501)</f>
        <v>#REF!</v>
      </c>
      <c r="D10" s="51" t="str">
        <f t="shared" si="1"/>
        <v>#REF!</v>
      </c>
      <c r="E10" s="66">
        <f t="shared" si="2"/>
        <v>0</v>
      </c>
      <c r="H10" s="13" t="s">
        <v>24</v>
      </c>
      <c r="I10" s="13">
        <f>IFERROR(AVERAGEIFS(Calc!$AJ$2:$AJ$501,Calc!$D$2:$D$501,H10,Calc!$C$2:$C$501,$B$5),0)</f>
        <v>0</v>
      </c>
      <c r="J10" s="13">
        <f>IFERROR(AVERAGEIFS(Calc!$AJ$2:$AJ$501,Calc!$D$2:$D$501,H10,Calc!$C$2:$C$501,$B$4),0)</f>
        <v>0</v>
      </c>
    </row>
    <row r="11">
      <c r="A11" s="50" t="s">
        <v>48</v>
      </c>
      <c r="B11" s="51">
        <f>SUMIF(Calc!$C$2:$C$501,$B$5,Calc!$J$2:$J$501)</f>
        <v>32238</v>
      </c>
      <c r="C11" s="51">
        <f>SUMIF(Calc!$C$2:$C$501,$B$4,Calc!$J$2:$J$501)</f>
        <v>27489</v>
      </c>
      <c r="D11" s="51">
        <f t="shared" si="1"/>
        <v>-4749</v>
      </c>
      <c r="E11" s="66">
        <f t="shared" si="2"/>
        <v>-0.1473106272</v>
      </c>
      <c r="H11" s="13" t="s">
        <v>29</v>
      </c>
      <c r="I11" s="13">
        <f>IFERROR(AVERAGEIFS(Calc!$AJ$2:$AJ$501,Calc!$D$2:$D$501,H11,Calc!$C$2:$C$501,$B$5),0)</f>
        <v>0</v>
      </c>
      <c r="J11" s="13">
        <f>IFERROR(AVERAGEIFS(Calc!$AJ$2:$AJ$501,Calc!$D$2:$D$501,H11,Calc!$C$2:$C$501,$B$4),0)</f>
        <v>0</v>
      </c>
    </row>
    <row r="12">
      <c r="A12" s="50" t="s">
        <v>49</v>
      </c>
      <c r="B12" s="51">
        <f>SUMIF(Calc!$C$2:$C$501,$B$5,Calc!$K$2:$K$501)</f>
        <v>465</v>
      </c>
      <c r="C12" s="51">
        <f>SUMIF(Calc!$C$2:$C$501,$B$4,Calc!$K$2:$K$501)</f>
        <v>385</v>
      </c>
      <c r="D12" s="51">
        <f t="shared" si="1"/>
        <v>-80</v>
      </c>
      <c r="E12" s="66">
        <f t="shared" si="2"/>
        <v>-0.1720430108</v>
      </c>
      <c r="H12" s="13" t="s">
        <v>30</v>
      </c>
      <c r="I12" s="13">
        <f>IFERROR(AVERAGEIFS(Calc!$AJ$2:$AJ$501,Calc!$D$2:$D$501,H12,Calc!$C$2:$C$501,$B$5),0)</f>
        <v>0</v>
      </c>
      <c r="J12" s="13">
        <f>IFERROR(AVERAGEIFS(Calc!$AJ$2:$AJ$501,Calc!$D$2:$D$501,H12,Calc!$C$2:$C$501,$B$4),0)</f>
        <v>0</v>
      </c>
    </row>
    <row r="13">
      <c r="A13" s="50" t="s">
        <v>50</v>
      </c>
      <c r="B13" s="51">
        <f>SUMIF(Calc!$C$2:$C$501,$B$5,Calc!$L$2:$L$501)</f>
        <v>49253</v>
      </c>
      <c r="C13" s="51">
        <f>SUMIF(Calc!$C$2:$C$501,$B$4,Calc!$L$2:$L$501)</f>
        <v>2379</v>
      </c>
      <c r="D13" s="51">
        <f t="shared" si="1"/>
        <v>-46874</v>
      </c>
      <c r="E13" s="66">
        <f t="shared" si="2"/>
        <v>-0.9516983737</v>
      </c>
    </row>
    <row r="14">
      <c r="A14" s="50" t="s">
        <v>51</v>
      </c>
      <c r="B14" s="51">
        <f>SUMIF(Calc!$C$2:$C$501,$B$5,Calc!$M$2:$M$501)</f>
        <v>25987</v>
      </c>
      <c r="C14" s="51">
        <f>SUMIF(Calc!$C$2:$C$501,$B$4,Calc!$M$2:$M$501)</f>
        <v>2351</v>
      </c>
      <c r="D14" s="51">
        <f t="shared" si="1"/>
        <v>-23636</v>
      </c>
      <c r="E14" s="66">
        <f t="shared" si="2"/>
        <v>-0.9095316889</v>
      </c>
    </row>
    <row r="15">
      <c r="A15" s="50" t="s">
        <v>52</v>
      </c>
      <c r="B15" s="51">
        <f>SUMIF(Calc!$C$2:$C$501,$B$5,Calc!$N$2:$N$501)</f>
        <v>2177395</v>
      </c>
      <c r="C15" s="51" t="str">
        <f>SUMIF(Calc!$C$2:$C$501,$B$4,Calc!$N$2:$N$501)</f>
        <v>#REF!</v>
      </c>
      <c r="D15" s="51" t="str">
        <f t="shared" si="1"/>
        <v>#REF!</v>
      </c>
      <c r="E15" s="66">
        <f t="shared" si="2"/>
        <v>0</v>
      </c>
      <c r="H15" s="13" t="s">
        <v>31</v>
      </c>
      <c r="I15" s="13" t="s">
        <v>160</v>
      </c>
      <c r="J15" s="13" t="s">
        <v>161</v>
      </c>
    </row>
    <row r="16">
      <c r="H16" s="13" t="s">
        <v>32</v>
      </c>
      <c r="I16" s="13">
        <f>IFERROR(AVERAGEIFS(Calc!$AJ$2:$AJ$501,Calc!$H$2:$H$501,H16,Calc!$C$2:$C$501,$B$5),0)</f>
        <v>0</v>
      </c>
      <c r="J16" s="13">
        <f>IFERROR(AVERAGEIFS(Calc!$AJ$2:$AJ$501,Calc!$H$2:$H$501,H16,Calc!$C$2:$C$501,$B$4),0)</f>
        <v>0</v>
      </c>
    </row>
    <row r="17">
      <c r="H17" s="13" t="s">
        <v>33</v>
      </c>
      <c r="I17" s="13">
        <f>IFERROR(AVERAGEIFS(Calc!$AJ$2:$AJ$501,Calc!$H$2:$H$501,H17,Calc!$C$2:$C$501,$B$5),0)</f>
        <v>0</v>
      </c>
      <c r="J17" s="13">
        <f>IFERROR(AVERAGEIFS(Calc!$AJ$2:$AJ$501,Calc!$H$2:$H$501,H17,Calc!$C$2:$C$501,$B$4),0)</f>
        <v>0</v>
      </c>
    </row>
    <row r="18" ht="21.75" customHeight="1">
      <c r="A18" s="21" t="s">
        <v>167</v>
      </c>
      <c r="B18" s="22"/>
      <c r="C18" s="22"/>
      <c r="D18" s="22"/>
      <c r="E18" s="7"/>
      <c r="H18" s="13" t="s">
        <v>34</v>
      </c>
      <c r="I18" s="13">
        <f>IFERROR(AVERAGEIFS(Calc!$AJ$2:$AJ$501,Calc!$H$2:$H$501,H18,Calc!$C$2:$C$501,$B$5),0)</f>
        <v>0</v>
      </c>
      <c r="J18" s="13">
        <f>IFERROR(AVERAGEIFS(Calc!$AJ$2:$AJ$501,Calc!$H$2:$H$501,H18,Calc!$C$2:$C$501,$B$4),0)</f>
        <v>0</v>
      </c>
    </row>
    <row r="19">
      <c r="A19" s="53" t="s">
        <v>168</v>
      </c>
      <c r="B19" s="54" t="str">
        <f t="array" ref="B19">IF(COUNTIF(Calc!$C$2:$C$501,$B$5)=0,"No data",INDEX(H8:H12,MATCH(MAX(I8:I12),I8:I12,0)))</f>
        <v>Diabetes</v>
      </c>
      <c r="H19" s="13" t="s">
        <v>35</v>
      </c>
      <c r="I19" s="13">
        <f>IFERROR(AVERAGEIFS(Calc!$AJ$2:$AJ$501,Calc!$H$2:$H$501,H19,Calc!$C$2:$C$501,$B$5),0)</f>
        <v>0</v>
      </c>
      <c r="J19" s="13">
        <f>IFERROR(AVERAGEIFS(Calc!$AJ$2:$AJ$501,Calc!$H$2:$H$501,H19,Calc!$C$2:$C$501,$B$4),0)</f>
        <v>0</v>
      </c>
    </row>
    <row r="20">
      <c r="A20" s="53" t="s">
        <v>169</v>
      </c>
      <c r="B20" s="54" t="str">
        <f t="array" ref="B20">IF(COUNTIF(Calc!$C$2:$C$501,$B$4)=0,"No data",INDEX(H8:H12,MATCH(MAX(J8:J12),J8:J12,0)))</f>
        <v>Diabetes</v>
      </c>
      <c r="H20" s="13" t="s">
        <v>36</v>
      </c>
      <c r="I20" s="13">
        <f>IFERROR(AVERAGEIFS(Calc!$AJ$2:$AJ$501,Calc!$H$2:$H$501,H20,Calc!$C$2:$C$501,$B$5),0)</f>
        <v>0</v>
      </c>
      <c r="J20" s="13">
        <f>IFERROR(AVERAGEIFS(Calc!$AJ$2:$AJ$501,Calc!$H$2:$H$501,H20,Calc!$C$2:$C$501,$B$4),0)</f>
        <v>0</v>
      </c>
    </row>
    <row r="21" ht="15.75" customHeight="1">
      <c r="A21" s="53" t="s">
        <v>170</v>
      </c>
      <c r="B21" s="54" t="str">
        <f t="array" ref="B21">IF(COUNTIF(Calc!$C$2:$C$501,$B$5)=0,"No data",INDEX(H16:H22,MATCH(MAX(I16:I22),I16:I22,0)))</f>
        <v>Diabetes Patient</v>
      </c>
      <c r="H21" s="13" t="s">
        <v>37</v>
      </c>
      <c r="I21" s="13">
        <f>IFERROR(AVERAGEIFS(Calc!$AJ$2:$AJ$501,Calc!$H$2:$H$501,H21,Calc!$C$2:$C$501,$B$5),0)</f>
        <v>0</v>
      </c>
      <c r="J21" s="13">
        <f>IFERROR(AVERAGEIFS(Calc!$AJ$2:$AJ$501,Calc!$H$2:$H$501,H21,Calc!$C$2:$C$501,$B$4),0)</f>
        <v>0</v>
      </c>
    </row>
    <row r="22" ht="15.75" customHeight="1">
      <c r="A22" s="53" t="s">
        <v>171</v>
      </c>
      <c r="B22" s="54" t="str">
        <f t="array" ref="B22">IF(COUNTIF(Calc!$C$2:$C$501,$B$4)=0,"No data",INDEX(H16:H22,MATCH(MAX(J16:J22),J16:J22,0)))</f>
        <v>Diabetes Patient</v>
      </c>
      <c r="H22" s="13" t="s">
        <v>38</v>
      </c>
      <c r="I22" s="13">
        <f>IFERROR(AVERAGEIFS(Calc!$AJ$2:$AJ$501,Calc!$H$2:$H$501,H22,Calc!$C$2:$C$501,$B$5),0)</f>
        <v>0</v>
      </c>
      <c r="J22" s="13">
        <f>IFERROR(AVERAGEIFS(Calc!$AJ$2:$AJ$501,Calc!$H$2:$H$501,H22,Calc!$C$2:$C$501,$B$4),0)</f>
        <v>0</v>
      </c>
    </row>
    <row r="23" ht="15.75" customHeight="1"/>
    <row r="24" ht="15.75" customHeight="1"/>
    <row r="25" ht="21.75" customHeight="1">
      <c r="A25" s="21" t="s">
        <v>172</v>
      </c>
      <c r="B25" s="22"/>
      <c r="C25" s="22"/>
      <c r="D25" s="22"/>
      <c r="E25" s="7"/>
    </row>
    <row r="26" ht="19.5" customHeight="1">
      <c r="A26" s="67" t="str">
        <f>IF(COUNTA('Manual Entry'!B2:B473)=0,"No data yet — add your first post in the Manual Entry sheet to see insights here.",IF(E10&gt;0,"Views grew "&amp;TEXT(E10,"0.0%")&amp;" vs last month. ","Views declined "&amp;TEXT(-E10,"0.0%")&amp;" vs last month. ")&amp;"Top pillar this month: "&amp;B20&amp;". "&amp;"Top avatar this month: "&amp;B22&amp;".")</f>
        <v>Views declined 0.0% vs last month. Top pillar this month: Diabetes. Top avatar this month: Diabetes Patient.</v>
      </c>
      <c r="B26" s="68"/>
      <c r="C26" s="68"/>
      <c r="D26" s="68"/>
      <c r="E26" s="69"/>
    </row>
    <row r="27" ht="15.75" customHeight="1">
      <c r="A27" s="70"/>
      <c r="E27" s="71"/>
    </row>
    <row r="28" ht="15.75" customHeight="1">
      <c r="A28" s="72"/>
      <c r="B28" s="73"/>
      <c r="C28" s="73"/>
      <c r="D28" s="73"/>
      <c r="E28" s="7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7:E7"/>
    <mergeCell ref="A18:E18"/>
    <mergeCell ref="A25:E25"/>
    <mergeCell ref="A26:E28"/>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2" width="8.71"/>
    <col customWidth="1" min="3" max="3" width="20.0"/>
    <col customWidth="1" min="4" max="4" width="8.71"/>
    <col customWidth="1" min="5" max="9" width="34.0"/>
    <col customWidth="1" min="10" max="10" width="8.71"/>
    <col customWidth="1" min="11" max="15" width="55.0"/>
    <col customWidth="1" min="16" max="16" width="8.71"/>
    <col customWidth="1" min="17" max="17" width="60.0"/>
    <col customWidth="1" min="18" max="18" width="12.0"/>
    <col customWidth="1" min="19" max="19" width="8.71"/>
    <col customWidth="1" min="20" max="20" width="34.0"/>
    <col customWidth="1" min="21" max="21" width="55.0"/>
    <col customWidth="1" min="22" max="26" width="8.71"/>
  </cols>
  <sheetData>
    <row r="1">
      <c r="A1" s="75" t="s">
        <v>173</v>
      </c>
      <c r="C1" s="75" t="s">
        <v>174</v>
      </c>
      <c r="E1" s="75" t="s">
        <v>175</v>
      </c>
      <c r="F1" s="75" t="s">
        <v>176</v>
      </c>
      <c r="G1" s="75" t="s">
        <v>177</v>
      </c>
      <c r="H1" s="75" t="s">
        <v>178</v>
      </c>
      <c r="I1" s="75" t="s">
        <v>179</v>
      </c>
      <c r="K1" s="75" t="s">
        <v>180</v>
      </c>
      <c r="L1" s="75" t="s">
        <v>181</v>
      </c>
      <c r="M1" s="75" t="s">
        <v>182</v>
      </c>
      <c r="N1" s="75" t="s">
        <v>183</v>
      </c>
      <c r="O1" s="75" t="s">
        <v>184</v>
      </c>
      <c r="Q1" s="75" t="s">
        <v>45</v>
      </c>
      <c r="R1" s="75" t="s">
        <v>185</v>
      </c>
      <c r="T1" s="75" t="s">
        <v>186</v>
      </c>
      <c r="U1" s="75" t="s">
        <v>187</v>
      </c>
    </row>
    <row r="2">
      <c r="A2" s="76" t="s">
        <v>21</v>
      </c>
      <c r="C2" s="76" t="s">
        <v>32</v>
      </c>
      <c r="E2" s="76" t="s">
        <v>188</v>
      </c>
      <c r="F2" s="76" t="s">
        <v>189</v>
      </c>
      <c r="G2" s="76" t="s">
        <v>190</v>
      </c>
      <c r="H2" s="76" t="s">
        <v>191</v>
      </c>
      <c r="I2" s="76" t="s">
        <v>192</v>
      </c>
      <c r="K2" s="76" t="s">
        <v>193</v>
      </c>
      <c r="L2" s="76" t="s">
        <v>194</v>
      </c>
      <c r="M2" s="76" t="s">
        <v>195</v>
      </c>
      <c r="N2" s="76" t="s">
        <v>196</v>
      </c>
      <c r="O2" s="76" t="s">
        <v>197</v>
      </c>
      <c r="Q2" s="76" t="s">
        <v>193</v>
      </c>
      <c r="R2" s="76" t="s">
        <v>198</v>
      </c>
      <c r="T2" s="76" t="s">
        <v>188</v>
      </c>
      <c r="U2" s="76" t="s">
        <v>193</v>
      </c>
    </row>
    <row r="3">
      <c r="A3" s="76" t="s">
        <v>22</v>
      </c>
      <c r="C3" s="76" t="s">
        <v>33</v>
      </c>
      <c r="E3" s="76" t="s">
        <v>199</v>
      </c>
      <c r="F3" s="76" t="s">
        <v>200</v>
      </c>
      <c r="G3" s="76" t="s">
        <v>201</v>
      </c>
      <c r="I3" s="76" t="s">
        <v>202</v>
      </c>
      <c r="K3" s="76" t="s">
        <v>203</v>
      </c>
      <c r="L3" s="76" t="s">
        <v>204</v>
      </c>
      <c r="M3" s="76" t="s">
        <v>205</v>
      </c>
      <c r="N3" s="76" t="s">
        <v>206</v>
      </c>
      <c r="O3" s="76" t="s">
        <v>116</v>
      </c>
      <c r="Q3" s="76" t="s">
        <v>203</v>
      </c>
      <c r="R3" s="76" t="s">
        <v>198</v>
      </c>
      <c r="T3" s="76" t="s">
        <v>199</v>
      </c>
      <c r="U3" s="76" t="s">
        <v>203</v>
      </c>
    </row>
    <row r="4">
      <c r="A4" s="76" t="s">
        <v>24</v>
      </c>
      <c r="C4" s="76" t="s">
        <v>34</v>
      </c>
      <c r="E4" s="76" t="s">
        <v>207</v>
      </c>
      <c r="F4" s="76" t="s">
        <v>208</v>
      </c>
      <c r="G4" s="76" t="s">
        <v>209</v>
      </c>
      <c r="I4" s="76" t="s">
        <v>210</v>
      </c>
      <c r="K4" s="76" t="s">
        <v>211</v>
      </c>
      <c r="L4" s="76" t="s">
        <v>212</v>
      </c>
      <c r="M4" s="76" t="s">
        <v>213</v>
      </c>
      <c r="N4" s="76" t="s">
        <v>214</v>
      </c>
      <c r="O4" s="76" t="s">
        <v>215</v>
      </c>
      <c r="Q4" s="76" t="s">
        <v>211</v>
      </c>
      <c r="R4" s="76" t="s">
        <v>198</v>
      </c>
      <c r="T4" s="76" t="s">
        <v>207</v>
      </c>
      <c r="U4" s="76" t="s">
        <v>211</v>
      </c>
    </row>
    <row r="5">
      <c r="A5" s="76" t="s">
        <v>29</v>
      </c>
      <c r="C5" s="76" t="s">
        <v>35</v>
      </c>
      <c r="E5" s="76" t="s">
        <v>216</v>
      </c>
      <c r="F5" s="76" t="s">
        <v>217</v>
      </c>
      <c r="G5" s="76" t="s">
        <v>218</v>
      </c>
      <c r="I5" s="76" t="s">
        <v>219</v>
      </c>
      <c r="K5" s="76" t="s">
        <v>55</v>
      </c>
      <c r="L5" s="76" t="s">
        <v>220</v>
      </c>
      <c r="M5" s="76" t="s">
        <v>221</v>
      </c>
      <c r="O5" s="76" t="s">
        <v>222</v>
      </c>
      <c r="Q5" s="76" t="s">
        <v>55</v>
      </c>
      <c r="R5" s="76" t="s">
        <v>198</v>
      </c>
      <c r="T5" s="76" t="s">
        <v>216</v>
      </c>
      <c r="U5" s="76" t="s">
        <v>55</v>
      </c>
    </row>
    <row r="6">
      <c r="A6" s="76" t="s">
        <v>30</v>
      </c>
      <c r="C6" s="76" t="s">
        <v>36</v>
      </c>
      <c r="E6" s="76" t="s">
        <v>223</v>
      </c>
      <c r="G6" s="76" t="s">
        <v>224</v>
      </c>
      <c r="I6" s="76" t="s">
        <v>225</v>
      </c>
      <c r="K6" s="76" t="s">
        <v>226</v>
      </c>
      <c r="L6" s="76" t="s">
        <v>227</v>
      </c>
      <c r="M6" s="76" t="s">
        <v>226</v>
      </c>
      <c r="O6" s="76" t="s">
        <v>228</v>
      </c>
      <c r="Q6" s="76" t="s">
        <v>226</v>
      </c>
      <c r="R6" s="76" t="s">
        <v>198</v>
      </c>
      <c r="T6" s="76" t="s">
        <v>223</v>
      </c>
      <c r="U6" s="76" t="s">
        <v>226</v>
      </c>
    </row>
    <row r="7">
      <c r="C7" s="76" t="s">
        <v>37</v>
      </c>
      <c r="E7" s="76" t="s">
        <v>229</v>
      </c>
      <c r="I7" s="76" t="s">
        <v>230</v>
      </c>
      <c r="K7" s="76" t="s">
        <v>231</v>
      </c>
      <c r="L7" s="76" t="s">
        <v>232</v>
      </c>
      <c r="M7" s="76" t="s">
        <v>233</v>
      </c>
      <c r="O7" s="76" t="s">
        <v>234</v>
      </c>
      <c r="Q7" s="76" t="s">
        <v>231</v>
      </c>
      <c r="R7" s="76" t="s">
        <v>198</v>
      </c>
      <c r="T7" s="76" t="s">
        <v>229</v>
      </c>
      <c r="U7" s="76" t="s">
        <v>231</v>
      </c>
    </row>
    <row r="8">
      <c r="C8" s="76" t="s">
        <v>38</v>
      </c>
      <c r="K8" s="76" t="s">
        <v>235</v>
      </c>
      <c r="L8" s="76" t="s">
        <v>226</v>
      </c>
      <c r="M8" s="76" t="s">
        <v>236</v>
      </c>
      <c r="O8" s="76" t="s">
        <v>237</v>
      </c>
      <c r="Q8" s="76" t="s">
        <v>235</v>
      </c>
      <c r="R8" s="76" t="s">
        <v>238</v>
      </c>
      <c r="T8" s="76" t="s">
        <v>189</v>
      </c>
      <c r="U8" s="76" t="s">
        <v>235</v>
      </c>
    </row>
    <row r="9">
      <c r="K9" s="76" t="s">
        <v>239</v>
      </c>
      <c r="L9" s="76" t="s">
        <v>240</v>
      </c>
      <c r="M9" s="76" t="s">
        <v>241</v>
      </c>
      <c r="O9" s="76" t="s">
        <v>242</v>
      </c>
      <c r="Q9" s="76" t="s">
        <v>239</v>
      </c>
      <c r="R9" s="76" t="s">
        <v>198</v>
      </c>
      <c r="T9" s="76" t="s">
        <v>200</v>
      </c>
      <c r="U9" s="76" t="s">
        <v>239</v>
      </c>
    </row>
    <row r="10">
      <c r="K10" s="76" t="s">
        <v>243</v>
      </c>
      <c r="M10" s="76" t="s">
        <v>244</v>
      </c>
      <c r="O10" s="76" t="s">
        <v>245</v>
      </c>
      <c r="Q10" s="76" t="s">
        <v>243</v>
      </c>
      <c r="R10" s="76" t="s">
        <v>198</v>
      </c>
      <c r="T10" s="76" t="s">
        <v>208</v>
      </c>
      <c r="U10" s="76" t="s">
        <v>243</v>
      </c>
    </row>
    <row r="11">
      <c r="K11" s="76" t="s">
        <v>246</v>
      </c>
      <c r="M11" s="76" t="s">
        <v>247</v>
      </c>
      <c r="O11" s="76" t="s">
        <v>248</v>
      </c>
      <c r="Q11" s="76" t="s">
        <v>246</v>
      </c>
      <c r="R11" s="76" t="s">
        <v>198</v>
      </c>
      <c r="T11" s="76" t="s">
        <v>217</v>
      </c>
      <c r="U11" s="76" t="s">
        <v>246</v>
      </c>
    </row>
    <row r="12">
      <c r="K12" s="76" t="s">
        <v>249</v>
      </c>
      <c r="M12" s="76" t="s">
        <v>250</v>
      </c>
      <c r="O12" s="76" t="s">
        <v>251</v>
      </c>
      <c r="Q12" s="76" t="s">
        <v>249</v>
      </c>
      <c r="R12" s="76" t="s">
        <v>238</v>
      </c>
      <c r="T12" s="76" t="s">
        <v>190</v>
      </c>
      <c r="U12" s="76" t="s">
        <v>249</v>
      </c>
    </row>
    <row r="13">
      <c r="K13" s="76" t="s">
        <v>252</v>
      </c>
      <c r="M13" s="76" t="s">
        <v>253</v>
      </c>
      <c r="O13" s="76" t="s">
        <v>254</v>
      </c>
      <c r="Q13" s="76" t="s">
        <v>252</v>
      </c>
      <c r="R13" s="76" t="s">
        <v>198</v>
      </c>
      <c r="T13" s="76" t="s">
        <v>201</v>
      </c>
      <c r="U13" s="76" t="s">
        <v>252</v>
      </c>
    </row>
    <row r="14">
      <c r="K14" s="76" t="s">
        <v>255</v>
      </c>
      <c r="M14" s="76" t="s">
        <v>256</v>
      </c>
      <c r="O14" s="76" t="s">
        <v>58</v>
      </c>
      <c r="Q14" s="76" t="s">
        <v>255</v>
      </c>
      <c r="R14" s="76" t="s">
        <v>198</v>
      </c>
      <c r="T14" s="76" t="s">
        <v>209</v>
      </c>
      <c r="U14" s="76" t="s">
        <v>255</v>
      </c>
    </row>
    <row r="15">
      <c r="K15" s="76" t="s">
        <v>257</v>
      </c>
      <c r="M15" s="76" t="s">
        <v>258</v>
      </c>
      <c r="O15" s="76" t="s">
        <v>226</v>
      </c>
      <c r="Q15" s="76" t="s">
        <v>257</v>
      </c>
      <c r="R15" s="76" t="s">
        <v>198</v>
      </c>
      <c r="T15" s="76" t="s">
        <v>218</v>
      </c>
      <c r="U15" s="76" t="s">
        <v>257</v>
      </c>
    </row>
    <row r="16">
      <c r="K16" s="76" t="s">
        <v>259</v>
      </c>
      <c r="M16" s="76" t="s">
        <v>260</v>
      </c>
      <c r="O16" s="76" t="s">
        <v>261</v>
      </c>
      <c r="Q16" s="76" t="s">
        <v>259</v>
      </c>
      <c r="R16" s="76" t="s">
        <v>198</v>
      </c>
      <c r="T16" s="76" t="s">
        <v>224</v>
      </c>
      <c r="U16" s="76" t="s">
        <v>259</v>
      </c>
    </row>
    <row r="17">
      <c r="K17" s="76" t="s">
        <v>262</v>
      </c>
      <c r="O17" s="76" t="s">
        <v>263</v>
      </c>
      <c r="Q17" s="76" t="s">
        <v>262</v>
      </c>
      <c r="R17" s="76" t="s">
        <v>238</v>
      </c>
      <c r="T17" s="76" t="s">
        <v>191</v>
      </c>
      <c r="U17" s="76" t="s">
        <v>262</v>
      </c>
    </row>
    <row r="18">
      <c r="K18" s="76" t="s">
        <v>264</v>
      </c>
      <c r="O18" s="76" t="s">
        <v>265</v>
      </c>
      <c r="Q18" s="76" t="s">
        <v>264</v>
      </c>
      <c r="R18" s="76" t="s">
        <v>198</v>
      </c>
      <c r="T18" s="76" t="s">
        <v>192</v>
      </c>
      <c r="U18" s="76" t="s">
        <v>264</v>
      </c>
    </row>
    <row r="19">
      <c r="O19" s="76" t="s">
        <v>266</v>
      </c>
      <c r="Q19" s="76" t="s">
        <v>194</v>
      </c>
      <c r="R19" s="76" t="s">
        <v>198</v>
      </c>
      <c r="T19" s="76" t="s">
        <v>202</v>
      </c>
      <c r="U19" s="76" t="s">
        <v>194</v>
      </c>
    </row>
    <row r="20">
      <c r="O20" s="76" t="s">
        <v>267</v>
      </c>
      <c r="Q20" s="76" t="s">
        <v>204</v>
      </c>
      <c r="R20" s="76" t="s">
        <v>198</v>
      </c>
      <c r="T20" s="76" t="s">
        <v>210</v>
      </c>
      <c r="U20" s="76" t="s">
        <v>204</v>
      </c>
    </row>
    <row r="21" ht="15.75" customHeight="1">
      <c r="Q21" s="76" t="s">
        <v>212</v>
      </c>
      <c r="R21" s="76" t="s">
        <v>198</v>
      </c>
      <c r="T21" s="76" t="s">
        <v>219</v>
      </c>
      <c r="U21" s="76" t="s">
        <v>212</v>
      </c>
    </row>
    <row r="22" ht="15.75" customHeight="1">
      <c r="Q22" s="76" t="s">
        <v>220</v>
      </c>
      <c r="R22" s="76" t="s">
        <v>238</v>
      </c>
      <c r="T22" s="76" t="s">
        <v>225</v>
      </c>
      <c r="U22" s="76" t="s">
        <v>220</v>
      </c>
    </row>
    <row r="23" ht="15.75" customHeight="1">
      <c r="Q23" s="76" t="s">
        <v>227</v>
      </c>
      <c r="R23" s="76" t="s">
        <v>198</v>
      </c>
      <c r="T23" s="76" t="s">
        <v>230</v>
      </c>
      <c r="U23" s="76" t="s">
        <v>227</v>
      </c>
    </row>
    <row r="24" ht="15.75" customHeight="1">
      <c r="Q24" s="76" t="s">
        <v>232</v>
      </c>
      <c r="R24" s="76" t="s">
        <v>198</v>
      </c>
      <c r="U24" s="76" t="s">
        <v>232</v>
      </c>
    </row>
    <row r="25" ht="15.75" customHeight="1">
      <c r="Q25" s="76" t="s">
        <v>240</v>
      </c>
      <c r="R25" s="76" t="s">
        <v>198</v>
      </c>
      <c r="U25" s="76" t="s">
        <v>226</v>
      </c>
    </row>
    <row r="26" ht="15.75" customHeight="1">
      <c r="Q26" s="76" t="s">
        <v>195</v>
      </c>
      <c r="R26" s="76" t="s">
        <v>198</v>
      </c>
      <c r="U26" s="76" t="s">
        <v>240</v>
      </c>
    </row>
    <row r="27" ht="15.75" customHeight="1">
      <c r="Q27" s="76" t="s">
        <v>205</v>
      </c>
      <c r="R27" s="76" t="s">
        <v>198</v>
      </c>
      <c r="U27" s="76" t="s">
        <v>195</v>
      </c>
    </row>
    <row r="28" ht="15.75" customHeight="1">
      <c r="Q28" s="76" t="s">
        <v>213</v>
      </c>
      <c r="R28" s="76" t="s">
        <v>198</v>
      </c>
      <c r="U28" s="76" t="s">
        <v>205</v>
      </c>
    </row>
    <row r="29" ht="15.75" customHeight="1">
      <c r="Q29" s="76" t="s">
        <v>221</v>
      </c>
      <c r="R29" s="76" t="s">
        <v>198</v>
      </c>
      <c r="U29" s="76" t="s">
        <v>213</v>
      </c>
    </row>
    <row r="30" ht="15.75" customHeight="1">
      <c r="Q30" s="76" t="s">
        <v>233</v>
      </c>
      <c r="R30" s="76" t="s">
        <v>238</v>
      </c>
      <c r="U30" s="76" t="s">
        <v>221</v>
      </c>
    </row>
    <row r="31" ht="15.75" customHeight="1">
      <c r="Q31" s="76" t="s">
        <v>236</v>
      </c>
      <c r="R31" s="76" t="s">
        <v>198</v>
      </c>
      <c r="U31" s="76" t="s">
        <v>226</v>
      </c>
    </row>
    <row r="32" ht="15.75" customHeight="1">
      <c r="Q32" s="76" t="s">
        <v>241</v>
      </c>
      <c r="R32" s="76" t="s">
        <v>198</v>
      </c>
      <c r="U32" s="76" t="s">
        <v>233</v>
      </c>
    </row>
    <row r="33" ht="15.75" customHeight="1">
      <c r="Q33" s="76" t="s">
        <v>244</v>
      </c>
      <c r="R33" s="76" t="s">
        <v>198</v>
      </c>
      <c r="U33" s="76" t="s">
        <v>236</v>
      </c>
    </row>
    <row r="34" ht="15.75" customHeight="1">
      <c r="Q34" s="76" t="s">
        <v>247</v>
      </c>
      <c r="R34" s="76" t="s">
        <v>198</v>
      </c>
      <c r="U34" s="76" t="s">
        <v>241</v>
      </c>
    </row>
    <row r="35" ht="15.75" customHeight="1">
      <c r="Q35" s="76" t="s">
        <v>250</v>
      </c>
      <c r="R35" s="76" t="s">
        <v>198</v>
      </c>
      <c r="U35" s="76" t="s">
        <v>244</v>
      </c>
    </row>
    <row r="36" ht="15.75" customHeight="1">
      <c r="Q36" s="76" t="s">
        <v>253</v>
      </c>
      <c r="R36" s="76" t="s">
        <v>198</v>
      </c>
      <c r="U36" s="76" t="s">
        <v>247</v>
      </c>
    </row>
    <row r="37" ht="15.75" customHeight="1">
      <c r="Q37" s="76" t="s">
        <v>256</v>
      </c>
      <c r="R37" s="76" t="s">
        <v>198</v>
      </c>
      <c r="U37" s="76" t="s">
        <v>250</v>
      </c>
    </row>
    <row r="38" ht="15.75" customHeight="1">
      <c r="Q38" s="76" t="s">
        <v>258</v>
      </c>
      <c r="R38" s="76" t="s">
        <v>198</v>
      </c>
      <c r="U38" s="76" t="s">
        <v>253</v>
      </c>
    </row>
    <row r="39" ht="15.75" customHeight="1">
      <c r="Q39" s="76" t="s">
        <v>260</v>
      </c>
      <c r="R39" s="76" t="s">
        <v>198</v>
      </c>
      <c r="U39" s="76" t="s">
        <v>256</v>
      </c>
    </row>
    <row r="40" ht="15.75" customHeight="1">
      <c r="Q40" s="76" t="s">
        <v>196</v>
      </c>
      <c r="R40" s="76" t="s">
        <v>198</v>
      </c>
      <c r="U40" s="76" t="s">
        <v>258</v>
      </c>
    </row>
    <row r="41" ht="15.75" customHeight="1">
      <c r="Q41" s="76" t="s">
        <v>206</v>
      </c>
      <c r="R41" s="76" t="s">
        <v>198</v>
      </c>
      <c r="U41" s="76" t="s">
        <v>260</v>
      </c>
    </row>
    <row r="42" ht="15.75" customHeight="1">
      <c r="Q42" s="76" t="s">
        <v>214</v>
      </c>
      <c r="R42" s="76" t="s">
        <v>198</v>
      </c>
      <c r="U42" s="76" t="s">
        <v>196</v>
      </c>
    </row>
    <row r="43" ht="15.75" customHeight="1">
      <c r="Q43" s="76" t="s">
        <v>197</v>
      </c>
      <c r="R43" s="76" t="s">
        <v>198</v>
      </c>
      <c r="U43" s="76" t="s">
        <v>206</v>
      </c>
    </row>
    <row r="44" ht="15.75" customHeight="1">
      <c r="Q44" s="76" t="s">
        <v>116</v>
      </c>
      <c r="R44" s="76" t="s">
        <v>198</v>
      </c>
      <c r="U44" s="76" t="s">
        <v>214</v>
      </c>
    </row>
    <row r="45" ht="15.75" customHeight="1">
      <c r="Q45" s="76" t="s">
        <v>215</v>
      </c>
      <c r="R45" s="76" t="s">
        <v>238</v>
      </c>
      <c r="U45" s="76" t="s">
        <v>197</v>
      </c>
    </row>
    <row r="46" ht="15.75" customHeight="1">
      <c r="Q46" s="76" t="s">
        <v>222</v>
      </c>
      <c r="R46" s="76" t="s">
        <v>198</v>
      </c>
      <c r="U46" s="76" t="s">
        <v>116</v>
      </c>
    </row>
    <row r="47" ht="15.75" customHeight="1">
      <c r="Q47" s="76" t="s">
        <v>228</v>
      </c>
      <c r="R47" s="76" t="s">
        <v>198</v>
      </c>
      <c r="U47" s="76" t="s">
        <v>215</v>
      </c>
    </row>
    <row r="48" ht="15.75" customHeight="1">
      <c r="Q48" s="76" t="s">
        <v>234</v>
      </c>
      <c r="R48" s="76" t="s">
        <v>198</v>
      </c>
      <c r="U48" s="76" t="s">
        <v>222</v>
      </c>
    </row>
    <row r="49" ht="15.75" customHeight="1">
      <c r="Q49" s="76" t="s">
        <v>237</v>
      </c>
      <c r="R49" s="76" t="s">
        <v>198</v>
      </c>
      <c r="U49" s="76" t="s">
        <v>228</v>
      </c>
    </row>
    <row r="50" ht="15.75" customHeight="1">
      <c r="Q50" s="76" t="s">
        <v>242</v>
      </c>
      <c r="R50" s="76" t="s">
        <v>198</v>
      </c>
      <c r="U50" s="76" t="s">
        <v>234</v>
      </c>
    </row>
    <row r="51" ht="15.75" customHeight="1">
      <c r="Q51" s="76" t="s">
        <v>245</v>
      </c>
      <c r="R51" s="76" t="s">
        <v>198</v>
      </c>
      <c r="U51" s="76" t="s">
        <v>237</v>
      </c>
    </row>
    <row r="52" ht="15.75" customHeight="1">
      <c r="Q52" s="76" t="s">
        <v>248</v>
      </c>
      <c r="R52" s="76" t="s">
        <v>198</v>
      </c>
      <c r="U52" s="76" t="s">
        <v>242</v>
      </c>
    </row>
    <row r="53" ht="15.75" customHeight="1">
      <c r="Q53" s="76" t="s">
        <v>251</v>
      </c>
      <c r="R53" s="76" t="s">
        <v>198</v>
      </c>
      <c r="U53" s="76" t="s">
        <v>245</v>
      </c>
    </row>
    <row r="54" ht="15.75" customHeight="1">
      <c r="Q54" s="76" t="s">
        <v>254</v>
      </c>
      <c r="R54" s="76" t="s">
        <v>198</v>
      </c>
      <c r="U54" s="76" t="s">
        <v>248</v>
      </c>
    </row>
    <row r="55" ht="15.75" customHeight="1">
      <c r="Q55" s="76" t="s">
        <v>58</v>
      </c>
      <c r="R55" s="76" t="s">
        <v>238</v>
      </c>
      <c r="U55" s="76" t="s">
        <v>251</v>
      </c>
    </row>
    <row r="56" ht="15.75" customHeight="1">
      <c r="Q56" s="76" t="s">
        <v>261</v>
      </c>
      <c r="R56" s="76" t="s">
        <v>198</v>
      </c>
      <c r="U56" s="76" t="s">
        <v>254</v>
      </c>
    </row>
    <row r="57" ht="15.75" customHeight="1">
      <c r="Q57" s="76" t="s">
        <v>263</v>
      </c>
      <c r="R57" s="76" t="s">
        <v>198</v>
      </c>
      <c r="U57" s="76" t="s">
        <v>58</v>
      </c>
    </row>
    <row r="58" ht="15.75" customHeight="1">
      <c r="Q58" s="76" t="s">
        <v>265</v>
      </c>
      <c r="R58" s="76" t="s">
        <v>198</v>
      </c>
      <c r="U58" s="76" t="s">
        <v>226</v>
      </c>
    </row>
    <row r="59" ht="15.75" customHeight="1">
      <c r="Q59" s="76" t="s">
        <v>266</v>
      </c>
      <c r="R59" s="76" t="s">
        <v>238</v>
      </c>
      <c r="U59" s="76" t="s">
        <v>261</v>
      </c>
    </row>
    <row r="60" ht="15.75" customHeight="1">
      <c r="Q60" s="76" t="s">
        <v>267</v>
      </c>
      <c r="R60" s="76" t="s">
        <v>198</v>
      </c>
      <c r="U60" s="76" t="s">
        <v>263</v>
      </c>
    </row>
    <row r="61" ht="15.75" customHeight="1">
      <c r="U61" s="76" t="s">
        <v>265</v>
      </c>
    </row>
    <row r="62" ht="15.75" customHeight="1">
      <c r="U62" s="76" t="s">
        <v>266</v>
      </c>
    </row>
    <row r="63" ht="15.75" customHeight="1">
      <c r="U63" s="76" t="s">
        <v>267</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42" width="11.0"/>
  </cols>
  <sheetData>
    <row r="1">
      <c r="A1" s="77" t="s">
        <v>40</v>
      </c>
      <c r="B1" s="77" t="s">
        <v>268</v>
      </c>
      <c r="C1" s="77" t="s">
        <v>269</v>
      </c>
      <c r="D1" s="77" t="s">
        <v>19</v>
      </c>
      <c r="E1" s="77" t="s">
        <v>144</v>
      </c>
      <c r="F1" s="77" t="s">
        <v>45</v>
      </c>
      <c r="G1" s="77" t="s">
        <v>270</v>
      </c>
      <c r="H1" s="77" t="s">
        <v>31</v>
      </c>
      <c r="I1" s="77" t="s">
        <v>20</v>
      </c>
      <c r="J1" s="77" t="s">
        <v>48</v>
      </c>
      <c r="K1" s="77" t="s">
        <v>49</v>
      </c>
      <c r="L1" s="77" t="s">
        <v>50</v>
      </c>
      <c r="M1" s="77" t="s">
        <v>51</v>
      </c>
      <c r="N1" s="77" t="s">
        <v>145</v>
      </c>
      <c r="O1" s="77" t="s">
        <v>271</v>
      </c>
      <c r="P1" s="77" t="s">
        <v>272</v>
      </c>
      <c r="Q1" s="77" t="s">
        <v>273</v>
      </c>
      <c r="R1" s="77" t="s">
        <v>274</v>
      </c>
      <c r="S1" s="77" t="s">
        <v>275</v>
      </c>
      <c r="T1" s="77" t="s">
        <v>276</v>
      </c>
      <c r="U1" s="77" t="s">
        <v>277</v>
      </c>
      <c r="V1" s="77" t="s">
        <v>278</v>
      </c>
      <c r="W1" s="77" t="s">
        <v>279</v>
      </c>
      <c r="X1" s="77" t="s">
        <v>280</v>
      </c>
      <c r="Y1" s="77" t="s">
        <v>281</v>
      </c>
      <c r="Z1" s="77" t="s">
        <v>282</v>
      </c>
      <c r="AA1" s="77" t="s">
        <v>283</v>
      </c>
      <c r="AB1" s="77" t="s">
        <v>284</v>
      </c>
      <c r="AC1" s="77" t="s">
        <v>285</v>
      </c>
      <c r="AD1" s="77" t="s">
        <v>286</v>
      </c>
      <c r="AE1" s="77" t="s">
        <v>287</v>
      </c>
      <c r="AF1" s="77" t="s">
        <v>288</v>
      </c>
      <c r="AG1" s="77" t="s">
        <v>289</v>
      </c>
      <c r="AH1" s="77" t="s">
        <v>290</v>
      </c>
      <c r="AI1" s="77" t="s">
        <v>291</v>
      </c>
      <c r="AJ1" s="77" t="s">
        <v>292</v>
      </c>
      <c r="AK1" s="77" t="s">
        <v>293</v>
      </c>
      <c r="AL1" s="77" t="s">
        <v>294</v>
      </c>
      <c r="AM1" s="77" t="s">
        <v>295</v>
      </c>
      <c r="AN1" s="77" t="s">
        <v>296</v>
      </c>
      <c r="AO1" s="77" t="s">
        <v>297</v>
      </c>
      <c r="AP1" s="77" t="s">
        <v>298</v>
      </c>
    </row>
    <row r="2">
      <c r="A2" s="76" t="str">
        <f t="shared" ref="A2:A24" si="2">IF(#REF!="","",#REF!)</f>
        <v>#REF!</v>
      </c>
      <c r="B2" s="76" t="str">
        <f t="shared" ref="B2:B501" si="3">IF(A2="","",A2-WEEKDAY(A2,2)+1)</f>
        <v>#REF!</v>
      </c>
      <c r="C2" s="76" t="str">
        <f t="shared" ref="C2:C501" si="4">IF(A2="","",TEXT(A2,"YYYY-MM"))</f>
        <v>#REF!</v>
      </c>
      <c r="D2" s="76" t="str">
        <f t="shared" ref="D2:N2" si="1">#REF!</f>
        <v>#REF!</v>
      </c>
      <c r="E2" s="76" t="str">
        <f t="shared" si="1"/>
        <v>#REF!</v>
      </c>
      <c r="F2" s="76" t="str">
        <f t="shared" si="1"/>
        <v>#REF!</v>
      </c>
      <c r="G2" s="76" t="str">
        <f t="shared" si="1"/>
        <v>#REF!</v>
      </c>
      <c r="H2" s="76" t="str">
        <f t="shared" si="1"/>
        <v>#REF!</v>
      </c>
      <c r="I2" s="78" t="str">
        <f t="shared" si="1"/>
        <v>#REF!</v>
      </c>
      <c r="J2" s="78" t="str">
        <f t="shared" si="1"/>
        <v>#REF!</v>
      </c>
      <c r="K2" s="78" t="str">
        <f t="shared" si="1"/>
        <v>#REF!</v>
      </c>
      <c r="L2" s="78" t="str">
        <f t="shared" si="1"/>
        <v>#REF!</v>
      </c>
      <c r="M2" s="78" t="str">
        <f t="shared" si="1"/>
        <v>#REF!</v>
      </c>
      <c r="N2" s="78" t="str">
        <f t="shared" si="1"/>
        <v>#REF!</v>
      </c>
      <c r="O2" s="76">
        <f t="shared" ref="O2:O501" si="6">IFERROR(J2/N2,0)</f>
        <v>0</v>
      </c>
      <c r="P2" s="76">
        <f t="shared" ref="P2:P501" si="7">IFERROR(K2/N2,0)</f>
        <v>0</v>
      </c>
      <c r="Q2" s="76">
        <f t="shared" ref="Q2:Q501" si="8">IFERROR(L2/N2,0)</f>
        <v>0</v>
      </c>
      <c r="R2" s="76">
        <f t="shared" ref="R2:R501" si="9">IFERROR(M2/N2,0)</f>
        <v>0</v>
      </c>
      <c r="S2" s="76" t="str">
        <f t="shared" ref="S2:S501" si="10">IF($A2="","",IFERROR(COUNTIFS($B$2:$B$501,$B2,$G$2:$G$501,$G2,$I$2:$I$501,"&lt;"&amp;I2)/(COUNTIFS($B$2:$B$501,$B2,$G$2:$G$501,$G2)-1),1))</f>
        <v>#REF!</v>
      </c>
      <c r="T2" s="76" t="str">
        <f t="shared" ref="T2:T501" si="11">IF($A2="","",IFERROR(COUNTIFS($B$2:$B$501,$B2,$G$2:$G$501,$G2,$O$2:$O$501,"&lt;"&amp;O2)/(COUNTIFS($B$2:$B$501,$B2,$G$2:$G$501,$G2)-1),1))</f>
        <v>#REF!</v>
      </c>
      <c r="U2" s="76" t="str">
        <f t="shared" ref="U2:U501" si="12">IF($A2="","",IFERROR(COUNTIFS($B$2:$B$501,$B2,$G$2:$G$501,$G2,$P$2:$P$501,"&lt;"&amp;P2)/(COUNTIFS($B$2:$B$501,$B2,$G$2:$G$501,$G2)-1),1))</f>
        <v>#REF!</v>
      </c>
      <c r="V2" s="76" t="str">
        <f t="shared" ref="V2:V501" si="13">IF($A2="","",IFERROR(COUNTIFS($B$2:$B$501,$B2,$G$2:$G$501,$G2,$Q$2:$Q$501,"&lt;"&amp;Q2)/(COUNTIFS($B$2:$B$501,$B2,$G$2:$G$501,$G2)-1),1))</f>
        <v>#REF!</v>
      </c>
      <c r="W2" s="76" t="str">
        <f t="shared" ref="W2:W501" si="14">IF($A2="","",IFERROR(COUNTIFS($B$2:$B$501,$B2,$G$2:$G$501,$G2,$R$2:$R$501,"&lt;"&amp;R2)/(COUNTIFS($B$2:$B$501,$B2,$G$2:$G$501,$G2)-1),1))</f>
        <v>#REF!</v>
      </c>
      <c r="X2" s="76" t="str">
        <f t="shared" ref="X2:X501" si="15">IF($A2="","",IFERROR(COUNTIFS($C$2:$C$501,$C2,$G$2:$G$501,$G2,$I$2:$I$501,"&lt;"&amp;I2)/(COUNTIFS($C$2:$C$501,$C2,$G$2:$G$501,$G2)-1),1))</f>
        <v>#REF!</v>
      </c>
      <c r="Y2" s="76" t="str">
        <f t="shared" ref="Y2:Y501" si="16">IF($A2="","",IFERROR(COUNTIFS($C$2:$C$501,$C2,$G$2:$G$501,$G2,$O$2:$O$501,"&lt;"&amp;O2)/(COUNTIFS($C$2:$C$501,$C2,$G$2:$G$501,$G2)-1),1))</f>
        <v>#REF!</v>
      </c>
      <c r="Z2" s="76" t="str">
        <f t="shared" ref="Z2:Z501" si="17">IF($A2="","",IFERROR(COUNTIFS($C$2:$C$501,$C2,$G$2:$G$501,$G2,$P$2:$P$501,"&lt;"&amp;P2)/(COUNTIFS($C$2:$C$501,$C2,$G$2:$G$501,$G2)-1),1))</f>
        <v>#REF!</v>
      </c>
      <c r="AA2" s="76" t="str">
        <f t="shared" ref="AA2:AA501" si="18">IF($A2="","",IFERROR(COUNTIFS($C$2:$C$501,$C2,$G$2:$G$501,$G2,$Q$2:$Q$501,"&lt;"&amp;Q2)/(COUNTIFS($C$2:$C$501,$C2,$G$2:$G$501,$G2)-1),1))</f>
        <v>#REF!</v>
      </c>
      <c r="AB2" s="76" t="str">
        <f t="shared" ref="AB2:AB501" si="19">IF($A2="","",IFERROR(COUNTIFS($C$2:$C$501,$C2,$G$2:$G$501,$G2,$R$2:$R$501,"&lt;"&amp;R2)/(COUNTIFS($C$2:$C$501,$C2,$G$2:$G$501,$G2)-1),1))</f>
        <v>#REF!</v>
      </c>
      <c r="AC2" s="76" t="str">
        <f t="shared" ref="AC2:AC501" si="20">IF($A2="","",IFERROR(COUNTIFS($G$2:$G$501,$G2,$I$2:$I$501,"&lt;"&amp;I2)/(COUNTIF($G$2:$G$501,$G2)-1),1))</f>
        <v>#REF!</v>
      </c>
      <c r="AD2" s="76" t="str">
        <f t="shared" ref="AD2:AD501" si="21">IF($A2="","",IFERROR(COUNTIFS($G$2:$G$501,$G2,$O$2:$O$501,"&lt;"&amp;O2)/(COUNTIF($G$2:$G$501,$G2)-1),1))</f>
        <v>#REF!</v>
      </c>
      <c r="AE2" s="76" t="str">
        <f t="shared" ref="AE2:AE501" si="22">IF($A2="","",IFERROR(COUNTIFS($G$2:$G$501,$G2,$P$2:$P$501,"&lt;"&amp;P2)/(COUNTIF($G$2:$G$501,$G2)-1),1))</f>
        <v>#REF!</v>
      </c>
      <c r="AF2" s="76" t="str">
        <f t="shared" ref="AF2:AF501" si="23">IF($A2="","",IFERROR(COUNTIFS($G$2:$G$501,$G2,$Q$2:$Q$501,"&lt;"&amp;Q2)/(COUNTIF($G$2:$G$501,$G2)-1),1))</f>
        <v>#REF!</v>
      </c>
      <c r="AG2" s="76" t="str">
        <f t="shared" ref="AG2:AG501" si="24">IF($A2="","",IFERROR(COUNTIFS($G$2:$G$501,$G2,$R$2:$R$501,"&lt;"&amp;R2)/(COUNTIF($G$2:$G$501,$G2)-1),1))</f>
        <v>#REF!</v>
      </c>
      <c r="AH2" s="76" t="str">
        <f t="shared" ref="AH2:AH501" si="25">IF($A2="","",IF($G2="Reel",S2*0.2+T2*0.15+U2*0.25+V2*0.25+W2*0.15,IF($G2="Carousel",S2*0.1+T2*0.1+U2*0.2+V2*0.3+W2*0.3,"")))</f>
        <v>#REF!</v>
      </c>
      <c r="AI2" s="76" t="str">
        <f t="shared" ref="AI2:AI501" si="26">IF($A2="","",IF($G2="Reel",X2*0.2+Y2*0.15+Z2*0.25+AA2*0.25+AB2*0.15,IF($G2="Carousel",X2*0.1+Y2*0.1+Z2*0.2+AA2*0.3+AB2*0.3,"")))</f>
        <v>#REF!</v>
      </c>
      <c r="AJ2" s="76" t="str">
        <f t="shared" ref="AJ2:AJ501" si="27">IF($A2="","",IF($G2="Reel",AC2*0.2+AD2*0.15+AE2*0.25+AF2*0.25+AG2*0.15,IF($G2="Carousel",AC2*0.1+AD2*0.1+AE2*0.2+AF2*0.3+AG2*0.3,"")))</f>
        <v>#REF!</v>
      </c>
      <c r="AK2" s="76" t="str">
        <f t="shared" ref="AK2:AK501" si="28">IF($A2="","",IF(AH2=MAXIFS($AH$2:$AH$501,$B$2:$B$501,$B2,$G$2:$G$501,$G2),1,0))</f>
        <v>#REF!</v>
      </c>
      <c r="AL2" s="76" t="str">
        <f t="shared" ref="AL2:AL501" si="29">IF(AK2=1,TEXT($B2,"YYYYMMDD")&amp;"|"&amp;$G2,"")</f>
        <v>#REF!</v>
      </c>
      <c r="AM2" s="76" t="str">
        <f t="shared" ref="AM2:AM501" si="30">IF($A2="","",IF(AI2=MAXIFS($AI$2:$AI$501,$C$2:$C$501,$C2,$G$2:$G$501,$G2),1,0))</f>
        <v>#REF!</v>
      </c>
      <c r="AN2" s="76" t="str">
        <f t="shared" ref="AN2:AN501" si="31">IF(AM2=1,$C2&amp;"|"&amp;$G2,"")</f>
        <v>#REF!</v>
      </c>
      <c r="AO2" s="76" t="str">
        <f t="shared" ref="AO2:AO501" si="32">IF($A2="","",AJ2+(ROW()-1)/100000000)</f>
        <v>#REF!</v>
      </c>
      <c r="AP2" s="76" t="str">
        <f t="shared" ref="AP2:AP501" si="33">IF(C2="","",VALUE(SUBSTITUTE(C2,"-","")))</f>
        <v>#REF!</v>
      </c>
    </row>
    <row r="3">
      <c r="A3" s="76" t="str">
        <f t="shared" si="2"/>
        <v>#REF!</v>
      </c>
      <c r="B3" s="76" t="str">
        <f t="shared" si="3"/>
        <v>#REF!</v>
      </c>
      <c r="C3" s="76" t="str">
        <f t="shared" si="4"/>
        <v>#REF!</v>
      </c>
      <c r="D3" s="76" t="str">
        <f t="shared" ref="D3:N3" si="5">#REF!</f>
        <v>#REF!</v>
      </c>
      <c r="E3" s="76" t="str">
        <f t="shared" si="5"/>
        <v>#REF!</v>
      </c>
      <c r="F3" s="76" t="str">
        <f t="shared" si="5"/>
        <v>#REF!</v>
      </c>
      <c r="G3" s="76" t="str">
        <f t="shared" si="5"/>
        <v>#REF!</v>
      </c>
      <c r="H3" s="76" t="str">
        <f t="shared" si="5"/>
        <v>#REF!</v>
      </c>
      <c r="I3" s="78" t="str">
        <f t="shared" si="5"/>
        <v>#REF!</v>
      </c>
      <c r="J3" s="78" t="str">
        <f t="shared" si="5"/>
        <v>#REF!</v>
      </c>
      <c r="K3" s="78" t="str">
        <f t="shared" si="5"/>
        <v>#REF!</v>
      </c>
      <c r="L3" s="78" t="str">
        <f t="shared" si="5"/>
        <v>#REF!</v>
      </c>
      <c r="M3" s="78" t="str">
        <f t="shared" si="5"/>
        <v>#REF!</v>
      </c>
      <c r="N3" s="78" t="str">
        <f t="shared" si="5"/>
        <v>#REF!</v>
      </c>
      <c r="O3" s="76">
        <f t="shared" si="6"/>
        <v>0</v>
      </c>
      <c r="P3" s="76">
        <f t="shared" si="7"/>
        <v>0</v>
      </c>
      <c r="Q3" s="76">
        <f t="shared" si="8"/>
        <v>0</v>
      </c>
      <c r="R3" s="76">
        <f t="shared" si="9"/>
        <v>0</v>
      </c>
      <c r="S3" s="76" t="str">
        <f t="shared" si="10"/>
        <v>#REF!</v>
      </c>
      <c r="T3" s="76" t="str">
        <f t="shared" si="11"/>
        <v>#REF!</v>
      </c>
      <c r="U3" s="76" t="str">
        <f t="shared" si="12"/>
        <v>#REF!</v>
      </c>
      <c r="V3" s="76" t="str">
        <f t="shared" si="13"/>
        <v>#REF!</v>
      </c>
      <c r="W3" s="76" t="str">
        <f t="shared" si="14"/>
        <v>#REF!</v>
      </c>
      <c r="X3" s="76" t="str">
        <f t="shared" si="15"/>
        <v>#REF!</v>
      </c>
      <c r="Y3" s="76" t="str">
        <f t="shared" si="16"/>
        <v>#REF!</v>
      </c>
      <c r="Z3" s="76" t="str">
        <f t="shared" si="17"/>
        <v>#REF!</v>
      </c>
      <c r="AA3" s="76" t="str">
        <f t="shared" si="18"/>
        <v>#REF!</v>
      </c>
      <c r="AB3" s="76" t="str">
        <f t="shared" si="19"/>
        <v>#REF!</v>
      </c>
      <c r="AC3" s="76" t="str">
        <f t="shared" si="20"/>
        <v>#REF!</v>
      </c>
      <c r="AD3" s="76" t="str">
        <f t="shared" si="21"/>
        <v>#REF!</v>
      </c>
      <c r="AE3" s="76" t="str">
        <f t="shared" si="22"/>
        <v>#REF!</v>
      </c>
      <c r="AF3" s="76" t="str">
        <f t="shared" si="23"/>
        <v>#REF!</v>
      </c>
      <c r="AG3" s="76" t="str">
        <f t="shared" si="24"/>
        <v>#REF!</v>
      </c>
      <c r="AH3" s="76" t="str">
        <f t="shared" si="25"/>
        <v>#REF!</v>
      </c>
      <c r="AI3" s="76" t="str">
        <f t="shared" si="26"/>
        <v>#REF!</v>
      </c>
      <c r="AJ3" s="76" t="str">
        <f t="shared" si="27"/>
        <v>#REF!</v>
      </c>
      <c r="AK3" s="76" t="str">
        <f t="shared" si="28"/>
        <v>#REF!</v>
      </c>
      <c r="AL3" s="76" t="str">
        <f t="shared" si="29"/>
        <v>#REF!</v>
      </c>
      <c r="AM3" s="76" t="str">
        <f t="shared" si="30"/>
        <v>#REF!</v>
      </c>
      <c r="AN3" s="76" t="str">
        <f t="shared" si="31"/>
        <v>#REF!</v>
      </c>
      <c r="AO3" s="76" t="str">
        <f t="shared" si="32"/>
        <v>#REF!</v>
      </c>
      <c r="AP3" s="76" t="str">
        <f t="shared" si="33"/>
        <v>#REF!</v>
      </c>
    </row>
    <row r="4">
      <c r="A4" s="76" t="str">
        <f t="shared" si="2"/>
        <v>#REF!</v>
      </c>
      <c r="B4" s="76" t="str">
        <f t="shared" si="3"/>
        <v>#REF!</v>
      </c>
      <c r="C4" s="76" t="str">
        <f t="shared" si="4"/>
        <v>#REF!</v>
      </c>
      <c r="D4" s="76" t="str">
        <f t="shared" ref="D4:N4" si="34">#REF!</f>
        <v>#REF!</v>
      </c>
      <c r="E4" s="76" t="str">
        <f t="shared" si="34"/>
        <v>#REF!</v>
      </c>
      <c r="F4" s="76" t="str">
        <f t="shared" si="34"/>
        <v>#REF!</v>
      </c>
      <c r="G4" s="76" t="str">
        <f t="shared" si="34"/>
        <v>#REF!</v>
      </c>
      <c r="H4" s="76" t="str">
        <f t="shared" si="34"/>
        <v>#REF!</v>
      </c>
      <c r="I4" s="78" t="str">
        <f t="shared" si="34"/>
        <v>#REF!</v>
      </c>
      <c r="J4" s="78" t="str">
        <f t="shared" si="34"/>
        <v>#REF!</v>
      </c>
      <c r="K4" s="78" t="str">
        <f t="shared" si="34"/>
        <v>#REF!</v>
      </c>
      <c r="L4" s="78" t="str">
        <f t="shared" si="34"/>
        <v>#REF!</v>
      </c>
      <c r="M4" s="78" t="str">
        <f t="shared" si="34"/>
        <v>#REF!</v>
      </c>
      <c r="N4" s="78" t="str">
        <f t="shared" si="34"/>
        <v>#REF!</v>
      </c>
      <c r="O4" s="76">
        <f t="shared" si="6"/>
        <v>0</v>
      </c>
      <c r="P4" s="76">
        <f t="shared" si="7"/>
        <v>0</v>
      </c>
      <c r="Q4" s="76">
        <f t="shared" si="8"/>
        <v>0</v>
      </c>
      <c r="R4" s="76">
        <f t="shared" si="9"/>
        <v>0</v>
      </c>
      <c r="S4" s="76" t="str">
        <f t="shared" si="10"/>
        <v>#REF!</v>
      </c>
      <c r="T4" s="76" t="str">
        <f t="shared" si="11"/>
        <v>#REF!</v>
      </c>
      <c r="U4" s="76" t="str">
        <f t="shared" si="12"/>
        <v>#REF!</v>
      </c>
      <c r="V4" s="76" t="str">
        <f t="shared" si="13"/>
        <v>#REF!</v>
      </c>
      <c r="W4" s="76" t="str">
        <f t="shared" si="14"/>
        <v>#REF!</v>
      </c>
      <c r="X4" s="76" t="str">
        <f t="shared" si="15"/>
        <v>#REF!</v>
      </c>
      <c r="Y4" s="76" t="str">
        <f t="shared" si="16"/>
        <v>#REF!</v>
      </c>
      <c r="Z4" s="76" t="str">
        <f t="shared" si="17"/>
        <v>#REF!</v>
      </c>
      <c r="AA4" s="76" t="str">
        <f t="shared" si="18"/>
        <v>#REF!</v>
      </c>
      <c r="AB4" s="76" t="str">
        <f t="shared" si="19"/>
        <v>#REF!</v>
      </c>
      <c r="AC4" s="76" t="str">
        <f t="shared" si="20"/>
        <v>#REF!</v>
      </c>
      <c r="AD4" s="76" t="str">
        <f t="shared" si="21"/>
        <v>#REF!</v>
      </c>
      <c r="AE4" s="76" t="str">
        <f t="shared" si="22"/>
        <v>#REF!</v>
      </c>
      <c r="AF4" s="76" t="str">
        <f t="shared" si="23"/>
        <v>#REF!</v>
      </c>
      <c r="AG4" s="76" t="str">
        <f t="shared" si="24"/>
        <v>#REF!</v>
      </c>
      <c r="AH4" s="76" t="str">
        <f t="shared" si="25"/>
        <v>#REF!</v>
      </c>
      <c r="AI4" s="76" t="str">
        <f t="shared" si="26"/>
        <v>#REF!</v>
      </c>
      <c r="AJ4" s="76" t="str">
        <f t="shared" si="27"/>
        <v>#REF!</v>
      </c>
      <c r="AK4" s="76" t="str">
        <f t="shared" si="28"/>
        <v>#REF!</v>
      </c>
      <c r="AL4" s="76" t="str">
        <f t="shared" si="29"/>
        <v>#REF!</v>
      </c>
      <c r="AM4" s="76" t="str">
        <f t="shared" si="30"/>
        <v>#REF!</v>
      </c>
      <c r="AN4" s="76" t="str">
        <f t="shared" si="31"/>
        <v>#REF!</v>
      </c>
      <c r="AO4" s="76" t="str">
        <f t="shared" si="32"/>
        <v>#REF!</v>
      </c>
      <c r="AP4" s="76" t="str">
        <f t="shared" si="33"/>
        <v>#REF!</v>
      </c>
    </row>
    <row r="5">
      <c r="A5" s="76" t="str">
        <f t="shared" si="2"/>
        <v>#REF!</v>
      </c>
      <c r="B5" s="76" t="str">
        <f t="shared" si="3"/>
        <v>#REF!</v>
      </c>
      <c r="C5" s="76" t="str">
        <f t="shared" si="4"/>
        <v>#REF!</v>
      </c>
      <c r="D5" s="76" t="str">
        <f t="shared" ref="D5:N5" si="35">#REF!</f>
        <v>#REF!</v>
      </c>
      <c r="E5" s="76" t="str">
        <f t="shared" si="35"/>
        <v>#REF!</v>
      </c>
      <c r="F5" s="76" t="str">
        <f t="shared" si="35"/>
        <v>#REF!</v>
      </c>
      <c r="G5" s="76" t="str">
        <f t="shared" si="35"/>
        <v>#REF!</v>
      </c>
      <c r="H5" s="76" t="str">
        <f t="shared" si="35"/>
        <v>#REF!</v>
      </c>
      <c r="I5" s="78" t="str">
        <f t="shared" si="35"/>
        <v>#REF!</v>
      </c>
      <c r="J5" s="78" t="str">
        <f t="shared" si="35"/>
        <v>#REF!</v>
      </c>
      <c r="K5" s="78" t="str">
        <f t="shared" si="35"/>
        <v>#REF!</v>
      </c>
      <c r="L5" s="78" t="str">
        <f t="shared" si="35"/>
        <v>#REF!</v>
      </c>
      <c r="M5" s="78" t="str">
        <f t="shared" si="35"/>
        <v>#REF!</v>
      </c>
      <c r="N5" s="78" t="str">
        <f t="shared" si="35"/>
        <v>#REF!</v>
      </c>
      <c r="O5" s="76">
        <f t="shared" si="6"/>
        <v>0</v>
      </c>
      <c r="P5" s="76">
        <f t="shared" si="7"/>
        <v>0</v>
      </c>
      <c r="Q5" s="76">
        <f t="shared" si="8"/>
        <v>0</v>
      </c>
      <c r="R5" s="76">
        <f t="shared" si="9"/>
        <v>0</v>
      </c>
      <c r="S5" s="76" t="str">
        <f t="shared" si="10"/>
        <v>#REF!</v>
      </c>
      <c r="T5" s="76" t="str">
        <f t="shared" si="11"/>
        <v>#REF!</v>
      </c>
      <c r="U5" s="76" t="str">
        <f t="shared" si="12"/>
        <v>#REF!</v>
      </c>
      <c r="V5" s="76" t="str">
        <f t="shared" si="13"/>
        <v>#REF!</v>
      </c>
      <c r="W5" s="76" t="str">
        <f t="shared" si="14"/>
        <v>#REF!</v>
      </c>
      <c r="X5" s="76" t="str">
        <f t="shared" si="15"/>
        <v>#REF!</v>
      </c>
      <c r="Y5" s="76" t="str">
        <f t="shared" si="16"/>
        <v>#REF!</v>
      </c>
      <c r="Z5" s="76" t="str">
        <f t="shared" si="17"/>
        <v>#REF!</v>
      </c>
      <c r="AA5" s="76" t="str">
        <f t="shared" si="18"/>
        <v>#REF!</v>
      </c>
      <c r="AB5" s="76" t="str">
        <f t="shared" si="19"/>
        <v>#REF!</v>
      </c>
      <c r="AC5" s="76" t="str">
        <f t="shared" si="20"/>
        <v>#REF!</v>
      </c>
      <c r="AD5" s="76" t="str">
        <f t="shared" si="21"/>
        <v>#REF!</v>
      </c>
      <c r="AE5" s="76" t="str">
        <f t="shared" si="22"/>
        <v>#REF!</v>
      </c>
      <c r="AF5" s="76" t="str">
        <f t="shared" si="23"/>
        <v>#REF!</v>
      </c>
      <c r="AG5" s="76" t="str">
        <f t="shared" si="24"/>
        <v>#REF!</v>
      </c>
      <c r="AH5" s="76" t="str">
        <f t="shared" si="25"/>
        <v>#REF!</v>
      </c>
      <c r="AI5" s="76" t="str">
        <f t="shared" si="26"/>
        <v>#REF!</v>
      </c>
      <c r="AJ5" s="76" t="str">
        <f t="shared" si="27"/>
        <v>#REF!</v>
      </c>
      <c r="AK5" s="76" t="str">
        <f t="shared" si="28"/>
        <v>#REF!</v>
      </c>
      <c r="AL5" s="76" t="str">
        <f t="shared" si="29"/>
        <v>#REF!</v>
      </c>
      <c r="AM5" s="76" t="str">
        <f t="shared" si="30"/>
        <v>#REF!</v>
      </c>
      <c r="AN5" s="76" t="str">
        <f t="shared" si="31"/>
        <v>#REF!</v>
      </c>
      <c r="AO5" s="76" t="str">
        <f t="shared" si="32"/>
        <v>#REF!</v>
      </c>
      <c r="AP5" s="76" t="str">
        <f t="shared" si="33"/>
        <v>#REF!</v>
      </c>
    </row>
    <row r="6">
      <c r="A6" s="76" t="str">
        <f t="shared" si="2"/>
        <v>#REF!</v>
      </c>
      <c r="B6" s="76" t="str">
        <f t="shared" si="3"/>
        <v>#REF!</v>
      </c>
      <c r="C6" s="76" t="str">
        <f t="shared" si="4"/>
        <v>#REF!</v>
      </c>
      <c r="D6" s="76" t="str">
        <f t="shared" ref="D6:N6" si="36">#REF!</f>
        <v>#REF!</v>
      </c>
      <c r="E6" s="76" t="str">
        <f t="shared" si="36"/>
        <v>#REF!</v>
      </c>
      <c r="F6" s="76" t="str">
        <f t="shared" si="36"/>
        <v>#REF!</v>
      </c>
      <c r="G6" s="76" t="str">
        <f t="shared" si="36"/>
        <v>#REF!</v>
      </c>
      <c r="H6" s="76" t="str">
        <f t="shared" si="36"/>
        <v>#REF!</v>
      </c>
      <c r="I6" s="78" t="str">
        <f t="shared" si="36"/>
        <v>#REF!</v>
      </c>
      <c r="J6" s="78" t="str">
        <f t="shared" si="36"/>
        <v>#REF!</v>
      </c>
      <c r="K6" s="78" t="str">
        <f t="shared" si="36"/>
        <v>#REF!</v>
      </c>
      <c r="L6" s="78" t="str">
        <f t="shared" si="36"/>
        <v>#REF!</v>
      </c>
      <c r="M6" s="78" t="str">
        <f t="shared" si="36"/>
        <v>#REF!</v>
      </c>
      <c r="N6" s="78" t="str">
        <f t="shared" si="36"/>
        <v>#REF!</v>
      </c>
      <c r="O6" s="76">
        <f t="shared" si="6"/>
        <v>0</v>
      </c>
      <c r="P6" s="76">
        <f t="shared" si="7"/>
        <v>0</v>
      </c>
      <c r="Q6" s="76">
        <f t="shared" si="8"/>
        <v>0</v>
      </c>
      <c r="R6" s="76">
        <f t="shared" si="9"/>
        <v>0</v>
      </c>
      <c r="S6" s="76" t="str">
        <f t="shared" si="10"/>
        <v>#REF!</v>
      </c>
      <c r="T6" s="76" t="str">
        <f t="shared" si="11"/>
        <v>#REF!</v>
      </c>
      <c r="U6" s="76" t="str">
        <f t="shared" si="12"/>
        <v>#REF!</v>
      </c>
      <c r="V6" s="76" t="str">
        <f t="shared" si="13"/>
        <v>#REF!</v>
      </c>
      <c r="W6" s="76" t="str">
        <f t="shared" si="14"/>
        <v>#REF!</v>
      </c>
      <c r="X6" s="76" t="str">
        <f t="shared" si="15"/>
        <v>#REF!</v>
      </c>
      <c r="Y6" s="76" t="str">
        <f t="shared" si="16"/>
        <v>#REF!</v>
      </c>
      <c r="Z6" s="76" t="str">
        <f t="shared" si="17"/>
        <v>#REF!</v>
      </c>
      <c r="AA6" s="76" t="str">
        <f t="shared" si="18"/>
        <v>#REF!</v>
      </c>
      <c r="AB6" s="76" t="str">
        <f t="shared" si="19"/>
        <v>#REF!</v>
      </c>
      <c r="AC6" s="76" t="str">
        <f t="shared" si="20"/>
        <v>#REF!</v>
      </c>
      <c r="AD6" s="76" t="str">
        <f t="shared" si="21"/>
        <v>#REF!</v>
      </c>
      <c r="AE6" s="76" t="str">
        <f t="shared" si="22"/>
        <v>#REF!</v>
      </c>
      <c r="AF6" s="76" t="str">
        <f t="shared" si="23"/>
        <v>#REF!</v>
      </c>
      <c r="AG6" s="76" t="str">
        <f t="shared" si="24"/>
        <v>#REF!</v>
      </c>
      <c r="AH6" s="76" t="str">
        <f t="shared" si="25"/>
        <v>#REF!</v>
      </c>
      <c r="AI6" s="76" t="str">
        <f t="shared" si="26"/>
        <v>#REF!</v>
      </c>
      <c r="AJ6" s="76" t="str">
        <f t="shared" si="27"/>
        <v>#REF!</v>
      </c>
      <c r="AK6" s="76" t="str">
        <f t="shared" si="28"/>
        <v>#REF!</v>
      </c>
      <c r="AL6" s="76" t="str">
        <f t="shared" si="29"/>
        <v>#REF!</v>
      </c>
      <c r="AM6" s="76" t="str">
        <f t="shared" si="30"/>
        <v>#REF!</v>
      </c>
      <c r="AN6" s="76" t="str">
        <f t="shared" si="31"/>
        <v>#REF!</v>
      </c>
      <c r="AO6" s="76" t="str">
        <f t="shared" si="32"/>
        <v>#REF!</v>
      </c>
      <c r="AP6" s="76" t="str">
        <f t="shared" si="33"/>
        <v>#REF!</v>
      </c>
    </row>
    <row r="7">
      <c r="A7" s="76" t="str">
        <f t="shared" si="2"/>
        <v>#REF!</v>
      </c>
      <c r="B7" s="76" t="str">
        <f t="shared" si="3"/>
        <v>#REF!</v>
      </c>
      <c r="C7" s="76" t="str">
        <f t="shared" si="4"/>
        <v>#REF!</v>
      </c>
      <c r="D7" s="76" t="str">
        <f t="shared" ref="D7:N7" si="37">#REF!</f>
        <v>#REF!</v>
      </c>
      <c r="E7" s="76" t="str">
        <f t="shared" si="37"/>
        <v>#REF!</v>
      </c>
      <c r="F7" s="76" t="str">
        <f t="shared" si="37"/>
        <v>#REF!</v>
      </c>
      <c r="G7" s="76" t="str">
        <f t="shared" si="37"/>
        <v>#REF!</v>
      </c>
      <c r="H7" s="76" t="str">
        <f t="shared" si="37"/>
        <v>#REF!</v>
      </c>
      <c r="I7" s="78" t="str">
        <f t="shared" si="37"/>
        <v>#REF!</v>
      </c>
      <c r="J7" s="78" t="str">
        <f t="shared" si="37"/>
        <v>#REF!</v>
      </c>
      <c r="K7" s="78" t="str">
        <f t="shared" si="37"/>
        <v>#REF!</v>
      </c>
      <c r="L7" s="78" t="str">
        <f t="shared" si="37"/>
        <v>#REF!</v>
      </c>
      <c r="M7" s="78" t="str">
        <f t="shared" si="37"/>
        <v>#REF!</v>
      </c>
      <c r="N7" s="78" t="str">
        <f t="shared" si="37"/>
        <v>#REF!</v>
      </c>
      <c r="O7" s="76">
        <f t="shared" si="6"/>
        <v>0</v>
      </c>
      <c r="P7" s="76">
        <f t="shared" si="7"/>
        <v>0</v>
      </c>
      <c r="Q7" s="76">
        <f t="shared" si="8"/>
        <v>0</v>
      </c>
      <c r="R7" s="76">
        <f t="shared" si="9"/>
        <v>0</v>
      </c>
      <c r="S7" s="76" t="str">
        <f t="shared" si="10"/>
        <v>#REF!</v>
      </c>
      <c r="T7" s="76" t="str">
        <f t="shared" si="11"/>
        <v>#REF!</v>
      </c>
      <c r="U7" s="76" t="str">
        <f t="shared" si="12"/>
        <v>#REF!</v>
      </c>
      <c r="V7" s="76" t="str">
        <f t="shared" si="13"/>
        <v>#REF!</v>
      </c>
      <c r="W7" s="76" t="str">
        <f t="shared" si="14"/>
        <v>#REF!</v>
      </c>
      <c r="X7" s="76" t="str">
        <f t="shared" si="15"/>
        <v>#REF!</v>
      </c>
      <c r="Y7" s="76" t="str">
        <f t="shared" si="16"/>
        <v>#REF!</v>
      </c>
      <c r="Z7" s="76" t="str">
        <f t="shared" si="17"/>
        <v>#REF!</v>
      </c>
      <c r="AA7" s="76" t="str">
        <f t="shared" si="18"/>
        <v>#REF!</v>
      </c>
      <c r="AB7" s="76" t="str">
        <f t="shared" si="19"/>
        <v>#REF!</v>
      </c>
      <c r="AC7" s="76" t="str">
        <f t="shared" si="20"/>
        <v>#REF!</v>
      </c>
      <c r="AD7" s="76" t="str">
        <f t="shared" si="21"/>
        <v>#REF!</v>
      </c>
      <c r="AE7" s="76" t="str">
        <f t="shared" si="22"/>
        <v>#REF!</v>
      </c>
      <c r="AF7" s="76" t="str">
        <f t="shared" si="23"/>
        <v>#REF!</v>
      </c>
      <c r="AG7" s="76" t="str">
        <f t="shared" si="24"/>
        <v>#REF!</v>
      </c>
      <c r="AH7" s="76" t="str">
        <f t="shared" si="25"/>
        <v>#REF!</v>
      </c>
      <c r="AI7" s="76" t="str">
        <f t="shared" si="26"/>
        <v>#REF!</v>
      </c>
      <c r="AJ7" s="76" t="str">
        <f t="shared" si="27"/>
        <v>#REF!</v>
      </c>
      <c r="AK7" s="76" t="str">
        <f t="shared" si="28"/>
        <v>#REF!</v>
      </c>
      <c r="AL7" s="76" t="str">
        <f t="shared" si="29"/>
        <v>#REF!</v>
      </c>
      <c r="AM7" s="76" t="str">
        <f t="shared" si="30"/>
        <v>#REF!</v>
      </c>
      <c r="AN7" s="76" t="str">
        <f t="shared" si="31"/>
        <v>#REF!</v>
      </c>
      <c r="AO7" s="76" t="str">
        <f t="shared" si="32"/>
        <v>#REF!</v>
      </c>
      <c r="AP7" s="76" t="str">
        <f t="shared" si="33"/>
        <v>#REF!</v>
      </c>
    </row>
    <row r="8">
      <c r="A8" s="76" t="str">
        <f t="shared" si="2"/>
        <v>#REF!</v>
      </c>
      <c r="B8" s="76" t="str">
        <f t="shared" si="3"/>
        <v>#REF!</v>
      </c>
      <c r="C8" s="76" t="str">
        <f t="shared" si="4"/>
        <v>#REF!</v>
      </c>
      <c r="D8" s="76" t="str">
        <f t="shared" ref="D8:N8" si="38">#REF!</f>
        <v>#REF!</v>
      </c>
      <c r="E8" s="76" t="str">
        <f t="shared" si="38"/>
        <v>#REF!</v>
      </c>
      <c r="F8" s="76" t="str">
        <f t="shared" si="38"/>
        <v>#REF!</v>
      </c>
      <c r="G8" s="76" t="str">
        <f t="shared" si="38"/>
        <v>#REF!</v>
      </c>
      <c r="H8" s="76" t="str">
        <f t="shared" si="38"/>
        <v>#REF!</v>
      </c>
      <c r="I8" s="78" t="str">
        <f t="shared" si="38"/>
        <v>#REF!</v>
      </c>
      <c r="J8" s="78" t="str">
        <f t="shared" si="38"/>
        <v>#REF!</v>
      </c>
      <c r="K8" s="78" t="str">
        <f t="shared" si="38"/>
        <v>#REF!</v>
      </c>
      <c r="L8" s="78" t="str">
        <f t="shared" si="38"/>
        <v>#REF!</v>
      </c>
      <c r="M8" s="78" t="str">
        <f t="shared" si="38"/>
        <v>#REF!</v>
      </c>
      <c r="N8" s="78" t="str">
        <f t="shared" si="38"/>
        <v>#REF!</v>
      </c>
      <c r="O8" s="76">
        <f t="shared" si="6"/>
        <v>0</v>
      </c>
      <c r="P8" s="76">
        <f t="shared" si="7"/>
        <v>0</v>
      </c>
      <c r="Q8" s="76">
        <f t="shared" si="8"/>
        <v>0</v>
      </c>
      <c r="R8" s="76">
        <f t="shared" si="9"/>
        <v>0</v>
      </c>
      <c r="S8" s="76" t="str">
        <f t="shared" si="10"/>
        <v>#REF!</v>
      </c>
      <c r="T8" s="76" t="str">
        <f t="shared" si="11"/>
        <v>#REF!</v>
      </c>
      <c r="U8" s="76" t="str">
        <f t="shared" si="12"/>
        <v>#REF!</v>
      </c>
      <c r="V8" s="76" t="str">
        <f t="shared" si="13"/>
        <v>#REF!</v>
      </c>
      <c r="W8" s="76" t="str">
        <f t="shared" si="14"/>
        <v>#REF!</v>
      </c>
      <c r="X8" s="76" t="str">
        <f t="shared" si="15"/>
        <v>#REF!</v>
      </c>
      <c r="Y8" s="76" t="str">
        <f t="shared" si="16"/>
        <v>#REF!</v>
      </c>
      <c r="Z8" s="76" t="str">
        <f t="shared" si="17"/>
        <v>#REF!</v>
      </c>
      <c r="AA8" s="76" t="str">
        <f t="shared" si="18"/>
        <v>#REF!</v>
      </c>
      <c r="AB8" s="76" t="str">
        <f t="shared" si="19"/>
        <v>#REF!</v>
      </c>
      <c r="AC8" s="76" t="str">
        <f t="shared" si="20"/>
        <v>#REF!</v>
      </c>
      <c r="AD8" s="76" t="str">
        <f t="shared" si="21"/>
        <v>#REF!</v>
      </c>
      <c r="AE8" s="76" t="str">
        <f t="shared" si="22"/>
        <v>#REF!</v>
      </c>
      <c r="AF8" s="76" t="str">
        <f t="shared" si="23"/>
        <v>#REF!</v>
      </c>
      <c r="AG8" s="76" t="str">
        <f t="shared" si="24"/>
        <v>#REF!</v>
      </c>
      <c r="AH8" s="76" t="str">
        <f t="shared" si="25"/>
        <v>#REF!</v>
      </c>
      <c r="AI8" s="76" t="str">
        <f t="shared" si="26"/>
        <v>#REF!</v>
      </c>
      <c r="AJ8" s="76" t="str">
        <f t="shared" si="27"/>
        <v>#REF!</v>
      </c>
      <c r="AK8" s="76" t="str">
        <f t="shared" si="28"/>
        <v>#REF!</v>
      </c>
      <c r="AL8" s="76" t="str">
        <f t="shared" si="29"/>
        <v>#REF!</v>
      </c>
      <c r="AM8" s="76" t="str">
        <f t="shared" si="30"/>
        <v>#REF!</v>
      </c>
      <c r="AN8" s="76" t="str">
        <f t="shared" si="31"/>
        <v>#REF!</v>
      </c>
      <c r="AO8" s="76" t="str">
        <f t="shared" si="32"/>
        <v>#REF!</v>
      </c>
      <c r="AP8" s="76" t="str">
        <f t="shared" si="33"/>
        <v>#REF!</v>
      </c>
    </row>
    <row r="9">
      <c r="A9" s="76" t="str">
        <f t="shared" si="2"/>
        <v>#REF!</v>
      </c>
      <c r="B9" s="76" t="str">
        <f t="shared" si="3"/>
        <v>#REF!</v>
      </c>
      <c r="C9" s="76" t="str">
        <f t="shared" si="4"/>
        <v>#REF!</v>
      </c>
      <c r="D9" s="76" t="str">
        <f t="shared" ref="D9:N9" si="39">#REF!</f>
        <v>#REF!</v>
      </c>
      <c r="E9" s="76" t="str">
        <f t="shared" si="39"/>
        <v>#REF!</v>
      </c>
      <c r="F9" s="76" t="str">
        <f t="shared" si="39"/>
        <v>#REF!</v>
      </c>
      <c r="G9" s="76" t="str">
        <f t="shared" si="39"/>
        <v>#REF!</v>
      </c>
      <c r="H9" s="76" t="str">
        <f t="shared" si="39"/>
        <v>#REF!</v>
      </c>
      <c r="I9" s="78" t="str">
        <f t="shared" si="39"/>
        <v>#REF!</v>
      </c>
      <c r="J9" s="78" t="str">
        <f t="shared" si="39"/>
        <v>#REF!</v>
      </c>
      <c r="K9" s="78" t="str">
        <f t="shared" si="39"/>
        <v>#REF!</v>
      </c>
      <c r="L9" s="78" t="str">
        <f t="shared" si="39"/>
        <v>#REF!</v>
      </c>
      <c r="M9" s="78" t="str">
        <f t="shared" si="39"/>
        <v>#REF!</v>
      </c>
      <c r="N9" s="78" t="str">
        <f t="shared" si="39"/>
        <v>#REF!</v>
      </c>
      <c r="O9" s="76">
        <f t="shared" si="6"/>
        <v>0</v>
      </c>
      <c r="P9" s="76">
        <f t="shared" si="7"/>
        <v>0</v>
      </c>
      <c r="Q9" s="76">
        <f t="shared" si="8"/>
        <v>0</v>
      </c>
      <c r="R9" s="76">
        <f t="shared" si="9"/>
        <v>0</v>
      </c>
      <c r="S9" s="76" t="str">
        <f t="shared" si="10"/>
        <v>#REF!</v>
      </c>
      <c r="T9" s="76" t="str">
        <f t="shared" si="11"/>
        <v>#REF!</v>
      </c>
      <c r="U9" s="76" t="str">
        <f t="shared" si="12"/>
        <v>#REF!</v>
      </c>
      <c r="V9" s="76" t="str">
        <f t="shared" si="13"/>
        <v>#REF!</v>
      </c>
      <c r="W9" s="76" t="str">
        <f t="shared" si="14"/>
        <v>#REF!</v>
      </c>
      <c r="X9" s="76" t="str">
        <f t="shared" si="15"/>
        <v>#REF!</v>
      </c>
      <c r="Y9" s="76" t="str">
        <f t="shared" si="16"/>
        <v>#REF!</v>
      </c>
      <c r="Z9" s="76" t="str">
        <f t="shared" si="17"/>
        <v>#REF!</v>
      </c>
      <c r="AA9" s="76" t="str">
        <f t="shared" si="18"/>
        <v>#REF!</v>
      </c>
      <c r="AB9" s="76" t="str">
        <f t="shared" si="19"/>
        <v>#REF!</v>
      </c>
      <c r="AC9" s="76" t="str">
        <f t="shared" si="20"/>
        <v>#REF!</v>
      </c>
      <c r="AD9" s="76" t="str">
        <f t="shared" si="21"/>
        <v>#REF!</v>
      </c>
      <c r="AE9" s="76" t="str">
        <f t="shared" si="22"/>
        <v>#REF!</v>
      </c>
      <c r="AF9" s="76" t="str">
        <f t="shared" si="23"/>
        <v>#REF!</v>
      </c>
      <c r="AG9" s="76" t="str">
        <f t="shared" si="24"/>
        <v>#REF!</v>
      </c>
      <c r="AH9" s="76" t="str">
        <f t="shared" si="25"/>
        <v>#REF!</v>
      </c>
      <c r="AI9" s="76" t="str">
        <f t="shared" si="26"/>
        <v>#REF!</v>
      </c>
      <c r="AJ9" s="76" t="str">
        <f t="shared" si="27"/>
        <v>#REF!</v>
      </c>
      <c r="AK9" s="76" t="str">
        <f t="shared" si="28"/>
        <v>#REF!</v>
      </c>
      <c r="AL9" s="76" t="str">
        <f t="shared" si="29"/>
        <v>#REF!</v>
      </c>
      <c r="AM9" s="76" t="str">
        <f t="shared" si="30"/>
        <v>#REF!</v>
      </c>
      <c r="AN9" s="76" t="str">
        <f t="shared" si="31"/>
        <v>#REF!</v>
      </c>
      <c r="AO9" s="76" t="str">
        <f t="shared" si="32"/>
        <v>#REF!</v>
      </c>
      <c r="AP9" s="76" t="str">
        <f t="shared" si="33"/>
        <v>#REF!</v>
      </c>
    </row>
    <row r="10">
      <c r="A10" s="76" t="str">
        <f t="shared" si="2"/>
        <v>#REF!</v>
      </c>
      <c r="B10" s="76" t="str">
        <f t="shared" si="3"/>
        <v>#REF!</v>
      </c>
      <c r="C10" s="76" t="str">
        <f t="shared" si="4"/>
        <v>#REF!</v>
      </c>
      <c r="D10" s="76" t="str">
        <f t="shared" ref="D10:N10" si="40">#REF!</f>
        <v>#REF!</v>
      </c>
      <c r="E10" s="76" t="str">
        <f t="shared" si="40"/>
        <v>#REF!</v>
      </c>
      <c r="F10" s="76" t="str">
        <f t="shared" si="40"/>
        <v>#REF!</v>
      </c>
      <c r="G10" s="76" t="str">
        <f t="shared" si="40"/>
        <v>#REF!</v>
      </c>
      <c r="H10" s="76" t="str">
        <f t="shared" si="40"/>
        <v>#REF!</v>
      </c>
      <c r="I10" s="78" t="str">
        <f t="shared" si="40"/>
        <v>#REF!</v>
      </c>
      <c r="J10" s="78" t="str">
        <f t="shared" si="40"/>
        <v>#REF!</v>
      </c>
      <c r="K10" s="78" t="str">
        <f t="shared" si="40"/>
        <v>#REF!</v>
      </c>
      <c r="L10" s="78" t="str">
        <f t="shared" si="40"/>
        <v>#REF!</v>
      </c>
      <c r="M10" s="78" t="str">
        <f t="shared" si="40"/>
        <v>#REF!</v>
      </c>
      <c r="N10" s="78" t="str">
        <f t="shared" si="40"/>
        <v>#REF!</v>
      </c>
      <c r="O10" s="76">
        <f t="shared" si="6"/>
        <v>0</v>
      </c>
      <c r="P10" s="76">
        <f t="shared" si="7"/>
        <v>0</v>
      </c>
      <c r="Q10" s="76">
        <f t="shared" si="8"/>
        <v>0</v>
      </c>
      <c r="R10" s="76">
        <f t="shared" si="9"/>
        <v>0</v>
      </c>
      <c r="S10" s="76" t="str">
        <f t="shared" si="10"/>
        <v>#REF!</v>
      </c>
      <c r="T10" s="76" t="str">
        <f t="shared" si="11"/>
        <v>#REF!</v>
      </c>
      <c r="U10" s="76" t="str">
        <f t="shared" si="12"/>
        <v>#REF!</v>
      </c>
      <c r="V10" s="76" t="str">
        <f t="shared" si="13"/>
        <v>#REF!</v>
      </c>
      <c r="W10" s="76" t="str">
        <f t="shared" si="14"/>
        <v>#REF!</v>
      </c>
      <c r="X10" s="76" t="str">
        <f t="shared" si="15"/>
        <v>#REF!</v>
      </c>
      <c r="Y10" s="76" t="str">
        <f t="shared" si="16"/>
        <v>#REF!</v>
      </c>
      <c r="Z10" s="76" t="str">
        <f t="shared" si="17"/>
        <v>#REF!</v>
      </c>
      <c r="AA10" s="76" t="str">
        <f t="shared" si="18"/>
        <v>#REF!</v>
      </c>
      <c r="AB10" s="76" t="str">
        <f t="shared" si="19"/>
        <v>#REF!</v>
      </c>
      <c r="AC10" s="76" t="str">
        <f t="shared" si="20"/>
        <v>#REF!</v>
      </c>
      <c r="AD10" s="76" t="str">
        <f t="shared" si="21"/>
        <v>#REF!</v>
      </c>
      <c r="AE10" s="76" t="str">
        <f t="shared" si="22"/>
        <v>#REF!</v>
      </c>
      <c r="AF10" s="76" t="str">
        <f t="shared" si="23"/>
        <v>#REF!</v>
      </c>
      <c r="AG10" s="76" t="str">
        <f t="shared" si="24"/>
        <v>#REF!</v>
      </c>
      <c r="AH10" s="76" t="str">
        <f t="shared" si="25"/>
        <v>#REF!</v>
      </c>
      <c r="AI10" s="76" t="str">
        <f t="shared" si="26"/>
        <v>#REF!</v>
      </c>
      <c r="AJ10" s="76" t="str">
        <f t="shared" si="27"/>
        <v>#REF!</v>
      </c>
      <c r="AK10" s="76" t="str">
        <f t="shared" si="28"/>
        <v>#REF!</v>
      </c>
      <c r="AL10" s="76" t="str">
        <f t="shared" si="29"/>
        <v>#REF!</v>
      </c>
      <c r="AM10" s="76" t="str">
        <f t="shared" si="30"/>
        <v>#REF!</v>
      </c>
      <c r="AN10" s="76" t="str">
        <f t="shared" si="31"/>
        <v>#REF!</v>
      </c>
      <c r="AO10" s="76" t="str">
        <f t="shared" si="32"/>
        <v>#REF!</v>
      </c>
      <c r="AP10" s="76" t="str">
        <f t="shared" si="33"/>
        <v>#REF!</v>
      </c>
    </row>
    <row r="11">
      <c r="A11" s="76" t="str">
        <f t="shared" si="2"/>
        <v>#REF!</v>
      </c>
      <c r="B11" s="76" t="str">
        <f t="shared" si="3"/>
        <v>#REF!</v>
      </c>
      <c r="C11" s="76" t="str">
        <f t="shared" si="4"/>
        <v>#REF!</v>
      </c>
      <c r="D11" s="76" t="str">
        <f t="shared" ref="D11:N11" si="41">#REF!</f>
        <v>#REF!</v>
      </c>
      <c r="E11" s="76" t="str">
        <f t="shared" si="41"/>
        <v>#REF!</v>
      </c>
      <c r="F11" s="76" t="str">
        <f t="shared" si="41"/>
        <v>#REF!</v>
      </c>
      <c r="G11" s="76" t="str">
        <f t="shared" si="41"/>
        <v>#REF!</v>
      </c>
      <c r="H11" s="76" t="str">
        <f t="shared" si="41"/>
        <v>#REF!</v>
      </c>
      <c r="I11" s="78" t="str">
        <f t="shared" si="41"/>
        <v>#REF!</v>
      </c>
      <c r="J11" s="78" t="str">
        <f t="shared" si="41"/>
        <v>#REF!</v>
      </c>
      <c r="K11" s="78" t="str">
        <f t="shared" si="41"/>
        <v>#REF!</v>
      </c>
      <c r="L11" s="78" t="str">
        <f t="shared" si="41"/>
        <v>#REF!</v>
      </c>
      <c r="M11" s="78" t="str">
        <f t="shared" si="41"/>
        <v>#REF!</v>
      </c>
      <c r="N11" s="78" t="str">
        <f t="shared" si="41"/>
        <v>#REF!</v>
      </c>
      <c r="O11" s="76">
        <f t="shared" si="6"/>
        <v>0</v>
      </c>
      <c r="P11" s="76">
        <f t="shared" si="7"/>
        <v>0</v>
      </c>
      <c r="Q11" s="76">
        <f t="shared" si="8"/>
        <v>0</v>
      </c>
      <c r="R11" s="76">
        <f t="shared" si="9"/>
        <v>0</v>
      </c>
      <c r="S11" s="76" t="str">
        <f t="shared" si="10"/>
        <v>#REF!</v>
      </c>
      <c r="T11" s="76" t="str">
        <f t="shared" si="11"/>
        <v>#REF!</v>
      </c>
      <c r="U11" s="76" t="str">
        <f t="shared" si="12"/>
        <v>#REF!</v>
      </c>
      <c r="V11" s="76" t="str">
        <f t="shared" si="13"/>
        <v>#REF!</v>
      </c>
      <c r="W11" s="76" t="str">
        <f t="shared" si="14"/>
        <v>#REF!</v>
      </c>
      <c r="X11" s="76" t="str">
        <f t="shared" si="15"/>
        <v>#REF!</v>
      </c>
      <c r="Y11" s="76" t="str">
        <f t="shared" si="16"/>
        <v>#REF!</v>
      </c>
      <c r="Z11" s="76" t="str">
        <f t="shared" si="17"/>
        <v>#REF!</v>
      </c>
      <c r="AA11" s="76" t="str">
        <f t="shared" si="18"/>
        <v>#REF!</v>
      </c>
      <c r="AB11" s="76" t="str">
        <f t="shared" si="19"/>
        <v>#REF!</v>
      </c>
      <c r="AC11" s="76" t="str">
        <f t="shared" si="20"/>
        <v>#REF!</v>
      </c>
      <c r="AD11" s="76" t="str">
        <f t="shared" si="21"/>
        <v>#REF!</v>
      </c>
      <c r="AE11" s="76" t="str">
        <f t="shared" si="22"/>
        <v>#REF!</v>
      </c>
      <c r="AF11" s="76" t="str">
        <f t="shared" si="23"/>
        <v>#REF!</v>
      </c>
      <c r="AG11" s="76" t="str">
        <f t="shared" si="24"/>
        <v>#REF!</v>
      </c>
      <c r="AH11" s="76" t="str">
        <f t="shared" si="25"/>
        <v>#REF!</v>
      </c>
      <c r="AI11" s="76" t="str">
        <f t="shared" si="26"/>
        <v>#REF!</v>
      </c>
      <c r="AJ11" s="76" t="str">
        <f t="shared" si="27"/>
        <v>#REF!</v>
      </c>
      <c r="AK11" s="76" t="str">
        <f t="shared" si="28"/>
        <v>#REF!</v>
      </c>
      <c r="AL11" s="76" t="str">
        <f t="shared" si="29"/>
        <v>#REF!</v>
      </c>
      <c r="AM11" s="76" t="str">
        <f t="shared" si="30"/>
        <v>#REF!</v>
      </c>
      <c r="AN11" s="76" t="str">
        <f t="shared" si="31"/>
        <v>#REF!</v>
      </c>
      <c r="AO11" s="76" t="str">
        <f t="shared" si="32"/>
        <v>#REF!</v>
      </c>
      <c r="AP11" s="76" t="str">
        <f t="shared" si="33"/>
        <v>#REF!</v>
      </c>
    </row>
    <row r="12">
      <c r="A12" s="76" t="str">
        <f t="shared" si="2"/>
        <v>#REF!</v>
      </c>
      <c r="B12" s="76" t="str">
        <f t="shared" si="3"/>
        <v>#REF!</v>
      </c>
      <c r="C12" s="76" t="str">
        <f t="shared" si="4"/>
        <v>#REF!</v>
      </c>
      <c r="D12" s="76" t="str">
        <f t="shared" ref="D12:N12" si="42">#REF!</f>
        <v>#REF!</v>
      </c>
      <c r="E12" s="76" t="str">
        <f t="shared" si="42"/>
        <v>#REF!</v>
      </c>
      <c r="F12" s="76" t="str">
        <f t="shared" si="42"/>
        <v>#REF!</v>
      </c>
      <c r="G12" s="76" t="str">
        <f t="shared" si="42"/>
        <v>#REF!</v>
      </c>
      <c r="H12" s="76" t="str">
        <f t="shared" si="42"/>
        <v>#REF!</v>
      </c>
      <c r="I12" s="78" t="str">
        <f t="shared" si="42"/>
        <v>#REF!</v>
      </c>
      <c r="J12" s="78" t="str">
        <f t="shared" si="42"/>
        <v>#REF!</v>
      </c>
      <c r="K12" s="78" t="str">
        <f t="shared" si="42"/>
        <v>#REF!</v>
      </c>
      <c r="L12" s="78" t="str">
        <f t="shared" si="42"/>
        <v>#REF!</v>
      </c>
      <c r="M12" s="78" t="str">
        <f t="shared" si="42"/>
        <v>#REF!</v>
      </c>
      <c r="N12" s="78" t="str">
        <f t="shared" si="42"/>
        <v>#REF!</v>
      </c>
      <c r="O12" s="76">
        <f t="shared" si="6"/>
        <v>0</v>
      </c>
      <c r="P12" s="76">
        <f t="shared" si="7"/>
        <v>0</v>
      </c>
      <c r="Q12" s="76">
        <f t="shared" si="8"/>
        <v>0</v>
      </c>
      <c r="R12" s="76">
        <f t="shared" si="9"/>
        <v>0</v>
      </c>
      <c r="S12" s="76" t="str">
        <f t="shared" si="10"/>
        <v>#REF!</v>
      </c>
      <c r="T12" s="76" t="str">
        <f t="shared" si="11"/>
        <v>#REF!</v>
      </c>
      <c r="U12" s="76" t="str">
        <f t="shared" si="12"/>
        <v>#REF!</v>
      </c>
      <c r="V12" s="76" t="str">
        <f t="shared" si="13"/>
        <v>#REF!</v>
      </c>
      <c r="W12" s="76" t="str">
        <f t="shared" si="14"/>
        <v>#REF!</v>
      </c>
      <c r="X12" s="76" t="str">
        <f t="shared" si="15"/>
        <v>#REF!</v>
      </c>
      <c r="Y12" s="76" t="str">
        <f t="shared" si="16"/>
        <v>#REF!</v>
      </c>
      <c r="Z12" s="76" t="str">
        <f t="shared" si="17"/>
        <v>#REF!</v>
      </c>
      <c r="AA12" s="76" t="str">
        <f t="shared" si="18"/>
        <v>#REF!</v>
      </c>
      <c r="AB12" s="76" t="str">
        <f t="shared" si="19"/>
        <v>#REF!</v>
      </c>
      <c r="AC12" s="76" t="str">
        <f t="shared" si="20"/>
        <v>#REF!</v>
      </c>
      <c r="AD12" s="76" t="str">
        <f t="shared" si="21"/>
        <v>#REF!</v>
      </c>
      <c r="AE12" s="76" t="str">
        <f t="shared" si="22"/>
        <v>#REF!</v>
      </c>
      <c r="AF12" s="76" t="str">
        <f t="shared" si="23"/>
        <v>#REF!</v>
      </c>
      <c r="AG12" s="76" t="str">
        <f t="shared" si="24"/>
        <v>#REF!</v>
      </c>
      <c r="AH12" s="76" t="str">
        <f t="shared" si="25"/>
        <v>#REF!</v>
      </c>
      <c r="AI12" s="76" t="str">
        <f t="shared" si="26"/>
        <v>#REF!</v>
      </c>
      <c r="AJ12" s="76" t="str">
        <f t="shared" si="27"/>
        <v>#REF!</v>
      </c>
      <c r="AK12" s="76" t="str">
        <f t="shared" si="28"/>
        <v>#REF!</v>
      </c>
      <c r="AL12" s="76" t="str">
        <f t="shared" si="29"/>
        <v>#REF!</v>
      </c>
      <c r="AM12" s="76" t="str">
        <f t="shared" si="30"/>
        <v>#REF!</v>
      </c>
      <c r="AN12" s="76" t="str">
        <f t="shared" si="31"/>
        <v>#REF!</v>
      </c>
      <c r="AO12" s="76" t="str">
        <f t="shared" si="32"/>
        <v>#REF!</v>
      </c>
      <c r="AP12" s="76" t="str">
        <f t="shared" si="33"/>
        <v>#REF!</v>
      </c>
    </row>
    <row r="13">
      <c r="A13" s="76" t="str">
        <f t="shared" si="2"/>
        <v>#REF!</v>
      </c>
      <c r="B13" s="76" t="str">
        <f t="shared" si="3"/>
        <v>#REF!</v>
      </c>
      <c r="C13" s="76" t="str">
        <f t="shared" si="4"/>
        <v>#REF!</v>
      </c>
      <c r="D13" s="76" t="str">
        <f t="shared" ref="D13:N13" si="43">#REF!</f>
        <v>#REF!</v>
      </c>
      <c r="E13" s="76" t="str">
        <f t="shared" si="43"/>
        <v>#REF!</v>
      </c>
      <c r="F13" s="76" t="str">
        <f t="shared" si="43"/>
        <v>#REF!</v>
      </c>
      <c r="G13" s="76" t="str">
        <f t="shared" si="43"/>
        <v>#REF!</v>
      </c>
      <c r="H13" s="76" t="str">
        <f t="shared" si="43"/>
        <v>#REF!</v>
      </c>
      <c r="I13" s="78" t="str">
        <f t="shared" si="43"/>
        <v>#REF!</v>
      </c>
      <c r="J13" s="78" t="str">
        <f t="shared" si="43"/>
        <v>#REF!</v>
      </c>
      <c r="K13" s="78" t="str">
        <f t="shared" si="43"/>
        <v>#REF!</v>
      </c>
      <c r="L13" s="78" t="str">
        <f t="shared" si="43"/>
        <v>#REF!</v>
      </c>
      <c r="M13" s="78" t="str">
        <f t="shared" si="43"/>
        <v>#REF!</v>
      </c>
      <c r="N13" s="78" t="str">
        <f t="shared" si="43"/>
        <v>#REF!</v>
      </c>
      <c r="O13" s="76">
        <f t="shared" si="6"/>
        <v>0</v>
      </c>
      <c r="P13" s="76">
        <f t="shared" si="7"/>
        <v>0</v>
      </c>
      <c r="Q13" s="76">
        <f t="shared" si="8"/>
        <v>0</v>
      </c>
      <c r="R13" s="76">
        <f t="shared" si="9"/>
        <v>0</v>
      </c>
      <c r="S13" s="76" t="str">
        <f t="shared" si="10"/>
        <v>#REF!</v>
      </c>
      <c r="T13" s="76" t="str">
        <f t="shared" si="11"/>
        <v>#REF!</v>
      </c>
      <c r="U13" s="76" t="str">
        <f t="shared" si="12"/>
        <v>#REF!</v>
      </c>
      <c r="V13" s="76" t="str">
        <f t="shared" si="13"/>
        <v>#REF!</v>
      </c>
      <c r="W13" s="76" t="str">
        <f t="shared" si="14"/>
        <v>#REF!</v>
      </c>
      <c r="X13" s="76" t="str">
        <f t="shared" si="15"/>
        <v>#REF!</v>
      </c>
      <c r="Y13" s="76" t="str">
        <f t="shared" si="16"/>
        <v>#REF!</v>
      </c>
      <c r="Z13" s="76" t="str">
        <f t="shared" si="17"/>
        <v>#REF!</v>
      </c>
      <c r="AA13" s="76" t="str">
        <f t="shared" si="18"/>
        <v>#REF!</v>
      </c>
      <c r="AB13" s="76" t="str">
        <f t="shared" si="19"/>
        <v>#REF!</v>
      </c>
      <c r="AC13" s="76" t="str">
        <f t="shared" si="20"/>
        <v>#REF!</v>
      </c>
      <c r="AD13" s="76" t="str">
        <f t="shared" si="21"/>
        <v>#REF!</v>
      </c>
      <c r="AE13" s="76" t="str">
        <f t="shared" si="22"/>
        <v>#REF!</v>
      </c>
      <c r="AF13" s="76" t="str">
        <f t="shared" si="23"/>
        <v>#REF!</v>
      </c>
      <c r="AG13" s="76" t="str">
        <f t="shared" si="24"/>
        <v>#REF!</v>
      </c>
      <c r="AH13" s="76" t="str">
        <f t="shared" si="25"/>
        <v>#REF!</v>
      </c>
      <c r="AI13" s="76" t="str">
        <f t="shared" si="26"/>
        <v>#REF!</v>
      </c>
      <c r="AJ13" s="76" t="str">
        <f t="shared" si="27"/>
        <v>#REF!</v>
      </c>
      <c r="AK13" s="76" t="str">
        <f t="shared" si="28"/>
        <v>#REF!</v>
      </c>
      <c r="AL13" s="76" t="str">
        <f t="shared" si="29"/>
        <v>#REF!</v>
      </c>
      <c r="AM13" s="76" t="str">
        <f t="shared" si="30"/>
        <v>#REF!</v>
      </c>
      <c r="AN13" s="76" t="str">
        <f t="shared" si="31"/>
        <v>#REF!</v>
      </c>
      <c r="AO13" s="76" t="str">
        <f t="shared" si="32"/>
        <v>#REF!</v>
      </c>
      <c r="AP13" s="76" t="str">
        <f t="shared" si="33"/>
        <v>#REF!</v>
      </c>
    </row>
    <row r="14">
      <c r="A14" s="76" t="str">
        <f t="shared" si="2"/>
        <v>#REF!</v>
      </c>
      <c r="B14" s="76" t="str">
        <f t="shared" si="3"/>
        <v>#REF!</v>
      </c>
      <c r="C14" s="76" t="str">
        <f t="shared" si="4"/>
        <v>#REF!</v>
      </c>
      <c r="D14" s="76" t="str">
        <f t="shared" ref="D14:N14" si="44">#REF!</f>
        <v>#REF!</v>
      </c>
      <c r="E14" s="76" t="str">
        <f t="shared" si="44"/>
        <v>#REF!</v>
      </c>
      <c r="F14" s="76" t="str">
        <f t="shared" si="44"/>
        <v>#REF!</v>
      </c>
      <c r="G14" s="76" t="str">
        <f t="shared" si="44"/>
        <v>#REF!</v>
      </c>
      <c r="H14" s="76" t="str">
        <f t="shared" si="44"/>
        <v>#REF!</v>
      </c>
      <c r="I14" s="78" t="str">
        <f t="shared" si="44"/>
        <v>#REF!</v>
      </c>
      <c r="J14" s="78" t="str">
        <f t="shared" si="44"/>
        <v>#REF!</v>
      </c>
      <c r="K14" s="78" t="str">
        <f t="shared" si="44"/>
        <v>#REF!</v>
      </c>
      <c r="L14" s="78" t="str">
        <f t="shared" si="44"/>
        <v>#REF!</v>
      </c>
      <c r="M14" s="78" t="str">
        <f t="shared" si="44"/>
        <v>#REF!</v>
      </c>
      <c r="N14" s="78" t="str">
        <f t="shared" si="44"/>
        <v>#REF!</v>
      </c>
      <c r="O14" s="76">
        <f t="shared" si="6"/>
        <v>0</v>
      </c>
      <c r="P14" s="76">
        <f t="shared" si="7"/>
        <v>0</v>
      </c>
      <c r="Q14" s="76">
        <f t="shared" si="8"/>
        <v>0</v>
      </c>
      <c r="R14" s="76">
        <f t="shared" si="9"/>
        <v>0</v>
      </c>
      <c r="S14" s="76" t="str">
        <f t="shared" si="10"/>
        <v>#REF!</v>
      </c>
      <c r="T14" s="76" t="str">
        <f t="shared" si="11"/>
        <v>#REF!</v>
      </c>
      <c r="U14" s="76" t="str">
        <f t="shared" si="12"/>
        <v>#REF!</v>
      </c>
      <c r="V14" s="76" t="str">
        <f t="shared" si="13"/>
        <v>#REF!</v>
      </c>
      <c r="W14" s="76" t="str">
        <f t="shared" si="14"/>
        <v>#REF!</v>
      </c>
      <c r="X14" s="76" t="str">
        <f t="shared" si="15"/>
        <v>#REF!</v>
      </c>
      <c r="Y14" s="76" t="str">
        <f t="shared" si="16"/>
        <v>#REF!</v>
      </c>
      <c r="Z14" s="76" t="str">
        <f t="shared" si="17"/>
        <v>#REF!</v>
      </c>
      <c r="AA14" s="76" t="str">
        <f t="shared" si="18"/>
        <v>#REF!</v>
      </c>
      <c r="AB14" s="76" t="str">
        <f t="shared" si="19"/>
        <v>#REF!</v>
      </c>
      <c r="AC14" s="76" t="str">
        <f t="shared" si="20"/>
        <v>#REF!</v>
      </c>
      <c r="AD14" s="76" t="str">
        <f t="shared" si="21"/>
        <v>#REF!</v>
      </c>
      <c r="AE14" s="76" t="str">
        <f t="shared" si="22"/>
        <v>#REF!</v>
      </c>
      <c r="AF14" s="76" t="str">
        <f t="shared" si="23"/>
        <v>#REF!</v>
      </c>
      <c r="AG14" s="76" t="str">
        <f t="shared" si="24"/>
        <v>#REF!</v>
      </c>
      <c r="AH14" s="76" t="str">
        <f t="shared" si="25"/>
        <v>#REF!</v>
      </c>
      <c r="AI14" s="76" t="str">
        <f t="shared" si="26"/>
        <v>#REF!</v>
      </c>
      <c r="AJ14" s="76" t="str">
        <f t="shared" si="27"/>
        <v>#REF!</v>
      </c>
      <c r="AK14" s="76" t="str">
        <f t="shared" si="28"/>
        <v>#REF!</v>
      </c>
      <c r="AL14" s="76" t="str">
        <f t="shared" si="29"/>
        <v>#REF!</v>
      </c>
      <c r="AM14" s="76" t="str">
        <f t="shared" si="30"/>
        <v>#REF!</v>
      </c>
      <c r="AN14" s="76" t="str">
        <f t="shared" si="31"/>
        <v>#REF!</v>
      </c>
      <c r="AO14" s="76" t="str">
        <f t="shared" si="32"/>
        <v>#REF!</v>
      </c>
      <c r="AP14" s="76" t="str">
        <f t="shared" si="33"/>
        <v>#REF!</v>
      </c>
    </row>
    <row r="15">
      <c r="A15" s="76" t="str">
        <f t="shared" si="2"/>
        <v>#REF!</v>
      </c>
      <c r="B15" s="76" t="str">
        <f t="shared" si="3"/>
        <v>#REF!</v>
      </c>
      <c r="C15" s="76" t="str">
        <f t="shared" si="4"/>
        <v>#REF!</v>
      </c>
      <c r="D15" s="76" t="str">
        <f t="shared" ref="D15:N15" si="45">#REF!</f>
        <v>#REF!</v>
      </c>
      <c r="E15" s="76" t="str">
        <f t="shared" si="45"/>
        <v>#REF!</v>
      </c>
      <c r="F15" s="76" t="str">
        <f t="shared" si="45"/>
        <v>#REF!</v>
      </c>
      <c r="G15" s="76" t="str">
        <f t="shared" si="45"/>
        <v>#REF!</v>
      </c>
      <c r="H15" s="76" t="str">
        <f t="shared" si="45"/>
        <v>#REF!</v>
      </c>
      <c r="I15" s="78" t="str">
        <f t="shared" si="45"/>
        <v>#REF!</v>
      </c>
      <c r="J15" s="78" t="str">
        <f t="shared" si="45"/>
        <v>#REF!</v>
      </c>
      <c r="K15" s="78" t="str">
        <f t="shared" si="45"/>
        <v>#REF!</v>
      </c>
      <c r="L15" s="78" t="str">
        <f t="shared" si="45"/>
        <v>#REF!</v>
      </c>
      <c r="M15" s="78" t="str">
        <f t="shared" si="45"/>
        <v>#REF!</v>
      </c>
      <c r="N15" s="78" t="str">
        <f t="shared" si="45"/>
        <v>#REF!</v>
      </c>
      <c r="O15" s="76">
        <f t="shared" si="6"/>
        <v>0</v>
      </c>
      <c r="P15" s="76">
        <f t="shared" si="7"/>
        <v>0</v>
      </c>
      <c r="Q15" s="76">
        <f t="shared" si="8"/>
        <v>0</v>
      </c>
      <c r="R15" s="76">
        <f t="shared" si="9"/>
        <v>0</v>
      </c>
      <c r="S15" s="76" t="str">
        <f t="shared" si="10"/>
        <v>#REF!</v>
      </c>
      <c r="T15" s="76" t="str">
        <f t="shared" si="11"/>
        <v>#REF!</v>
      </c>
      <c r="U15" s="76" t="str">
        <f t="shared" si="12"/>
        <v>#REF!</v>
      </c>
      <c r="V15" s="76" t="str">
        <f t="shared" si="13"/>
        <v>#REF!</v>
      </c>
      <c r="W15" s="76" t="str">
        <f t="shared" si="14"/>
        <v>#REF!</v>
      </c>
      <c r="X15" s="76" t="str">
        <f t="shared" si="15"/>
        <v>#REF!</v>
      </c>
      <c r="Y15" s="76" t="str">
        <f t="shared" si="16"/>
        <v>#REF!</v>
      </c>
      <c r="Z15" s="76" t="str">
        <f t="shared" si="17"/>
        <v>#REF!</v>
      </c>
      <c r="AA15" s="76" t="str">
        <f t="shared" si="18"/>
        <v>#REF!</v>
      </c>
      <c r="AB15" s="76" t="str">
        <f t="shared" si="19"/>
        <v>#REF!</v>
      </c>
      <c r="AC15" s="76" t="str">
        <f t="shared" si="20"/>
        <v>#REF!</v>
      </c>
      <c r="AD15" s="76" t="str">
        <f t="shared" si="21"/>
        <v>#REF!</v>
      </c>
      <c r="AE15" s="76" t="str">
        <f t="shared" si="22"/>
        <v>#REF!</v>
      </c>
      <c r="AF15" s="76" t="str">
        <f t="shared" si="23"/>
        <v>#REF!</v>
      </c>
      <c r="AG15" s="76" t="str">
        <f t="shared" si="24"/>
        <v>#REF!</v>
      </c>
      <c r="AH15" s="76" t="str">
        <f t="shared" si="25"/>
        <v>#REF!</v>
      </c>
      <c r="AI15" s="76" t="str">
        <f t="shared" si="26"/>
        <v>#REF!</v>
      </c>
      <c r="AJ15" s="76" t="str">
        <f t="shared" si="27"/>
        <v>#REF!</v>
      </c>
      <c r="AK15" s="76" t="str">
        <f t="shared" si="28"/>
        <v>#REF!</v>
      </c>
      <c r="AL15" s="76" t="str">
        <f t="shared" si="29"/>
        <v>#REF!</v>
      </c>
      <c r="AM15" s="76" t="str">
        <f t="shared" si="30"/>
        <v>#REF!</v>
      </c>
      <c r="AN15" s="76" t="str">
        <f t="shared" si="31"/>
        <v>#REF!</v>
      </c>
      <c r="AO15" s="76" t="str">
        <f t="shared" si="32"/>
        <v>#REF!</v>
      </c>
      <c r="AP15" s="76" t="str">
        <f t="shared" si="33"/>
        <v>#REF!</v>
      </c>
    </row>
    <row r="16">
      <c r="A16" s="76" t="str">
        <f t="shared" si="2"/>
        <v>#REF!</v>
      </c>
      <c r="B16" s="76" t="str">
        <f t="shared" si="3"/>
        <v>#REF!</v>
      </c>
      <c r="C16" s="76" t="str">
        <f t="shared" si="4"/>
        <v>#REF!</v>
      </c>
      <c r="D16" s="76" t="str">
        <f t="shared" ref="D16:N16" si="46">#REF!</f>
        <v>#REF!</v>
      </c>
      <c r="E16" s="76" t="str">
        <f t="shared" si="46"/>
        <v>#REF!</v>
      </c>
      <c r="F16" s="76" t="str">
        <f t="shared" si="46"/>
        <v>#REF!</v>
      </c>
      <c r="G16" s="76" t="str">
        <f t="shared" si="46"/>
        <v>#REF!</v>
      </c>
      <c r="H16" s="76" t="str">
        <f t="shared" si="46"/>
        <v>#REF!</v>
      </c>
      <c r="I16" s="78" t="str">
        <f t="shared" si="46"/>
        <v>#REF!</v>
      </c>
      <c r="J16" s="78" t="str">
        <f t="shared" si="46"/>
        <v>#REF!</v>
      </c>
      <c r="K16" s="78" t="str">
        <f t="shared" si="46"/>
        <v>#REF!</v>
      </c>
      <c r="L16" s="78" t="str">
        <f t="shared" si="46"/>
        <v>#REF!</v>
      </c>
      <c r="M16" s="78" t="str">
        <f t="shared" si="46"/>
        <v>#REF!</v>
      </c>
      <c r="N16" s="78" t="str">
        <f t="shared" si="46"/>
        <v>#REF!</v>
      </c>
      <c r="O16" s="76">
        <f t="shared" si="6"/>
        <v>0</v>
      </c>
      <c r="P16" s="76">
        <f t="shared" si="7"/>
        <v>0</v>
      </c>
      <c r="Q16" s="76">
        <f t="shared" si="8"/>
        <v>0</v>
      </c>
      <c r="R16" s="76">
        <f t="shared" si="9"/>
        <v>0</v>
      </c>
      <c r="S16" s="76" t="str">
        <f t="shared" si="10"/>
        <v>#REF!</v>
      </c>
      <c r="T16" s="76" t="str">
        <f t="shared" si="11"/>
        <v>#REF!</v>
      </c>
      <c r="U16" s="76" t="str">
        <f t="shared" si="12"/>
        <v>#REF!</v>
      </c>
      <c r="V16" s="76" t="str">
        <f t="shared" si="13"/>
        <v>#REF!</v>
      </c>
      <c r="W16" s="76" t="str">
        <f t="shared" si="14"/>
        <v>#REF!</v>
      </c>
      <c r="X16" s="76" t="str">
        <f t="shared" si="15"/>
        <v>#REF!</v>
      </c>
      <c r="Y16" s="76" t="str">
        <f t="shared" si="16"/>
        <v>#REF!</v>
      </c>
      <c r="Z16" s="76" t="str">
        <f t="shared" si="17"/>
        <v>#REF!</v>
      </c>
      <c r="AA16" s="76" t="str">
        <f t="shared" si="18"/>
        <v>#REF!</v>
      </c>
      <c r="AB16" s="76" t="str">
        <f t="shared" si="19"/>
        <v>#REF!</v>
      </c>
      <c r="AC16" s="76" t="str">
        <f t="shared" si="20"/>
        <v>#REF!</v>
      </c>
      <c r="AD16" s="76" t="str">
        <f t="shared" si="21"/>
        <v>#REF!</v>
      </c>
      <c r="AE16" s="76" t="str">
        <f t="shared" si="22"/>
        <v>#REF!</v>
      </c>
      <c r="AF16" s="76" t="str">
        <f t="shared" si="23"/>
        <v>#REF!</v>
      </c>
      <c r="AG16" s="76" t="str">
        <f t="shared" si="24"/>
        <v>#REF!</v>
      </c>
      <c r="AH16" s="76" t="str">
        <f t="shared" si="25"/>
        <v>#REF!</v>
      </c>
      <c r="AI16" s="76" t="str">
        <f t="shared" si="26"/>
        <v>#REF!</v>
      </c>
      <c r="AJ16" s="76" t="str">
        <f t="shared" si="27"/>
        <v>#REF!</v>
      </c>
      <c r="AK16" s="76" t="str">
        <f t="shared" si="28"/>
        <v>#REF!</v>
      </c>
      <c r="AL16" s="76" t="str">
        <f t="shared" si="29"/>
        <v>#REF!</v>
      </c>
      <c r="AM16" s="76" t="str">
        <f t="shared" si="30"/>
        <v>#REF!</v>
      </c>
      <c r="AN16" s="76" t="str">
        <f t="shared" si="31"/>
        <v>#REF!</v>
      </c>
      <c r="AO16" s="76" t="str">
        <f t="shared" si="32"/>
        <v>#REF!</v>
      </c>
      <c r="AP16" s="76" t="str">
        <f t="shared" si="33"/>
        <v>#REF!</v>
      </c>
    </row>
    <row r="17">
      <c r="A17" s="76" t="str">
        <f t="shared" si="2"/>
        <v>#REF!</v>
      </c>
      <c r="B17" s="76" t="str">
        <f t="shared" si="3"/>
        <v>#REF!</v>
      </c>
      <c r="C17" s="76" t="str">
        <f t="shared" si="4"/>
        <v>#REF!</v>
      </c>
      <c r="D17" s="76" t="str">
        <f t="shared" ref="D17:N17" si="47">#REF!</f>
        <v>#REF!</v>
      </c>
      <c r="E17" s="76" t="str">
        <f t="shared" si="47"/>
        <v>#REF!</v>
      </c>
      <c r="F17" s="76" t="str">
        <f t="shared" si="47"/>
        <v>#REF!</v>
      </c>
      <c r="G17" s="76" t="str">
        <f t="shared" si="47"/>
        <v>#REF!</v>
      </c>
      <c r="H17" s="76" t="str">
        <f t="shared" si="47"/>
        <v>#REF!</v>
      </c>
      <c r="I17" s="78" t="str">
        <f t="shared" si="47"/>
        <v>#REF!</v>
      </c>
      <c r="J17" s="78" t="str">
        <f t="shared" si="47"/>
        <v>#REF!</v>
      </c>
      <c r="K17" s="78" t="str">
        <f t="shared" si="47"/>
        <v>#REF!</v>
      </c>
      <c r="L17" s="78" t="str">
        <f t="shared" si="47"/>
        <v>#REF!</v>
      </c>
      <c r="M17" s="78" t="str">
        <f t="shared" si="47"/>
        <v>#REF!</v>
      </c>
      <c r="N17" s="78" t="str">
        <f t="shared" si="47"/>
        <v>#REF!</v>
      </c>
      <c r="O17" s="76">
        <f t="shared" si="6"/>
        <v>0</v>
      </c>
      <c r="P17" s="76">
        <f t="shared" si="7"/>
        <v>0</v>
      </c>
      <c r="Q17" s="76">
        <f t="shared" si="8"/>
        <v>0</v>
      </c>
      <c r="R17" s="76">
        <f t="shared" si="9"/>
        <v>0</v>
      </c>
      <c r="S17" s="76" t="str">
        <f t="shared" si="10"/>
        <v>#REF!</v>
      </c>
      <c r="T17" s="76" t="str">
        <f t="shared" si="11"/>
        <v>#REF!</v>
      </c>
      <c r="U17" s="76" t="str">
        <f t="shared" si="12"/>
        <v>#REF!</v>
      </c>
      <c r="V17" s="76" t="str">
        <f t="shared" si="13"/>
        <v>#REF!</v>
      </c>
      <c r="W17" s="76" t="str">
        <f t="shared" si="14"/>
        <v>#REF!</v>
      </c>
      <c r="X17" s="76" t="str">
        <f t="shared" si="15"/>
        <v>#REF!</v>
      </c>
      <c r="Y17" s="76" t="str">
        <f t="shared" si="16"/>
        <v>#REF!</v>
      </c>
      <c r="Z17" s="76" t="str">
        <f t="shared" si="17"/>
        <v>#REF!</v>
      </c>
      <c r="AA17" s="76" t="str">
        <f t="shared" si="18"/>
        <v>#REF!</v>
      </c>
      <c r="AB17" s="76" t="str">
        <f t="shared" si="19"/>
        <v>#REF!</v>
      </c>
      <c r="AC17" s="76" t="str">
        <f t="shared" si="20"/>
        <v>#REF!</v>
      </c>
      <c r="AD17" s="76" t="str">
        <f t="shared" si="21"/>
        <v>#REF!</v>
      </c>
      <c r="AE17" s="76" t="str">
        <f t="shared" si="22"/>
        <v>#REF!</v>
      </c>
      <c r="AF17" s="76" t="str">
        <f t="shared" si="23"/>
        <v>#REF!</v>
      </c>
      <c r="AG17" s="76" t="str">
        <f t="shared" si="24"/>
        <v>#REF!</v>
      </c>
      <c r="AH17" s="76" t="str">
        <f t="shared" si="25"/>
        <v>#REF!</v>
      </c>
      <c r="AI17" s="76" t="str">
        <f t="shared" si="26"/>
        <v>#REF!</v>
      </c>
      <c r="AJ17" s="76" t="str">
        <f t="shared" si="27"/>
        <v>#REF!</v>
      </c>
      <c r="AK17" s="76" t="str">
        <f t="shared" si="28"/>
        <v>#REF!</v>
      </c>
      <c r="AL17" s="76" t="str">
        <f t="shared" si="29"/>
        <v>#REF!</v>
      </c>
      <c r="AM17" s="76" t="str">
        <f t="shared" si="30"/>
        <v>#REF!</v>
      </c>
      <c r="AN17" s="76" t="str">
        <f t="shared" si="31"/>
        <v>#REF!</v>
      </c>
      <c r="AO17" s="76" t="str">
        <f t="shared" si="32"/>
        <v>#REF!</v>
      </c>
      <c r="AP17" s="76" t="str">
        <f t="shared" si="33"/>
        <v>#REF!</v>
      </c>
    </row>
    <row r="18">
      <c r="A18" s="76" t="str">
        <f t="shared" si="2"/>
        <v>#REF!</v>
      </c>
      <c r="B18" s="76" t="str">
        <f t="shared" si="3"/>
        <v>#REF!</v>
      </c>
      <c r="C18" s="76" t="str">
        <f t="shared" si="4"/>
        <v>#REF!</v>
      </c>
      <c r="D18" s="76" t="str">
        <f t="shared" ref="D18:N18" si="48">#REF!</f>
        <v>#REF!</v>
      </c>
      <c r="E18" s="76" t="str">
        <f t="shared" si="48"/>
        <v>#REF!</v>
      </c>
      <c r="F18" s="76" t="str">
        <f t="shared" si="48"/>
        <v>#REF!</v>
      </c>
      <c r="G18" s="76" t="str">
        <f t="shared" si="48"/>
        <v>#REF!</v>
      </c>
      <c r="H18" s="76" t="str">
        <f t="shared" si="48"/>
        <v>#REF!</v>
      </c>
      <c r="I18" s="78" t="str">
        <f t="shared" si="48"/>
        <v>#REF!</v>
      </c>
      <c r="J18" s="78" t="str">
        <f t="shared" si="48"/>
        <v>#REF!</v>
      </c>
      <c r="K18" s="78" t="str">
        <f t="shared" si="48"/>
        <v>#REF!</v>
      </c>
      <c r="L18" s="78" t="str">
        <f t="shared" si="48"/>
        <v>#REF!</v>
      </c>
      <c r="M18" s="78" t="str">
        <f t="shared" si="48"/>
        <v>#REF!</v>
      </c>
      <c r="N18" s="78" t="str">
        <f t="shared" si="48"/>
        <v>#REF!</v>
      </c>
      <c r="O18" s="76">
        <f t="shared" si="6"/>
        <v>0</v>
      </c>
      <c r="P18" s="76">
        <f t="shared" si="7"/>
        <v>0</v>
      </c>
      <c r="Q18" s="76">
        <f t="shared" si="8"/>
        <v>0</v>
      </c>
      <c r="R18" s="76">
        <f t="shared" si="9"/>
        <v>0</v>
      </c>
      <c r="S18" s="76" t="str">
        <f t="shared" si="10"/>
        <v>#REF!</v>
      </c>
      <c r="T18" s="76" t="str">
        <f t="shared" si="11"/>
        <v>#REF!</v>
      </c>
      <c r="U18" s="76" t="str">
        <f t="shared" si="12"/>
        <v>#REF!</v>
      </c>
      <c r="V18" s="76" t="str">
        <f t="shared" si="13"/>
        <v>#REF!</v>
      </c>
      <c r="W18" s="76" t="str">
        <f t="shared" si="14"/>
        <v>#REF!</v>
      </c>
      <c r="X18" s="76" t="str">
        <f t="shared" si="15"/>
        <v>#REF!</v>
      </c>
      <c r="Y18" s="76" t="str">
        <f t="shared" si="16"/>
        <v>#REF!</v>
      </c>
      <c r="Z18" s="76" t="str">
        <f t="shared" si="17"/>
        <v>#REF!</v>
      </c>
      <c r="AA18" s="76" t="str">
        <f t="shared" si="18"/>
        <v>#REF!</v>
      </c>
      <c r="AB18" s="76" t="str">
        <f t="shared" si="19"/>
        <v>#REF!</v>
      </c>
      <c r="AC18" s="76" t="str">
        <f t="shared" si="20"/>
        <v>#REF!</v>
      </c>
      <c r="AD18" s="76" t="str">
        <f t="shared" si="21"/>
        <v>#REF!</v>
      </c>
      <c r="AE18" s="76" t="str">
        <f t="shared" si="22"/>
        <v>#REF!</v>
      </c>
      <c r="AF18" s="76" t="str">
        <f t="shared" si="23"/>
        <v>#REF!</v>
      </c>
      <c r="AG18" s="76" t="str">
        <f t="shared" si="24"/>
        <v>#REF!</v>
      </c>
      <c r="AH18" s="76" t="str">
        <f t="shared" si="25"/>
        <v>#REF!</v>
      </c>
      <c r="AI18" s="76" t="str">
        <f t="shared" si="26"/>
        <v>#REF!</v>
      </c>
      <c r="AJ18" s="76" t="str">
        <f t="shared" si="27"/>
        <v>#REF!</v>
      </c>
      <c r="AK18" s="76" t="str">
        <f t="shared" si="28"/>
        <v>#REF!</v>
      </c>
      <c r="AL18" s="76" t="str">
        <f t="shared" si="29"/>
        <v>#REF!</v>
      </c>
      <c r="AM18" s="76" t="str">
        <f t="shared" si="30"/>
        <v>#REF!</v>
      </c>
      <c r="AN18" s="76" t="str">
        <f t="shared" si="31"/>
        <v>#REF!</v>
      </c>
      <c r="AO18" s="76" t="str">
        <f t="shared" si="32"/>
        <v>#REF!</v>
      </c>
      <c r="AP18" s="76" t="str">
        <f t="shared" si="33"/>
        <v>#REF!</v>
      </c>
    </row>
    <row r="19">
      <c r="A19" s="76" t="str">
        <f t="shared" si="2"/>
        <v>#REF!</v>
      </c>
      <c r="B19" s="76" t="str">
        <f t="shared" si="3"/>
        <v>#REF!</v>
      </c>
      <c r="C19" s="76" t="str">
        <f t="shared" si="4"/>
        <v>#REF!</v>
      </c>
      <c r="D19" s="76" t="str">
        <f t="shared" ref="D19:N19" si="49">#REF!</f>
        <v>#REF!</v>
      </c>
      <c r="E19" s="76" t="str">
        <f t="shared" si="49"/>
        <v>#REF!</v>
      </c>
      <c r="F19" s="76" t="str">
        <f t="shared" si="49"/>
        <v>#REF!</v>
      </c>
      <c r="G19" s="76" t="str">
        <f t="shared" si="49"/>
        <v>#REF!</v>
      </c>
      <c r="H19" s="76" t="str">
        <f t="shared" si="49"/>
        <v>#REF!</v>
      </c>
      <c r="I19" s="78" t="str">
        <f t="shared" si="49"/>
        <v>#REF!</v>
      </c>
      <c r="J19" s="78" t="str">
        <f t="shared" si="49"/>
        <v>#REF!</v>
      </c>
      <c r="K19" s="78" t="str">
        <f t="shared" si="49"/>
        <v>#REF!</v>
      </c>
      <c r="L19" s="78" t="str">
        <f t="shared" si="49"/>
        <v>#REF!</v>
      </c>
      <c r="M19" s="78" t="str">
        <f t="shared" si="49"/>
        <v>#REF!</v>
      </c>
      <c r="N19" s="78" t="str">
        <f t="shared" si="49"/>
        <v>#REF!</v>
      </c>
      <c r="O19" s="76">
        <f t="shared" si="6"/>
        <v>0</v>
      </c>
      <c r="P19" s="76">
        <f t="shared" si="7"/>
        <v>0</v>
      </c>
      <c r="Q19" s="76">
        <f t="shared" si="8"/>
        <v>0</v>
      </c>
      <c r="R19" s="76">
        <f t="shared" si="9"/>
        <v>0</v>
      </c>
      <c r="S19" s="76" t="str">
        <f t="shared" si="10"/>
        <v>#REF!</v>
      </c>
      <c r="T19" s="76" t="str">
        <f t="shared" si="11"/>
        <v>#REF!</v>
      </c>
      <c r="U19" s="76" t="str">
        <f t="shared" si="12"/>
        <v>#REF!</v>
      </c>
      <c r="V19" s="76" t="str">
        <f t="shared" si="13"/>
        <v>#REF!</v>
      </c>
      <c r="W19" s="76" t="str">
        <f t="shared" si="14"/>
        <v>#REF!</v>
      </c>
      <c r="X19" s="76" t="str">
        <f t="shared" si="15"/>
        <v>#REF!</v>
      </c>
      <c r="Y19" s="76" t="str">
        <f t="shared" si="16"/>
        <v>#REF!</v>
      </c>
      <c r="Z19" s="76" t="str">
        <f t="shared" si="17"/>
        <v>#REF!</v>
      </c>
      <c r="AA19" s="76" t="str">
        <f t="shared" si="18"/>
        <v>#REF!</v>
      </c>
      <c r="AB19" s="76" t="str">
        <f t="shared" si="19"/>
        <v>#REF!</v>
      </c>
      <c r="AC19" s="76" t="str">
        <f t="shared" si="20"/>
        <v>#REF!</v>
      </c>
      <c r="AD19" s="76" t="str">
        <f t="shared" si="21"/>
        <v>#REF!</v>
      </c>
      <c r="AE19" s="76" t="str">
        <f t="shared" si="22"/>
        <v>#REF!</v>
      </c>
      <c r="AF19" s="76" t="str">
        <f t="shared" si="23"/>
        <v>#REF!</v>
      </c>
      <c r="AG19" s="76" t="str">
        <f t="shared" si="24"/>
        <v>#REF!</v>
      </c>
      <c r="AH19" s="76" t="str">
        <f t="shared" si="25"/>
        <v>#REF!</v>
      </c>
      <c r="AI19" s="76" t="str">
        <f t="shared" si="26"/>
        <v>#REF!</v>
      </c>
      <c r="AJ19" s="76" t="str">
        <f t="shared" si="27"/>
        <v>#REF!</v>
      </c>
      <c r="AK19" s="76" t="str">
        <f t="shared" si="28"/>
        <v>#REF!</v>
      </c>
      <c r="AL19" s="76" t="str">
        <f t="shared" si="29"/>
        <v>#REF!</v>
      </c>
      <c r="AM19" s="76" t="str">
        <f t="shared" si="30"/>
        <v>#REF!</v>
      </c>
      <c r="AN19" s="76" t="str">
        <f t="shared" si="31"/>
        <v>#REF!</v>
      </c>
      <c r="AO19" s="76" t="str">
        <f t="shared" si="32"/>
        <v>#REF!</v>
      </c>
      <c r="AP19" s="76" t="str">
        <f t="shared" si="33"/>
        <v>#REF!</v>
      </c>
    </row>
    <row r="20">
      <c r="A20" s="76" t="str">
        <f t="shared" si="2"/>
        <v>#REF!</v>
      </c>
      <c r="B20" s="76" t="str">
        <f t="shared" si="3"/>
        <v>#REF!</v>
      </c>
      <c r="C20" s="76" t="str">
        <f t="shared" si="4"/>
        <v>#REF!</v>
      </c>
      <c r="D20" s="76" t="str">
        <f t="shared" ref="D20:N20" si="50">#REF!</f>
        <v>#REF!</v>
      </c>
      <c r="E20" s="76" t="str">
        <f t="shared" si="50"/>
        <v>#REF!</v>
      </c>
      <c r="F20" s="76" t="str">
        <f t="shared" si="50"/>
        <v>#REF!</v>
      </c>
      <c r="G20" s="76" t="str">
        <f t="shared" si="50"/>
        <v>#REF!</v>
      </c>
      <c r="H20" s="76" t="str">
        <f t="shared" si="50"/>
        <v>#REF!</v>
      </c>
      <c r="I20" s="78" t="str">
        <f t="shared" si="50"/>
        <v>#REF!</v>
      </c>
      <c r="J20" s="78" t="str">
        <f t="shared" si="50"/>
        <v>#REF!</v>
      </c>
      <c r="K20" s="78" t="str">
        <f t="shared" si="50"/>
        <v>#REF!</v>
      </c>
      <c r="L20" s="78" t="str">
        <f t="shared" si="50"/>
        <v>#REF!</v>
      </c>
      <c r="M20" s="78" t="str">
        <f t="shared" si="50"/>
        <v>#REF!</v>
      </c>
      <c r="N20" s="78" t="str">
        <f t="shared" si="50"/>
        <v>#REF!</v>
      </c>
      <c r="O20" s="76">
        <f t="shared" si="6"/>
        <v>0</v>
      </c>
      <c r="P20" s="76">
        <f t="shared" si="7"/>
        <v>0</v>
      </c>
      <c r="Q20" s="76">
        <f t="shared" si="8"/>
        <v>0</v>
      </c>
      <c r="R20" s="76">
        <f t="shared" si="9"/>
        <v>0</v>
      </c>
      <c r="S20" s="76" t="str">
        <f t="shared" si="10"/>
        <v>#REF!</v>
      </c>
      <c r="T20" s="76" t="str">
        <f t="shared" si="11"/>
        <v>#REF!</v>
      </c>
      <c r="U20" s="76" t="str">
        <f t="shared" si="12"/>
        <v>#REF!</v>
      </c>
      <c r="V20" s="76" t="str">
        <f t="shared" si="13"/>
        <v>#REF!</v>
      </c>
      <c r="W20" s="76" t="str">
        <f t="shared" si="14"/>
        <v>#REF!</v>
      </c>
      <c r="X20" s="76" t="str">
        <f t="shared" si="15"/>
        <v>#REF!</v>
      </c>
      <c r="Y20" s="76" t="str">
        <f t="shared" si="16"/>
        <v>#REF!</v>
      </c>
      <c r="Z20" s="76" t="str">
        <f t="shared" si="17"/>
        <v>#REF!</v>
      </c>
      <c r="AA20" s="76" t="str">
        <f t="shared" si="18"/>
        <v>#REF!</v>
      </c>
      <c r="AB20" s="76" t="str">
        <f t="shared" si="19"/>
        <v>#REF!</v>
      </c>
      <c r="AC20" s="76" t="str">
        <f t="shared" si="20"/>
        <v>#REF!</v>
      </c>
      <c r="AD20" s="76" t="str">
        <f t="shared" si="21"/>
        <v>#REF!</v>
      </c>
      <c r="AE20" s="76" t="str">
        <f t="shared" si="22"/>
        <v>#REF!</v>
      </c>
      <c r="AF20" s="76" t="str">
        <f t="shared" si="23"/>
        <v>#REF!</v>
      </c>
      <c r="AG20" s="76" t="str">
        <f t="shared" si="24"/>
        <v>#REF!</v>
      </c>
      <c r="AH20" s="76" t="str">
        <f t="shared" si="25"/>
        <v>#REF!</v>
      </c>
      <c r="AI20" s="76" t="str">
        <f t="shared" si="26"/>
        <v>#REF!</v>
      </c>
      <c r="AJ20" s="76" t="str">
        <f t="shared" si="27"/>
        <v>#REF!</v>
      </c>
      <c r="AK20" s="76" t="str">
        <f t="shared" si="28"/>
        <v>#REF!</v>
      </c>
      <c r="AL20" s="76" t="str">
        <f t="shared" si="29"/>
        <v>#REF!</v>
      </c>
      <c r="AM20" s="76" t="str">
        <f t="shared" si="30"/>
        <v>#REF!</v>
      </c>
      <c r="AN20" s="76" t="str">
        <f t="shared" si="31"/>
        <v>#REF!</v>
      </c>
      <c r="AO20" s="76" t="str">
        <f t="shared" si="32"/>
        <v>#REF!</v>
      </c>
      <c r="AP20" s="76" t="str">
        <f t="shared" si="33"/>
        <v>#REF!</v>
      </c>
    </row>
    <row r="21" ht="15.75" customHeight="1">
      <c r="A21" s="76" t="str">
        <f t="shared" si="2"/>
        <v>#REF!</v>
      </c>
      <c r="B21" s="76" t="str">
        <f t="shared" si="3"/>
        <v>#REF!</v>
      </c>
      <c r="C21" s="76" t="str">
        <f t="shared" si="4"/>
        <v>#REF!</v>
      </c>
      <c r="D21" s="76" t="str">
        <f t="shared" ref="D21:N21" si="51">#REF!</f>
        <v>#REF!</v>
      </c>
      <c r="E21" s="76" t="str">
        <f t="shared" si="51"/>
        <v>#REF!</v>
      </c>
      <c r="F21" s="76" t="str">
        <f t="shared" si="51"/>
        <v>#REF!</v>
      </c>
      <c r="G21" s="76" t="str">
        <f t="shared" si="51"/>
        <v>#REF!</v>
      </c>
      <c r="H21" s="76" t="str">
        <f t="shared" si="51"/>
        <v>#REF!</v>
      </c>
      <c r="I21" s="78" t="str">
        <f t="shared" si="51"/>
        <v>#REF!</v>
      </c>
      <c r="J21" s="78" t="str">
        <f t="shared" si="51"/>
        <v>#REF!</v>
      </c>
      <c r="K21" s="78" t="str">
        <f t="shared" si="51"/>
        <v>#REF!</v>
      </c>
      <c r="L21" s="78" t="str">
        <f t="shared" si="51"/>
        <v>#REF!</v>
      </c>
      <c r="M21" s="78" t="str">
        <f t="shared" si="51"/>
        <v>#REF!</v>
      </c>
      <c r="N21" s="78" t="str">
        <f t="shared" si="51"/>
        <v>#REF!</v>
      </c>
      <c r="O21" s="76">
        <f t="shared" si="6"/>
        <v>0</v>
      </c>
      <c r="P21" s="76">
        <f t="shared" si="7"/>
        <v>0</v>
      </c>
      <c r="Q21" s="76">
        <f t="shared" si="8"/>
        <v>0</v>
      </c>
      <c r="R21" s="76">
        <f t="shared" si="9"/>
        <v>0</v>
      </c>
      <c r="S21" s="76" t="str">
        <f t="shared" si="10"/>
        <v>#REF!</v>
      </c>
      <c r="T21" s="76" t="str">
        <f t="shared" si="11"/>
        <v>#REF!</v>
      </c>
      <c r="U21" s="76" t="str">
        <f t="shared" si="12"/>
        <v>#REF!</v>
      </c>
      <c r="V21" s="76" t="str">
        <f t="shared" si="13"/>
        <v>#REF!</v>
      </c>
      <c r="W21" s="76" t="str">
        <f t="shared" si="14"/>
        <v>#REF!</v>
      </c>
      <c r="X21" s="76" t="str">
        <f t="shared" si="15"/>
        <v>#REF!</v>
      </c>
      <c r="Y21" s="76" t="str">
        <f t="shared" si="16"/>
        <v>#REF!</v>
      </c>
      <c r="Z21" s="76" t="str">
        <f t="shared" si="17"/>
        <v>#REF!</v>
      </c>
      <c r="AA21" s="76" t="str">
        <f t="shared" si="18"/>
        <v>#REF!</v>
      </c>
      <c r="AB21" s="76" t="str">
        <f t="shared" si="19"/>
        <v>#REF!</v>
      </c>
      <c r="AC21" s="76" t="str">
        <f t="shared" si="20"/>
        <v>#REF!</v>
      </c>
      <c r="AD21" s="76" t="str">
        <f t="shared" si="21"/>
        <v>#REF!</v>
      </c>
      <c r="AE21" s="76" t="str">
        <f t="shared" si="22"/>
        <v>#REF!</v>
      </c>
      <c r="AF21" s="76" t="str">
        <f t="shared" si="23"/>
        <v>#REF!</v>
      </c>
      <c r="AG21" s="76" t="str">
        <f t="shared" si="24"/>
        <v>#REF!</v>
      </c>
      <c r="AH21" s="76" t="str">
        <f t="shared" si="25"/>
        <v>#REF!</v>
      </c>
      <c r="AI21" s="76" t="str">
        <f t="shared" si="26"/>
        <v>#REF!</v>
      </c>
      <c r="AJ21" s="76" t="str">
        <f t="shared" si="27"/>
        <v>#REF!</v>
      </c>
      <c r="AK21" s="76" t="str">
        <f t="shared" si="28"/>
        <v>#REF!</v>
      </c>
      <c r="AL21" s="76" t="str">
        <f t="shared" si="29"/>
        <v>#REF!</v>
      </c>
      <c r="AM21" s="76" t="str">
        <f t="shared" si="30"/>
        <v>#REF!</v>
      </c>
      <c r="AN21" s="76" t="str">
        <f t="shared" si="31"/>
        <v>#REF!</v>
      </c>
      <c r="AO21" s="76" t="str">
        <f t="shared" si="32"/>
        <v>#REF!</v>
      </c>
      <c r="AP21" s="76" t="str">
        <f t="shared" si="33"/>
        <v>#REF!</v>
      </c>
    </row>
    <row r="22" ht="15.75" customHeight="1">
      <c r="A22" s="76" t="str">
        <f t="shared" si="2"/>
        <v>#REF!</v>
      </c>
      <c r="B22" s="76" t="str">
        <f t="shared" si="3"/>
        <v>#REF!</v>
      </c>
      <c r="C22" s="76" t="str">
        <f t="shared" si="4"/>
        <v>#REF!</v>
      </c>
      <c r="D22" s="76" t="str">
        <f t="shared" ref="D22:N22" si="52">#REF!</f>
        <v>#REF!</v>
      </c>
      <c r="E22" s="76" t="str">
        <f t="shared" si="52"/>
        <v>#REF!</v>
      </c>
      <c r="F22" s="76" t="str">
        <f t="shared" si="52"/>
        <v>#REF!</v>
      </c>
      <c r="G22" s="76" t="str">
        <f t="shared" si="52"/>
        <v>#REF!</v>
      </c>
      <c r="H22" s="76" t="str">
        <f t="shared" si="52"/>
        <v>#REF!</v>
      </c>
      <c r="I22" s="78" t="str">
        <f t="shared" si="52"/>
        <v>#REF!</v>
      </c>
      <c r="J22" s="78" t="str">
        <f t="shared" si="52"/>
        <v>#REF!</v>
      </c>
      <c r="K22" s="78" t="str">
        <f t="shared" si="52"/>
        <v>#REF!</v>
      </c>
      <c r="L22" s="78" t="str">
        <f t="shared" si="52"/>
        <v>#REF!</v>
      </c>
      <c r="M22" s="78" t="str">
        <f t="shared" si="52"/>
        <v>#REF!</v>
      </c>
      <c r="N22" s="78" t="str">
        <f t="shared" si="52"/>
        <v>#REF!</v>
      </c>
      <c r="O22" s="76">
        <f t="shared" si="6"/>
        <v>0</v>
      </c>
      <c r="P22" s="76">
        <f t="shared" si="7"/>
        <v>0</v>
      </c>
      <c r="Q22" s="76">
        <f t="shared" si="8"/>
        <v>0</v>
      </c>
      <c r="R22" s="76">
        <f t="shared" si="9"/>
        <v>0</v>
      </c>
      <c r="S22" s="76" t="str">
        <f t="shared" si="10"/>
        <v>#REF!</v>
      </c>
      <c r="T22" s="76" t="str">
        <f t="shared" si="11"/>
        <v>#REF!</v>
      </c>
      <c r="U22" s="76" t="str">
        <f t="shared" si="12"/>
        <v>#REF!</v>
      </c>
      <c r="V22" s="76" t="str">
        <f t="shared" si="13"/>
        <v>#REF!</v>
      </c>
      <c r="W22" s="76" t="str">
        <f t="shared" si="14"/>
        <v>#REF!</v>
      </c>
      <c r="X22" s="76" t="str">
        <f t="shared" si="15"/>
        <v>#REF!</v>
      </c>
      <c r="Y22" s="76" t="str">
        <f t="shared" si="16"/>
        <v>#REF!</v>
      </c>
      <c r="Z22" s="76" t="str">
        <f t="shared" si="17"/>
        <v>#REF!</v>
      </c>
      <c r="AA22" s="76" t="str">
        <f t="shared" si="18"/>
        <v>#REF!</v>
      </c>
      <c r="AB22" s="76" t="str">
        <f t="shared" si="19"/>
        <v>#REF!</v>
      </c>
      <c r="AC22" s="76" t="str">
        <f t="shared" si="20"/>
        <v>#REF!</v>
      </c>
      <c r="AD22" s="76" t="str">
        <f t="shared" si="21"/>
        <v>#REF!</v>
      </c>
      <c r="AE22" s="76" t="str">
        <f t="shared" si="22"/>
        <v>#REF!</v>
      </c>
      <c r="AF22" s="76" t="str">
        <f t="shared" si="23"/>
        <v>#REF!</v>
      </c>
      <c r="AG22" s="76" t="str">
        <f t="shared" si="24"/>
        <v>#REF!</v>
      </c>
      <c r="AH22" s="76" t="str">
        <f t="shared" si="25"/>
        <v>#REF!</v>
      </c>
      <c r="AI22" s="76" t="str">
        <f t="shared" si="26"/>
        <v>#REF!</v>
      </c>
      <c r="AJ22" s="76" t="str">
        <f t="shared" si="27"/>
        <v>#REF!</v>
      </c>
      <c r="AK22" s="76" t="str">
        <f t="shared" si="28"/>
        <v>#REF!</v>
      </c>
      <c r="AL22" s="76" t="str">
        <f t="shared" si="29"/>
        <v>#REF!</v>
      </c>
      <c r="AM22" s="76" t="str">
        <f t="shared" si="30"/>
        <v>#REF!</v>
      </c>
      <c r="AN22" s="76" t="str">
        <f t="shared" si="31"/>
        <v>#REF!</v>
      </c>
      <c r="AO22" s="76" t="str">
        <f t="shared" si="32"/>
        <v>#REF!</v>
      </c>
      <c r="AP22" s="76" t="str">
        <f t="shared" si="33"/>
        <v>#REF!</v>
      </c>
    </row>
    <row r="23" ht="15.75" customHeight="1">
      <c r="A23" s="76" t="str">
        <f t="shared" si="2"/>
        <v>#REF!</v>
      </c>
      <c r="B23" s="76" t="str">
        <f t="shared" si="3"/>
        <v>#REF!</v>
      </c>
      <c r="C23" s="76" t="str">
        <f t="shared" si="4"/>
        <v>#REF!</v>
      </c>
      <c r="D23" s="76" t="str">
        <f t="shared" ref="D23:N23" si="53">#REF!</f>
        <v>#REF!</v>
      </c>
      <c r="E23" s="76" t="str">
        <f t="shared" si="53"/>
        <v>#REF!</v>
      </c>
      <c r="F23" s="76" t="str">
        <f t="shared" si="53"/>
        <v>#REF!</v>
      </c>
      <c r="G23" s="76" t="str">
        <f t="shared" si="53"/>
        <v>#REF!</v>
      </c>
      <c r="H23" s="76" t="str">
        <f t="shared" si="53"/>
        <v>#REF!</v>
      </c>
      <c r="I23" s="78" t="str">
        <f t="shared" si="53"/>
        <v>#REF!</v>
      </c>
      <c r="J23" s="78" t="str">
        <f t="shared" si="53"/>
        <v>#REF!</v>
      </c>
      <c r="K23" s="78" t="str">
        <f t="shared" si="53"/>
        <v>#REF!</v>
      </c>
      <c r="L23" s="78" t="str">
        <f t="shared" si="53"/>
        <v>#REF!</v>
      </c>
      <c r="M23" s="78" t="str">
        <f t="shared" si="53"/>
        <v>#REF!</v>
      </c>
      <c r="N23" s="78" t="str">
        <f t="shared" si="53"/>
        <v>#REF!</v>
      </c>
      <c r="O23" s="76">
        <f t="shared" si="6"/>
        <v>0</v>
      </c>
      <c r="P23" s="76">
        <f t="shared" si="7"/>
        <v>0</v>
      </c>
      <c r="Q23" s="76">
        <f t="shared" si="8"/>
        <v>0</v>
      </c>
      <c r="R23" s="76">
        <f t="shared" si="9"/>
        <v>0</v>
      </c>
      <c r="S23" s="76" t="str">
        <f t="shared" si="10"/>
        <v>#REF!</v>
      </c>
      <c r="T23" s="76" t="str">
        <f t="shared" si="11"/>
        <v>#REF!</v>
      </c>
      <c r="U23" s="76" t="str">
        <f t="shared" si="12"/>
        <v>#REF!</v>
      </c>
      <c r="V23" s="76" t="str">
        <f t="shared" si="13"/>
        <v>#REF!</v>
      </c>
      <c r="W23" s="76" t="str">
        <f t="shared" si="14"/>
        <v>#REF!</v>
      </c>
      <c r="X23" s="76" t="str">
        <f t="shared" si="15"/>
        <v>#REF!</v>
      </c>
      <c r="Y23" s="76" t="str">
        <f t="shared" si="16"/>
        <v>#REF!</v>
      </c>
      <c r="Z23" s="76" t="str">
        <f t="shared" si="17"/>
        <v>#REF!</v>
      </c>
      <c r="AA23" s="76" t="str">
        <f t="shared" si="18"/>
        <v>#REF!</v>
      </c>
      <c r="AB23" s="76" t="str">
        <f t="shared" si="19"/>
        <v>#REF!</v>
      </c>
      <c r="AC23" s="76" t="str">
        <f t="shared" si="20"/>
        <v>#REF!</v>
      </c>
      <c r="AD23" s="76" t="str">
        <f t="shared" si="21"/>
        <v>#REF!</v>
      </c>
      <c r="AE23" s="76" t="str">
        <f t="shared" si="22"/>
        <v>#REF!</v>
      </c>
      <c r="AF23" s="76" t="str">
        <f t="shared" si="23"/>
        <v>#REF!</v>
      </c>
      <c r="AG23" s="76" t="str">
        <f t="shared" si="24"/>
        <v>#REF!</v>
      </c>
      <c r="AH23" s="76" t="str">
        <f t="shared" si="25"/>
        <v>#REF!</v>
      </c>
      <c r="AI23" s="76" t="str">
        <f t="shared" si="26"/>
        <v>#REF!</v>
      </c>
      <c r="AJ23" s="76" t="str">
        <f t="shared" si="27"/>
        <v>#REF!</v>
      </c>
      <c r="AK23" s="76" t="str">
        <f t="shared" si="28"/>
        <v>#REF!</v>
      </c>
      <c r="AL23" s="76" t="str">
        <f t="shared" si="29"/>
        <v>#REF!</v>
      </c>
      <c r="AM23" s="76" t="str">
        <f t="shared" si="30"/>
        <v>#REF!</v>
      </c>
      <c r="AN23" s="76" t="str">
        <f t="shared" si="31"/>
        <v>#REF!</v>
      </c>
      <c r="AO23" s="76" t="str">
        <f t="shared" si="32"/>
        <v>#REF!</v>
      </c>
      <c r="AP23" s="76" t="str">
        <f t="shared" si="33"/>
        <v>#REF!</v>
      </c>
    </row>
    <row r="24" ht="15.75" customHeight="1">
      <c r="A24" s="76" t="str">
        <f t="shared" si="2"/>
        <v>#REF!</v>
      </c>
      <c r="B24" s="76" t="str">
        <f t="shared" si="3"/>
        <v>#REF!</v>
      </c>
      <c r="C24" s="76" t="str">
        <f t="shared" si="4"/>
        <v>#REF!</v>
      </c>
      <c r="D24" s="76" t="str">
        <f t="shared" ref="D24:N24" si="54">#REF!</f>
        <v>#REF!</v>
      </c>
      <c r="E24" s="76" t="str">
        <f t="shared" si="54"/>
        <v>#REF!</v>
      </c>
      <c r="F24" s="76" t="str">
        <f t="shared" si="54"/>
        <v>#REF!</v>
      </c>
      <c r="G24" s="76" t="str">
        <f t="shared" si="54"/>
        <v>#REF!</v>
      </c>
      <c r="H24" s="76" t="str">
        <f t="shared" si="54"/>
        <v>#REF!</v>
      </c>
      <c r="I24" s="78" t="str">
        <f t="shared" si="54"/>
        <v>#REF!</v>
      </c>
      <c r="J24" s="78" t="str">
        <f t="shared" si="54"/>
        <v>#REF!</v>
      </c>
      <c r="K24" s="78" t="str">
        <f t="shared" si="54"/>
        <v>#REF!</v>
      </c>
      <c r="L24" s="78" t="str">
        <f t="shared" si="54"/>
        <v>#REF!</v>
      </c>
      <c r="M24" s="78" t="str">
        <f t="shared" si="54"/>
        <v>#REF!</v>
      </c>
      <c r="N24" s="78" t="str">
        <f t="shared" si="54"/>
        <v>#REF!</v>
      </c>
      <c r="O24" s="76">
        <f t="shared" si="6"/>
        <v>0</v>
      </c>
      <c r="P24" s="76">
        <f t="shared" si="7"/>
        <v>0</v>
      </c>
      <c r="Q24" s="76">
        <f t="shared" si="8"/>
        <v>0</v>
      </c>
      <c r="R24" s="76">
        <f t="shared" si="9"/>
        <v>0</v>
      </c>
      <c r="S24" s="76" t="str">
        <f t="shared" si="10"/>
        <v>#REF!</v>
      </c>
      <c r="T24" s="76" t="str">
        <f t="shared" si="11"/>
        <v>#REF!</v>
      </c>
      <c r="U24" s="76" t="str">
        <f t="shared" si="12"/>
        <v>#REF!</v>
      </c>
      <c r="V24" s="76" t="str">
        <f t="shared" si="13"/>
        <v>#REF!</v>
      </c>
      <c r="W24" s="76" t="str">
        <f t="shared" si="14"/>
        <v>#REF!</v>
      </c>
      <c r="X24" s="76" t="str">
        <f t="shared" si="15"/>
        <v>#REF!</v>
      </c>
      <c r="Y24" s="76" t="str">
        <f t="shared" si="16"/>
        <v>#REF!</v>
      </c>
      <c r="Z24" s="76" t="str">
        <f t="shared" si="17"/>
        <v>#REF!</v>
      </c>
      <c r="AA24" s="76" t="str">
        <f t="shared" si="18"/>
        <v>#REF!</v>
      </c>
      <c r="AB24" s="76" t="str">
        <f t="shared" si="19"/>
        <v>#REF!</v>
      </c>
      <c r="AC24" s="76" t="str">
        <f t="shared" si="20"/>
        <v>#REF!</v>
      </c>
      <c r="AD24" s="76" t="str">
        <f t="shared" si="21"/>
        <v>#REF!</v>
      </c>
      <c r="AE24" s="76" t="str">
        <f t="shared" si="22"/>
        <v>#REF!</v>
      </c>
      <c r="AF24" s="76" t="str">
        <f t="shared" si="23"/>
        <v>#REF!</v>
      </c>
      <c r="AG24" s="76" t="str">
        <f t="shared" si="24"/>
        <v>#REF!</v>
      </c>
      <c r="AH24" s="76" t="str">
        <f t="shared" si="25"/>
        <v>#REF!</v>
      </c>
      <c r="AI24" s="76" t="str">
        <f t="shared" si="26"/>
        <v>#REF!</v>
      </c>
      <c r="AJ24" s="76" t="str">
        <f t="shared" si="27"/>
        <v>#REF!</v>
      </c>
      <c r="AK24" s="76" t="str">
        <f t="shared" si="28"/>
        <v>#REF!</v>
      </c>
      <c r="AL24" s="76" t="str">
        <f t="shared" si="29"/>
        <v>#REF!</v>
      </c>
      <c r="AM24" s="76" t="str">
        <f t="shared" si="30"/>
        <v>#REF!</v>
      </c>
      <c r="AN24" s="76" t="str">
        <f t="shared" si="31"/>
        <v>#REF!</v>
      </c>
      <c r="AO24" s="76" t="str">
        <f t="shared" si="32"/>
        <v>#REF!</v>
      </c>
      <c r="AP24" s="76" t="str">
        <f t="shared" si="33"/>
        <v>#REF!</v>
      </c>
    </row>
    <row r="25" ht="15.75" customHeight="1">
      <c r="A25" s="79">
        <f>IF('Manual Entry'!A23="","",'Manual Entry'!A23)</f>
        <v>46197</v>
      </c>
      <c r="B25" s="79">
        <f t="shared" si="3"/>
        <v>46195</v>
      </c>
      <c r="C25" s="76" t="str">
        <f t="shared" si="4"/>
        <v>2026-06</v>
      </c>
      <c r="D25" s="76" t="str">
        <f>'Manual Entry'!D23</f>
        <v/>
      </c>
      <c r="E25" s="76" t="str">
        <f>'Manual Entry'!B23</f>
        <v>Diabetics Avoiding rice and taking Millets</v>
      </c>
      <c r="F25" s="76" t="str">
        <f>'Manual Entry'!F23</f>
        <v>Talking Head with or without Props</v>
      </c>
      <c r="G25" s="76" t="str">
        <f>'Manual Entry'!G23</f>
        <v>Reel</v>
      </c>
      <c r="H25" s="76" t="str">
        <f>'Manual Entry'!H23</f>
        <v/>
      </c>
      <c r="I25" s="78">
        <f>'Manual Entry'!I23</f>
        <v>24181</v>
      </c>
      <c r="J25" s="78">
        <f>'Manual Entry'!J23</f>
        <v>160</v>
      </c>
      <c r="K25" s="78">
        <f>'Manual Entry'!K23</f>
        <v>8</v>
      </c>
      <c r="L25" s="78">
        <f>'Manual Entry'!L23</f>
        <v>44</v>
      </c>
      <c r="M25" s="78">
        <f>'Manual Entry'!M23</f>
        <v>48</v>
      </c>
      <c r="N25" s="78">
        <f>'Manual Entry'!N23</f>
        <v>20029</v>
      </c>
      <c r="O25" s="76">
        <f t="shared" si="6"/>
        <v>0.007988416796</v>
      </c>
      <c r="P25" s="76">
        <f t="shared" si="7"/>
        <v>0.0003994208398</v>
      </c>
      <c r="Q25" s="76">
        <f t="shared" si="8"/>
        <v>0.002196814619</v>
      </c>
      <c r="R25" s="76">
        <f t="shared" si="9"/>
        <v>0.002396525039</v>
      </c>
      <c r="S25" s="76">
        <f t="shared" si="10"/>
        <v>1</v>
      </c>
      <c r="T25" s="76">
        <f t="shared" si="11"/>
        <v>0.3333333333</v>
      </c>
      <c r="U25" s="76">
        <f t="shared" si="12"/>
        <v>0</v>
      </c>
      <c r="V25" s="76">
        <f t="shared" si="13"/>
        <v>0.3333333333</v>
      </c>
      <c r="W25" s="76">
        <f t="shared" si="14"/>
        <v>0.3333333333</v>
      </c>
      <c r="X25" s="76">
        <f t="shared" si="15"/>
        <v>0.6666666667</v>
      </c>
      <c r="Y25" s="76">
        <f t="shared" si="16"/>
        <v>0.1666666667</v>
      </c>
      <c r="Z25" s="76">
        <f t="shared" si="17"/>
        <v>0.1666666667</v>
      </c>
      <c r="AA25" s="76">
        <f t="shared" si="18"/>
        <v>0.3333333333</v>
      </c>
      <c r="AB25" s="76">
        <f t="shared" si="19"/>
        <v>0.5</v>
      </c>
      <c r="AC25" s="76">
        <f t="shared" si="20"/>
        <v>0.625</v>
      </c>
      <c r="AD25" s="76">
        <f t="shared" si="21"/>
        <v>0.125</v>
      </c>
      <c r="AE25" s="76">
        <f t="shared" si="22"/>
        <v>0.375</v>
      </c>
      <c r="AF25" s="76">
        <f t="shared" si="23"/>
        <v>0.375</v>
      </c>
      <c r="AG25" s="76">
        <f t="shared" si="24"/>
        <v>0.5</v>
      </c>
      <c r="AH25" s="76">
        <f t="shared" si="25"/>
        <v>0.3833333333</v>
      </c>
      <c r="AI25" s="76">
        <f t="shared" si="26"/>
        <v>0.3583333333</v>
      </c>
      <c r="AJ25" s="76">
        <f t="shared" si="27"/>
        <v>0.40625</v>
      </c>
      <c r="AK25" s="76">
        <f t="shared" si="28"/>
        <v>0</v>
      </c>
      <c r="AL25" s="76" t="str">
        <f t="shared" si="29"/>
        <v/>
      </c>
      <c r="AM25" s="76">
        <f t="shared" si="30"/>
        <v>0</v>
      </c>
      <c r="AN25" s="76" t="str">
        <f t="shared" si="31"/>
        <v/>
      </c>
      <c r="AO25" s="76">
        <f t="shared" si="32"/>
        <v>0.40625024</v>
      </c>
      <c r="AP25" s="76">
        <f t="shared" si="33"/>
        <v>202606</v>
      </c>
    </row>
    <row r="26" ht="15.75" customHeight="1">
      <c r="A26" s="79">
        <f>IF('Manual Entry'!A24="","",'Manual Entry'!A24)</f>
        <v>46198</v>
      </c>
      <c r="B26" s="79">
        <f t="shared" si="3"/>
        <v>46195</v>
      </c>
      <c r="C26" s="76" t="str">
        <f t="shared" si="4"/>
        <v>2026-06</v>
      </c>
      <c r="D26" s="76" t="str">
        <f>'Manual Entry'!D24</f>
        <v/>
      </c>
      <c r="E26" s="76" t="str">
        <f>'Manual Entry'!B24</f>
        <v>Indian croosing 45*c and Kidlneys Failing</v>
      </c>
      <c r="F26" s="76" t="str">
        <f>'Manual Entry'!F24</f>
        <v>Carousel - Answering Questions</v>
      </c>
      <c r="G26" s="76" t="str">
        <f>'Manual Entry'!G24</f>
        <v>Carousel</v>
      </c>
      <c r="H26" s="76" t="str">
        <f>'Manual Entry'!H24</f>
        <v/>
      </c>
      <c r="I26" s="78">
        <f>'Manual Entry'!I24</f>
        <v>180105</v>
      </c>
      <c r="J26" s="78">
        <f>'Manual Entry'!J24</f>
        <v>884</v>
      </c>
      <c r="K26" s="78">
        <f>'Manual Entry'!K24</f>
        <v>11</v>
      </c>
      <c r="L26" s="78">
        <f>'Manual Entry'!L24</f>
        <v>1772</v>
      </c>
      <c r="M26" s="78">
        <f>'Manual Entry'!M24</f>
        <v>796</v>
      </c>
      <c r="N26" s="78">
        <f>'Manual Entry'!N24</f>
        <v>105179</v>
      </c>
      <c r="O26" s="76">
        <f t="shared" si="6"/>
        <v>0.008404719573</v>
      </c>
      <c r="P26" s="76">
        <f t="shared" si="7"/>
        <v>0.0001045836146</v>
      </c>
      <c r="Q26" s="76">
        <f t="shared" si="8"/>
        <v>0.01684746955</v>
      </c>
      <c r="R26" s="76">
        <f t="shared" si="9"/>
        <v>0.007568050656</v>
      </c>
      <c r="S26" s="76">
        <f t="shared" si="10"/>
        <v>0.5</v>
      </c>
      <c r="T26" s="76">
        <f t="shared" si="11"/>
        <v>0.5</v>
      </c>
      <c r="U26" s="76">
        <f t="shared" si="12"/>
        <v>0</v>
      </c>
      <c r="V26" s="76">
        <f t="shared" si="13"/>
        <v>1</v>
      </c>
      <c r="W26" s="76">
        <f t="shared" si="14"/>
        <v>0.5</v>
      </c>
      <c r="X26" s="76">
        <f t="shared" si="15"/>
        <v>0.3333333333</v>
      </c>
      <c r="Y26" s="76">
        <f t="shared" si="16"/>
        <v>0.1666666667</v>
      </c>
      <c r="Z26" s="76">
        <f t="shared" si="17"/>
        <v>0</v>
      </c>
      <c r="AA26" s="76">
        <f t="shared" si="18"/>
        <v>0.5</v>
      </c>
      <c r="AB26" s="76">
        <f t="shared" si="19"/>
        <v>0.3333333333</v>
      </c>
      <c r="AC26" s="76">
        <f t="shared" si="20"/>
        <v>0.5833333333</v>
      </c>
      <c r="AD26" s="76">
        <f t="shared" si="21"/>
        <v>0.3333333333</v>
      </c>
      <c r="AE26" s="76">
        <f t="shared" si="22"/>
        <v>0.3333333333</v>
      </c>
      <c r="AF26" s="76">
        <f t="shared" si="23"/>
        <v>0.75</v>
      </c>
      <c r="AG26" s="76">
        <f t="shared" si="24"/>
        <v>0.3333333333</v>
      </c>
      <c r="AH26" s="76">
        <f t="shared" si="25"/>
        <v>0.55</v>
      </c>
      <c r="AI26" s="76">
        <f t="shared" si="26"/>
        <v>0.3</v>
      </c>
      <c r="AJ26" s="76">
        <f t="shared" si="27"/>
        <v>0.4833333333</v>
      </c>
      <c r="AK26" s="76">
        <f t="shared" si="28"/>
        <v>0</v>
      </c>
      <c r="AL26" s="76" t="str">
        <f t="shared" si="29"/>
        <v/>
      </c>
      <c r="AM26" s="76">
        <f t="shared" si="30"/>
        <v>0</v>
      </c>
      <c r="AN26" s="76" t="str">
        <f t="shared" si="31"/>
        <v/>
      </c>
      <c r="AO26" s="76">
        <f t="shared" si="32"/>
        <v>0.4833335833</v>
      </c>
      <c r="AP26" s="76">
        <f t="shared" si="33"/>
        <v>202606</v>
      </c>
    </row>
    <row r="27" ht="15.75" customHeight="1">
      <c r="A27" s="79">
        <f>IF('Manual Entry'!A25="","",'Manual Entry'!A25)</f>
        <v>46199</v>
      </c>
      <c r="B27" s="79">
        <f t="shared" si="3"/>
        <v>46195</v>
      </c>
      <c r="C27" s="76" t="str">
        <f t="shared" si="4"/>
        <v>2026-06</v>
      </c>
      <c r="D27" s="76" t="str">
        <f>'Manual Entry'!D25</f>
        <v/>
      </c>
      <c r="E27" s="76" t="str">
        <f>'Manual Entry'!B25</f>
        <v>2 techniques for weight loss</v>
      </c>
      <c r="F27" s="76" t="str">
        <f>'Manual Entry'!F25</f>
        <v>Talking Head with or without Props</v>
      </c>
      <c r="G27" s="76" t="str">
        <f>'Manual Entry'!G25</f>
        <v>Reel</v>
      </c>
      <c r="H27" s="76" t="str">
        <f>'Manual Entry'!H25</f>
        <v/>
      </c>
      <c r="I27" s="78">
        <f>'Manual Entry'!I25</f>
        <v>16022</v>
      </c>
      <c r="J27" s="78">
        <f>'Manual Entry'!J25</f>
        <v>166</v>
      </c>
      <c r="K27" s="78">
        <f>'Manual Entry'!K25</f>
        <v>10</v>
      </c>
      <c r="L27" s="78">
        <f>'Manual Entry'!L25</f>
        <v>58</v>
      </c>
      <c r="M27" s="78">
        <f>'Manual Entry'!M25</f>
        <v>69</v>
      </c>
      <c r="N27" s="78">
        <f>'Manual Entry'!N25</f>
        <v>12484</v>
      </c>
      <c r="O27" s="76">
        <f t="shared" si="6"/>
        <v>0.01329702019</v>
      </c>
      <c r="P27" s="76">
        <f t="shared" si="7"/>
        <v>0.0008010253124</v>
      </c>
      <c r="Q27" s="76">
        <f t="shared" si="8"/>
        <v>0.004645946812</v>
      </c>
      <c r="R27" s="76">
        <f t="shared" si="9"/>
        <v>0.005527074656</v>
      </c>
      <c r="S27" s="76">
        <f t="shared" si="10"/>
        <v>0</v>
      </c>
      <c r="T27" s="76">
        <f t="shared" si="11"/>
        <v>1</v>
      </c>
      <c r="U27" s="76">
        <f t="shared" si="12"/>
        <v>0.6666666667</v>
      </c>
      <c r="V27" s="76">
        <f t="shared" si="13"/>
        <v>1</v>
      </c>
      <c r="W27" s="76">
        <f t="shared" si="14"/>
        <v>1</v>
      </c>
      <c r="X27" s="76">
        <f t="shared" si="15"/>
        <v>0</v>
      </c>
      <c r="Y27" s="76">
        <f t="shared" si="16"/>
        <v>0.8333333333</v>
      </c>
      <c r="Z27" s="76">
        <f t="shared" si="17"/>
        <v>0.6666666667</v>
      </c>
      <c r="AA27" s="76">
        <f t="shared" si="18"/>
        <v>0.8333333333</v>
      </c>
      <c r="AB27" s="76">
        <f t="shared" si="19"/>
        <v>1</v>
      </c>
      <c r="AC27" s="76">
        <f t="shared" si="20"/>
        <v>0.125</v>
      </c>
      <c r="AD27" s="76">
        <f t="shared" si="21"/>
        <v>0.75</v>
      </c>
      <c r="AE27" s="76">
        <f t="shared" si="22"/>
        <v>0.75</v>
      </c>
      <c r="AF27" s="76">
        <f t="shared" si="23"/>
        <v>0.75</v>
      </c>
      <c r="AG27" s="76">
        <f t="shared" si="24"/>
        <v>0.875</v>
      </c>
      <c r="AH27" s="76">
        <f t="shared" si="25"/>
        <v>0.7166666667</v>
      </c>
      <c r="AI27" s="76">
        <f t="shared" si="26"/>
        <v>0.65</v>
      </c>
      <c r="AJ27" s="76">
        <f t="shared" si="27"/>
        <v>0.64375</v>
      </c>
      <c r="AK27" s="76">
        <f t="shared" si="28"/>
        <v>1</v>
      </c>
      <c r="AL27" s="76" t="str">
        <f t="shared" si="29"/>
        <v>20260622|Reel</v>
      </c>
      <c r="AM27" s="76">
        <f t="shared" si="30"/>
        <v>0</v>
      </c>
      <c r="AN27" s="76" t="str">
        <f t="shared" si="31"/>
        <v/>
      </c>
      <c r="AO27" s="76">
        <f t="shared" si="32"/>
        <v>0.64375026</v>
      </c>
      <c r="AP27" s="76">
        <f t="shared" si="33"/>
        <v>202606</v>
      </c>
    </row>
    <row r="28" ht="15.75" customHeight="1">
      <c r="A28" s="79">
        <f>IF('Manual Entry'!A26="","",'Manual Entry'!A26)</f>
        <v>46200</v>
      </c>
      <c r="B28" s="79">
        <f t="shared" si="3"/>
        <v>46195</v>
      </c>
      <c r="C28" s="76" t="str">
        <f t="shared" si="4"/>
        <v>2026-06</v>
      </c>
      <c r="D28" s="76" t="str">
        <f>'Manual Entry'!D26</f>
        <v/>
      </c>
      <c r="E28" s="76" t="str">
        <f>'Manual Entry'!B26</f>
        <v>Control Your Blood Pressure</v>
      </c>
      <c r="F28" s="76" t="str">
        <f>'Manual Entry'!F26</f>
        <v>Carousel - Answering Questions</v>
      </c>
      <c r="G28" s="76" t="str">
        <f>'Manual Entry'!G26</f>
        <v>Carousel</v>
      </c>
      <c r="H28" s="76" t="str">
        <f>'Manual Entry'!H26</f>
        <v/>
      </c>
      <c r="I28" s="78">
        <f>'Manual Entry'!I26</f>
        <v>180910</v>
      </c>
      <c r="J28" s="78">
        <f>'Manual Entry'!J26</f>
        <v>1748</v>
      </c>
      <c r="K28" s="78">
        <f>'Manual Entry'!K26</f>
        <v>27</v>
      </c>
      <c r="L28" s="78">
        <f>'Manual Entry'!L26</f>
        <v>1741</v>
      </c>
      <c r="M28" s="78">
        <f>'Manual Entry'!M26</f>
        <v>2191</v>
      </c>
      <c r="N28" s="78">
        <f>'Manual Entry'!N26</f>
        <v>142302</v>
      </c>
      <c r="O28" s="76">
        <f t="shared" si="6"/>
        <v>0.01228373459</v>
      </c>
      <c r="P28" s="76">
        <f t="shared" si="7"/>
        <v>0.0001897373192</v>
      </c>
      <c r="Q28" s="76">
        <f t="shared" si="8"/>
        <v>0.01223454344</v>
      </c>
      <c r="R28" s="76">
        <f t="shared" si="9"/>
        <v>0.01539683209</v>
      </c>
      <c r="S28" s="76">
        <f t="shared" si="10"/>
        <v>1</v>
      </c>
      <c r="T28" s="76">
        <f t="shared" si="11"/>
        <v>1</v>
      </c>
      <c r="U28" s="76">
        <f t="shared" si="12"/>
        <v>0.5</v>
      </c>
      <c r="V28" s="76">
        <f t="shared" si="13"/>
        <v>0.5</v>
      </c>
      <c r="W28" s="76">
        <f t="shared" si="14"/>
        <v>1</v>
      </c>
      <c r="X28" s="76">
        <f t="shared" si="15"/>
        <v>0.5</v>
      </c>
      <c r="Y28" s="76">
        <f t="shared" si="16"/>
        <v>0.5</v>
      </c>
      <c r="Z28" s="76">
        <f t="shared" si="17"/>
        <v>0.6666666667</v>
      </c>
      <c r="AA28" s="76">
        <f t="shared" si="18"/>
        <v>0.3333333333</v>
      </c>
      <c r="AB28" s="76">
        <f t="shared" si="19"/>
        <v>1</v>
      </c>
      <c r="AC28" s="76">
        <f t="shared" si="20"/>
        <v>0.6666666667</v>
      </c>
      <c r="AD28" s="76">
        <f t="shared" si="21"/>
        <v>0.6666666667</v>
      </c>
      <c r="AE28" s="76">
        <f t="shared" si="22"/>
        <v>0.8333333333</v>
      </c>
      <c r="AF28" s="76">
        <f t="shared" si="23"/>
        <v>0.5833333333</v>
      </c>
      <c r="AG28" s="76">
        <f t="shared" si="24"/>
        <v>1</v>
      </c>
      <c r="AH28" s="76">
        <f t="shared" si="25"/>
        <v>0.75</v>
      </c>
      <c r="AI28" s="76">
        <f t="shared" si="26"/>
        <v>0.6333333333</v>
      </c>
      <c r="AJ28" s="76">
        <f t="shared" si="27"/>
        <v>0.775</v>
      </c>
      <c r="AK28" s="76">
        <f t="shared" si="28"/>
        <v>1</v>
      </c>
      <c r="AL28" s="76" t="str">
        <f t="shared" si="29"/>
        <v>20260622|Carousel</v>
      </c>
      <c r="AM28" s="76">
        <f t="shared" si="30"/>
        <v>0</v>
      </c>
      <c r="AN28" s="76" t="str">
        <f t="shared" si="31"/>
        <v/>
      </c>
      <c r="AO28" s="76">
        <f t="shared" si="32"/>
        <v>0.77500027</v>
      </c>
      <c r="AP28" s="76">
        <f t="shared" si="33"/>
        <v>202606</v>
      </c>
    </row>
    <row r="29" ht="15.75" customHeight="1">
      <c r="A29" s="79">
        <f>IF('Manual Entry'!A27="","",'Manual Entry'!A27)</f>
        <v>46201</v>
      </c>
      <c r="B29" s="79">
        <f t="shared" si="3"/>
        <v>46195</v>
      </c>
      <c r="C29" s="76" t="str">
        <f t="shared" si="4"/>
        <v>2026-06</v>
      </c>
      <c r="D29" s="76" t="str">
        <f>'Manual Entry'!D27</f>
        <v/>
      </c>
      <c r="E29" s="76" t="str">
        <f>'Manual Entry'!B27</f>
        <v>Doe eating sugar alone causes Diabetes?</v>
      </c>
      <c r="F29" s="76" t="str">
        <f>'Manual Entry'!F27</f>
        <v>Talking Head with or without Props</v>
      </c>
      <c r="G29" s="76" t="str">
        <f>'Manual Entry'!G27</f>
        <v>Reel</v>
      </c>
      <c r="H29" s="76" t="str">
        <f>'Manual Entry'!H27</f>
        <v/>
      </c>
      <c r="I29" s="78">
        <f>'Manual Entry'!I27</f>
        <v>17486</v>
      </c>
      <c r="J29" s="78">
        <f>'Manual Entry'!J27</f>
        <v>104</v>
      </c>
      <c r="K29" s="78">
        <f>'Manual Entry'!K27</f>
        <v>7</v>
      </c>
      <c r="L29" s="78">
        <f>'Manual Entry'!L27</f>
        <v>37</v>
      </c>
      <c r="M29" s="78">
        <f>'Manual Entry'!M27</f>
        <v>31</v>
      </c>
      <c r="N29" s="78">
        <f>'Manual Entry'!N27</f>
        <v>13773</v>
      </c>
      <c r="O29" s="76">
        <f t="shared" si="6"/>
        <v>0.007551005591</v>
      </c>
      <c r="P29" s="76">
        <f t="shared" si="7"/>
        <v>0.0005082407609</v>
      </c>
      <c r="Q29" s="76">
        <f t="shared" si="8"/>
        <v>0.002686415451</v>
      </c>
      <c r="R29" s="76">
        <f t="shared" si="9"/>
        <v>0.002250780513</v>
      </c>
      <c r="S29" s="76">
        <f t="shared" si="10"/>
        <v>0.3333333333</v>
      </c>
      <c r="T29" s="76">
        <f t="shared" si="11"/>
        <v>0</v>
      </c>
      <c r="U29" s="76">
        <f t="shared" si="12"/>
        <v>0.3333333333</v>
      </c>
      <c r="V29" s="76">
        <f t="shared" si="13"/>
        <v>0.6666666667</v>
      </c>
      <c r="W29" s="76">
        <f t="shared" si="14"/>
        <v>0</v>
      </c>
      <c r="X29" s="76">
        <f t="shared" si="15"/>
        <v>0.1666666667</v>
      </c>
      <c r="Y29" s="76">
        <f t="shared" si="16"/>
        <v>0</v>
      </c>
      <c r="Z29" s="76">
        <f t="shared" si="17"/>
        <v>0.3333333333</v>
      </c>
      <c r="AA29" s="76">
        <f t="shared" si="18"/>
        <v>0.6666666667</v>
      </c>
      <c r="AB29" s="76">
        <f t="shared" si="19"/>
        <v>0.3333333333</v>
      </c>
      <c r="AC29" s="76">
        <f t="shared" si="20"/>
        <v>0.25</v>
      </c>
      <c r="AD29" s="76">
        <f t="shared" si="21"/>
        <v>0</v>
      </c>
      <c r="AE29" s="76">
        <f t="shared" si="22"/>
        <v>0.5</v>
      </c>
      <c r="AF29" s="76">
        <f t="shared" si="23"/>
        <v>0.625</v>
      </c>
      <c r="AG29" s="76">
        <f t="shared" si="24"/>
        <v>0.375</v>
      </c>
      <c r="AH29" s="76">
        <f t="shared" si="25"/>
        <v>0.3166666667</v>
      </c>
      <c r="AI29" s="76">
        <f t="shared" si="26"/>
        <v>0.3333333333</v>
      </c>
      <c r="AJ29" s="76">
        <f t="shared" si="27"/>
        <v>0.3875</v>
      </c>
      <c r="AK29" s="76">
        <f t="shared" si="28"/>
        <v>0</v>
      </c>
      <c r="AL29" s="76" t="str">
        <f t="shared" si="29"/>
        <v/>
      </c>
      <c r="AM29" s="76">
        <f t="shared" si="30"/>
        <v>0</v>
      </c>
      <c r="AN29" s="76" t="str">
        <f t="shared" si="31"/>
        <v/>
      </c>
      <c r="AO29" s="76">
        <f t="shared" si="32"/>
        <v>0.38750028</v>
      </c>
      <c r="AP29" s="76">
        <f t="shared" si="33"/>
        <v>202606</v>
      </c>
    </row>
    <row r="30" ht="15.75" customHeight="1">
      <c r="A30" s="79">
        <f>IF('Manual Entry'!A28="","",'Manual Entry'!A28)</f>
        <v>46202</v>
      </c>
      <c r="B30" s="79">
        <f t="shared" si="3"/>
        <v>46202</v>
      </c>
      <c r="C30" s="76" t="str">
        <f t="shared" si="4"/>
        <v>2026-06</v>
      </c>
      <c r="D30" s="76" t="str">
        <f>'Manual Entry'!D28</f>
        <v/>
      </c>
      <c r="E30" s="76" t="str">
        <f>'Manual Entry'!B28</f>
        <v>India 1990 Vs India 2026</v>
      </c>
      <c r="F30" s="76" t="str">
        <f>'Manual Entry'!F28</f>
        <v>Carousel - Answering Questions</v>
      </c>
      <c r="G30" s="76" t="str">
        <f>'Manual Entry'!G28</f>
        <v>Carousel</v>
      </c>
      <c r="H30" s="76" t="str">
        <f>'Manual Entry'!H28</f>
        <v/>
      </c>
      <c r="I30" s="78">
        <f>'Manual Entry'!I28</f>
        <v>777455</v>
      </c>
      <c r="J30" s="78">
        <f>'Manual Entry'!J28</f>
        <v>13785</v>
      </c>
      <c r="K30" s="78">
        <f>'Manual Entry'!K28</f>
        <v>114</v>
      </c>
      <c r="L30" s="78">
        <f>'Manual Entry'!L28</f>
        <v>15218</v>
      </c>
      <c r="M30" s="78">
        <f>'Manual Entry'!M28</f>
        <v>7250</v>
      </c>
      <c r="N30" s="78">
        <f>'Manual Entry'!N28</f>
        <v>679167</v>
      </c>
      <c r="O30" s="76">
        <f t="shared" si="6"/>
        <v>0.02029692255</v>
      </c>
      <c r="P30" s="76">
        <f t="shared" si="7"/>
        <v>0.0001678526784</v>
      </c>
      <c r="Q30" s="76">
        <f t="shared" si="8"/>
        <v>0.02240686017</v>
      </c>
      <c r="R30" s="76">
        <f t="shared" si="9"/>
        <v>0.01067484139</v>
      </c>
      <c r="S30" s="76">
        <f t="shared" si="10"/>
        <v>1</v>
      </c>
      <c r="T30" s="76">
        <f t="shared" si="11"/>
        <v>1</v>
      </c>
      <c r="U30" s="76">
        <f t="shared" si="12"/>
        <v>0.6666666667</v>
      </c>
      <c r="V30" s="76">
        <f t="shared" si="13"/>
        <v>1</v>
      </c>
      <c r="W30" s="76">
        <f t="shared" si="14"/>
        <v>1</v>
      </c>
      <c r="X30" s="76">
        <f t="shared" si="15"/>
        <v>1</v>
      </c>
      <c r="Y30" s="76">
        <f t="shared" si="16"/>
        <v>1</v>
      </c>
      <c r="Z30" s="76">
        <f t="shared" si="17"/>
        <v>0.3333333333</v>
      </c>
      <c r="AA30" s="76">
        <f t="shared" si="18"/>
        <v>0.6666666667</v>
      </c>
      <c r="AB30" s="76">
        <f t="shared" si="19"/>
        <v>0.6666666667</v>
      </c>
      <c r="AC30" s="76">
        <f t="shared" si="20"/>
        <v>0.9166666667</v>
      </c>
      <c r="AD30" s="76">
        <f t="shared" si="21"/>
        <v>1</v>
      </c>
      <c r="AE30" s="76">
        <f t="shared" si="22"/>
        <v>0.5833333333</v>
      </c>
      <c r="AF30" s="76">
        <f t="shared" si="23"/>
        <v>0.8333333333</v>
      </c>
      <c r="AG30" s="76">
        <f t="shared" si="24"/>
        <v>0.8333333333</v>
      </c>
      <c r="AH30" s="76">
        <f t="shared" si="25"/>
        <v>0.9333333333</v>
      </c>
      <c r="AI30" s="76">
        <f t="shared" si="26"/>
        <v>0.6666666667</v>
      </c>
      <c r="AJ30" s="76">
        <f t="shared" si="27"/>
        <v>0.8083333333</v>
      </c>
      <c r="AK30" s="76">
        <f t="shared" si="28"/>
        <v>1</v>
      </c>
      <c r="AL30" s="76" t="str">
        <f t="shared" si="29"/>
        <v>20260629|Carousel</v>
      </c>
      <c r="AM30" s="76">
        <f t="shared" si="30"/>
        <v>0</v>
      </c>
      <c r="AN30" s="76" t="str">
        <f t="shared" si="31"/>
        <v/>
      </c>
      <c r="AO30" s="76">
        <f t="shared" si="32"/>
        <v>0.8083336233</v>
      </c>
      <c r="AP30" s="76">
        <f t="shared" si="33"/>
        <v>202606</v>
      </c>
    </row>
    <row r="31" ht="15.75" customHeight="1">
      <c r="A31" s="79">
        <f>IF('Manual Entry'!A29="","",'Manual Entry'!A29)</f>
        <v>46203</v>
      </c>
      <c r="B31" s="79">
        <f t="shared" si="3"/>
        <v>46202</v>
      </c>
      <c r="C31" s="76" t="str">
        <f t="shared" si="4"/>
        <v>2026-06</v>
      </c>
      <c r="D31" s="76" t="str">
        <f>'Manual Entry'!D29</f>
        <v/>
      </c>
      <c r="E31" s="76" t="str">
        <f>'Manual Entry'!B29</f>
        <v>Lifestyle more important than genetics</v>
      </c>
      <c r="F31" s="76" t="str">
        <f>'Manual Entry'!F29</f>
        <v>Talking Head with or without Props</v>
      </c>
      <c r="G31" s="76" t="str">
        <f>'Manual Entry'!G29</f>
        <v>Reel</v>
      </c>
      <c r="H31" s="76" t="str">
        <f>'Manual Entry'!H29</f>
        <v/>
      </c>
      <c r="I31" s="78">
        <f>'Manual Entry'!I29</f>
        <v>23371</v>
      </c>
      <c r="J31" s="78">
        <f>'Manual Entry'!J29</f>
        <v>156</v>
      </c>
      <c r="K31" s="78">
        <f>'Manual Entry'!K29</f>
        <v>7</v>
      </c>
      <c r="L31" s="78">
        <f>'Manual Entry'!L29</f>
        <v>14</v>
      </c>
      <c r="M31" s="78">
        <f>'Manual Entry'!M29</f>
        <v>18</v>
      </c>
      <c r="N31" s="78">
        <f>'Manual Entry'!N29</f>
        <v>19089</v>
      </c>
      <c r="O31" s="76">
        <f t="shared" si="6"/>
        <v>0.008172245796</v>
      </c>
      <c r="P31" s="76">
        <f t="shared" si="7"/>
        <v>0.000366703337</v>
      </c>
      <c r="Q31" s="76">
        <f t="shared" si="8"/>
        <v>0.000733406674</v>
      </c>
      <c r="R31" s="76">
        <f t="shared" si="9"/>
        <v>0.000942951438</v>
      </c>
      <c r="S31" s="76">
        <f t="shared" si="10"/>
        <v>0</v>
      </c>
      <c r="T31" s="76">
        <f t="shared" si="11"/>
        <v>0</v>
      </c>
      <c r="U31" s="76">
        <f t="shared" si="12"/>
        <v>1</v>
      </c>
      <c r="V31" s="76">
        <f t="shared" si="13"/>
        <v>0</v>
      </c>
      <c r="W31" s="76">
        <f t="shared" si="14"/>
        <v>0</v>
      </c>
      <c r="X31" s="76">
        <f t="shared" si="15"/>
        <v>0.5</v>
      </c>
      <c r="Y31" s="76">
        <f t="shared" si="16"/>
        <v>0.3333333333</v>
      </c>
      <c r="Z31" s="76">
        <f t="shared" si="17"/>
        <v>0</v>
      </c>
      <c r="AA31" s="76">
        <f t="shared" si="18"/>
        <v>0</v>
      </c>
      <c r="AB31" s="76">
        <f t="shared" si="19"/>
        <v>0.1666666667</v>
      </c>
      <c r="AC31" s="76">
        <f t="shared" si="20"/>
        <v>0.5</v>
      </c>
      <c r="AD31" s="76">
        <f t="shared" si="21"/>
        <v>0.25</v>
      </c>
      <c r="AE31" s="76">
        <f t="shared" si="22"/>
        <v>0.25</v>
      </c>
      <c r="AF31" s="76">
        <f t="shared" si="23"/>
        <v>0</v>
      </c>
      <c r="AG31" s="76">
        <f t="shared" si="24"/>
        <v>0.125</v>
      </c>
      <c r="AH31" s="76">
        <f t="shared" si="25"/>
        <v>0.25</v>
      </c>
      <c r="AI31" s="76">
        <f t="shared" si="26"/>
        <v>0.175</v>
      </c>
      <c r="AJ31" s="76">
        <f t="shared" si="27"/>
        <v>0.21875</v>
      </c>
      <c r="AK31" s="76">
        <f t="shared" si="28"/>
        <v>0</v>
      </c>
      <c r="AL31" s="76" t="str">
        <f t="shared" si="29"/>
        <v/>
      </c>
      <c r="AM31" s="76">
        <f t="shared" si="30"/>
        <v>0</v>
      </c>
      <c r="AN31" s="76" t="str">
        <f t="shared" si="31"/>
        <v/>
      </c>
      <c r="AO31" s="76">
        <f t="shared" si="32"/>
        <v>0.2187503</v>
      </c>
      <c r="AP31" s="76">
        <f t="shared" si="33"/>
        <v>202606</v>
      </c>
    </row>
    <row r="32" ht="15.75" customHeight="1">
      <c r="A32" s="76" t="str">
        <f>IF(#REF!="","",#REF!)</f>
        <v>#REF!</v>
      </c>
      <c r="B32" s="76" t="str">
        <f t="shared" si="3"/>
        <v>#REF!</v>
      </c>
      <c r="C32" s="76" t="str">
        <f t="shared" si="4"/>
        <v>#REF!</v>
      </c>
      <c r="D32" s="76" t="str">
        <f t="shared" ref="D32:N32" si="55">#REF!</f>
        <v>#REF!</v>
      </c>
      <c r="E32" s="76" t="str">
        <f t="shared" si="55"/>
        <v>#REF!</v>
      </c>
      <c r="F32" s="76" t="str">
        <f t="shared" si="55"/>
        <v>#REF!</v>
      </c>
      <c r="G32" s="76" t="str">
        <f t="shared" si="55"/>
        <v>#REF!</v>
      </c>
      <c r="H32" s="76" t="str">
        <f t="shared" si="55"/>
        <v>#REF!</v>
      </c>
      <c r="I32" s="78" t="str">
        <f t="shared" si="55"/>
        <v>#REF!</v>
      </c>
      <c r="J32" s="78" t="str">
        <f t="shared" si="55"/>
        <v>#REF!</v>
      </c>
      <c r="K32" s="78" t="str">
        <f t="shared" si="55"/>
        <v>#REF!</v>
      </c>
      <c r="L32" s="78" t="str">
        <f t="shared" si="55"/>
        <v>#REF!</v>
      </c>
      <c r="M32" s="78" t="str">
        <f t="shared" si="55"/>
        <v>#REF!</v>
      </c>
      <c r="N32" s="78" t="str">
        <f t="shared" si="55"/>
        <v>#REF!</v>
      </c>
      <c r="O32" s="76">
        <f t="shared" si="6"/>
        <v>0</v>
      </c>
      <c r="P32" s="76">
        <f t="shared" si="7"/>
        <v>0</v>
      </c>
      <c r="Q32" s="76">
        <f t="shared" si="8"/>
        <v>0</v>
      </c>
      <c r="R32" s="76">
        <f t="shared" si="9"/>
        <v>0</v>
      </c>
      <c r="S32" s="76" t="str">
        <f t="shared" si="10"/>
        <v>#REF!</v>
      </c>
      <c r="T32" s="76" t="str">
        <f t="shared" si="11"/>
        <v>#REF!</v>
      </c>
      <c r="U32" s="76" t="str">
        <f t="shared" si="12"/>
        <v>#REF!</v>
      </c>
      <c r="V32" s="76" t="str">
        <f t="shared" si="13"/>
        <v>#REF!</v>
      </c>
      <c r="W32" s="76" t="str">
        <f t="shared" si="14"/>
        <v>#REF!</v>
      </c>
      <c r="X32" s="76" t="str">
        <f t="shared" si="15"/>
        <v>#REF!</v>
      </c>
      <c r="Y32" s="76" t="str">
        <f t="shared" si="16"/>
        <v>#REF!</v>
      </c>
      <c r="Z32" s="76" t="str">
        <f t="shared" si="17"/>
        <v>#REF!</v>
      </c>
      <c r="AA32" s="76" t="str">
        <f t="shared" si="18"/>
        <v>#REF!</v>
      </c>
      <c r="AB32" s="76" t="str">
        <f t="shared" si="19"/>
        <v>#REF!</v>
      </c>
      <c r="AC32" s="76" t="str">
        <f t="shared" si="20"/>
        <v>#REF!</v>
      </c>
      <c r="AD32" s="76" t="str">
        <f t="shared" si="21"/>
        <v>#REF!</v>
      </c>
      <c r="AE32" s="76" t="str">
        <f t="shared" si="22"/>
        <v>#REF!</v>
      </c>
      <c r="AF32" s="76" t="str">
        <f t="shared" si="23"/>
        <v>#REF!</v>
      </c>
      <c r="AG32" s="76" t="str">
        <f t="shared" si="24"/>
        <v>#REF!</v>
      </c>
      <c r="AH32" s="76" t="str">
        <f t="shared" si="25"/>
        <v>#REF!</v>
      </c>
      <c r="AI32" s="76" t="str">
        <f t="shared" si="26"/>
        <v>#REF!</v>
      </c>
      <c r="AJ32" s="76" t="str">
        <f t="shared" si="27"/>
        <v>#REF!</v>
      </c>
      <c r="AK32" s="76" t="str">
        <f t="shared" si="28"/>
        <v>#REF!</v>
      </c>
      <c r="AL32" s="76" t="str">
        <f t="shared" si="29"/>
        <v>#REF!</v>
      </c>
      <c r="AM32" s="76" t="str">
        <f t="shared" si="30"/>
        <v>#REF!</v>
      </c>
      <c r="AN32" s="76" t="str">
        <f t="shared" si="31"/>
        <v>#REF!</v>
      </c>
      <c r="AO32" s="76" t="str">
        <f t="shared" si="32"/>
        <v>#REF!</v>
      </c>
      <c r="AP32" s="76" t="str">
        <f t="shared" si="33"/>
        <v>#REF!</v>
      </c>
    </row>
    <row r="33" ht="15.75" customHeight="1">
      <c r="A33" s="79">
        <f>IF('Manual Entry'!A30="","",'Manual Entry'!A30)</f>
        <v>46204</v>
      </c>
      <c r="B33" s="79">
        <f t="shared" si="3"/>
        <v>46202</v>
      </c>
      <c r="C33" s="76" t="str">
        <f t="shared" si="4"/>
        <v>2026-07</v>
      </c>
      <c r="D33" s="76" t="str">
        <f>'Manual Entry'!D30</f>
        <v/>
      </c>
      <c r="E33" s="76" t="str">
        <f>'Manual Entry'!B30</f>
        <v>3 Types of Fat</v>
      </c>
      <c r="F33" s="76" t="str">
        <f>'Manual Entry'!F30</f>
        <v>Carousel - Answering Questions</v>
      </c>
      <c r="G33" s="76" t="str">
        <f>'Manual Entry'!G30</f>
        <v>Carousel</v>
      </c>
      <c r="H33" s="76" t="str">
        <f>'Manual Entry'!H30</f>
        <v/>
      </c>
      <c r="I33" s="78">
        <f>'Manual Entry'!I30</f>
        <v>154879</v>
      </c>
      <c r="J33" s="78">
        <f>'Manual Entry'!J30</f>
        <v>658</v>
      </c>
      <c r="K33" s="78">
        <f>'Manual Entry'!K30</f>
        <v>4</v>
      </c>
      <c r="L33" s="78">
        <f>'Manual Entry'!L30</f>
        <v>799</v>
      </c>
      <c r="M33" s="78">
        <f>'Manual Entry'!M30</f>
        <v>798</v>
      </c>
      <c r="N33" s="78">
        <f>'Manual Entry'!N30</f>
        <v>88779</v>
      </c>
      <c r="O33" s="76">
        <f t="shared" si="6"/>
        <v>0.007411662668</v>
      </c>
      <c r="P33" s="76">
        <f t="shared" si="7"/>
        <v>0.00004505570011</v>
      </c>
      <c r="Q33" s="76">
        <f t="shared" si="8"/>
        <v>0.008999876097</v>
      </c>
      <c r="R33" s="76">
        <f t="shared" si="9"/>
        <v>0.008988612172</v>
      </c>
      <c r="S33" s="76">
        <f t="shared" si="10"/>
        <v>0.6666666667</v>
      </c>
      <c r="T33" s="76">
        <f t="shared" si="11"/>
        <v>0.3333333333</v>
      </c>
      <c r="U33" s="76">
        <f t="shared" si="12"/>
        <v>0.3333333333</v>
      </c>
      <c r="V33" s="76">
        <f t="shared" si="13"/>
        <v>0.6666666667</v>
      </c>
      <c r="W33" s="76">
        <f t="shared" si="14"/>
        <v>0.6666666667</v>
      </c>
      <c r="X33" s="76">
        <f t="shared" si="15"/>
        <v>0.8</v>
      </c>
      <c r="Y33" s="76">
        <f t="shared" si="16"/>
        <v>0.4</v>
      </c>
      <c r="Z33" s="76">
        <f t="shared" si="17"/>
        <v>0.4</v>
      </c>
      <c r="AA33" s="76">
        <f t="shared" si="18"/>
        <v>0.8</v>
      </c>
      <c r="AB33" s="76">
        <f t="shared" si="19"/>
        <v>0.8</v>
      </c>
      <c r="AC33" s="76">
        <f t="shared" si="20"/>
        <v>0.5</v>
      </c>
      <c r="AD33" s="76">
        <f t="shared" si="21"/>
        <v>0.1666666667</v>
      </c>
      <c r="AE33" s="76">
        <f t="shared" si="22"/>
        <v>0.1666666667</v>
      </c>
      <c r="AF33" s="76">
        <f t="shared" si="23"/>
        <v>0.5</v>
      </c>
      <c r="AG33" s="76">
        <f t="shared" si="24"/>
        <v>0.5833333333</v>
      </c>
      <c r="AH33" s="76">
        <f t="shared" si="25"/>
        <v>0.5666666667</v>
      </c>
      <c r="AI33" s="76">
        <f t="shared" si="26"/>
        <v>0.68</v>
      </c>
      <c r="AJ33" s="76">
        <f t="shared" si="27"/>
        <v>0.425</v>
      </c>
      <c r="AK33" s="76">
        <f t="shared" si="28"/>
        <v>0</v>
      </c>
      <c r="AL33" s="76" t="str">
        <f t="shared" si="29"/>
        <v/>
      </c>
      <c r="AM33" s="76">
        <f t="shared" si="30"/>
        <v>0</v>
      </c>
      <c r="AN33" s="76" t="str">
        <f t="shared" si="31"/>
        <v/>
      </c>
      <c r="AO33" s="76">
        <f t="shared" si="32"/>
        <v>0.42500032</v>
      </c>
      <c r="AP33" s="76">
        <f t="shared" si="33"/>
        <v>202607</v>
      </c>
    </row>
    <row r="34" ht="15.75" customHeight="1">
      <c r="A34" s="79">
        <f>IF('Manual Entry'!A31="","",'Manual Entry'!A31)</f>
        <v>46205</v>
      </c>
      <c r="B34" s="79">
        <f t="shared" si="3"/>
        <v>46202</v>
      </c>
      <c r="C34" s="76" t="str">
        <f t="shared" si="4"/>
        <v>2026-07</v>
      </c>
      <c r="D34" s="76" t="str">
        <f>'Manual Entry'!D31</f>
        <v/>
      </c>
      <c r="E34" s="76" t="str">
        <f>'Manual Entry'!B31</f>
        <v>Indian breakfast dangerous than cake</v>
      </c>
      <c r="F34" s="76" t="str">
        <f>'Manual Entry'!F31</f>
        <v>Carousel - Answering Questions</v>
      </c>
      <c r="G34" s="76" t="str">
        <f>'Manual Entry'!G31</f>
        <v>Carousel</v>
      </c>
      <c r="H34" s="76" t="str">
        <f>'Manual Entry'!H31</f>
        <v/>
      </c>
      <c r="I34" s="78">
        <f>'Manual Entry'!I31</f>
        <v>90580</v>
      </c>
      <c r="J34" s="78">
        <f>'Manual Entry'!J31</f>
        <v>394</v>
      </c>
      <c r="K34" s="78">
        <f>'Manual Entry'!K31</f>
        <v>8</v>
      </c>
      <c r="L34" s="78">
        <f>'Manual Entry'!L31</f>
        <v>275</v>
      </c>
      <c r="M34" s="78">
        <f>'Manual Entry'!M31</f>
        <v>354</v>
      </c>
      <c r="N34" s="78">
        <f>'Manual Entry'!N31</f>
        <v>45267</v>
      </c>
      <c r="O34" s="76">
        <f t="shared" si="6"/>
        <v>0.008703912342</v>
      </c>
      <c r="P34" s="76">
        <f t="shared" si="7"/>
        <v>0.0001767291846</v>
      </c>
      <c r="Q34" s="76">
        <f t="shared" si="8"/>
        <v>0.006075065721</v>
      </c>
      <c r="R34" s="76">
        <f t="shared" si="9"/>
        <v>0.007820266419</v>
      </c>
      <c r="S34" s="76">
        <f t="shared" si="10"/>
        <v>0.3333333333</v>
      </c>
      <c r="T34" s="76">
        <f t="shared" si="11"/>
        <v>0.6666666667</v>
      </c>
      <c r="U34" s="76">
        <f t="shared" si="12"/>
        <v>1</v>
      </c>
      <c r="V34" s="76">
        <f t="shared" si="13"/>
        <v>0.3333333333</v>
      </c>
      <c r="W34" s="76">
        <f t="shared" si="14"/>
        <v>0.3333333333</v>
      </c>
      <c r="X34" s="76">
        <f t="shared" si="15"/>
        <v>0.6</v>
      </c>
      <c r="Y34" s="76">
        <f t="shared" si="16"/>
        <v>0.6</v>
      </c>
      <c r="Z34" s="76">
        <f t="shared" si="17"/>
        <v>1</v>
      </c>
      <c r="AA34" s="76">
        <f t="shared" si="18"/>
        <v>0.4</v>
      </c>
      <c r="AB34" s="76">
        <f t="shared" si="19"/>
        <v>0.4</v>
      </c>
      <c r="AC34" s="76">
        <f t="shared" si="20"/>
        <v>0.4166666667</v>
      </c>
      <c r="AD34" s="76">
        <f t="shared" si="21"/>
        <v>0.4166666667</v>
      </c>
      <c r="AE34" s="76">
        <f t="shared" si="22"/>
        <v>0.75</v>
      </c>
      <c r="AF34" s="76">
        <f t="shared" si="23"/>
        <v>0.3333333333</v>
      </c>
      <c r="AG34" s="76">
        <f t="shared" si="24"/>
        <v>0.4166666667</v>
      </c>
      <c r="AH34" s="76">
        <f t="shared" si="25"/>
        <v>0.5</v>
      </c>
      <c r="AI34" s="76">
        <f t="shared" si="26"/>
        <v>0.56</v>
      </c>
      <c r="AJ34" s="76">
        <f t="shared" si="27"/>
        <v>0.4583333333</v>
      </c>
      <c r="AK34" s="76">
        <f t="shared" si="28"/>
        <v>0</v>
      </c>
      <c r="AL34" s="76" t="str">
        <f t="shared" si="29"/>
        <v/>
      </c>
      <c r="AM34" s="76">
        <f t="shared" si="30"/>
        <v>0</v>
      </c>
      <c r="AN34" s="76" t="str">
        <f t="shared" si="31"/>
        <v/>
      </c>
      <c r="AO34" s="76">
        <f t="shared" si="32"/>
        <v>0.4583336633</v>
      </c>
      <c r="AP34" s="76">
        <f t="shared" si="33"/>
        <v>202607</v>
      </c>
    </row>
    <row r="35" ht="15.75" customHeight="1">
      <c r="A35" s="79">
        <f>IF('Manual Entry'!A32="","",'Manual Entry'!A32)</f>
        <v>46206</v>
      </c>
      <c r="B35" s="79">
        <f t="shared" si="3"/>
        <v>46202</v>
      </c>
      <c r="C35" s="76" t="str">
        <f t="shared" si="4"/>
        <v>2026-07</v>
      </c>
      <c r="D35" s="76" t="str">
        <f>'Manual Entry'!D32</f>
        <v/>
      </c>
      <c r="E35" s="76" t="str">
        <f>'Manual Entry'!B17</f>
        <v>Tips for Effective sleep</v>
      </c>
      <c r="F35" s="76" t="str">
        <f>'Manual Entry'!F32</f>
        <v>Talking Head with or without Props</v>
      </c>
      <c r="G35" s="76" t="str">
        <f>'Manual Entry'!G32</f>
        <v>Reel</v>
      </c>
      <c r="H35" s="76" t="str">
        <f>'Manual Entry'!H32</f>
        <v/>
      </c>
      <c r="I35" s="78" t="str">
        <f>#REF!</f>
        <v>#REF!</v>
      </c>
      <c r="J35" s="78">
        <f>'Manual Entry'!J32</f>
        <v>418</v>
      </c>
      <c r="K35" s="78">
        <f>'Manual Entry'!K32</f>
        <v>10</v>
      </c>
      <c r="L35" s="78">
        <f>'Manual Entry'!L32</f>
        <v>379</v>
      </c>
      <c r="M35" s="78">
        <f>'Manual Entry'!M32</f>
        <v>181</v>
      </c>
      <c r="N35" s="78">
        <f>'Manual Entry'!N32</f>
        <v>28934</v>
      </c>
      <c r="O35" s="76">
        <f t="shared" si="6"/>
        <v>0.01444667174</v>
      </c>
      <c r="P35" s="76">
        <f t="shared" si="7"/>
        <v>0.0003456141564</v>
      </c>
      <c r="Q35" s="76">
        <f t="shared" si="8"/>
        <v>0.01309877653</v>
      </c>
      <c r="R35" s="76">
        <f t="shared" si="9"/>
        <v>0.00625561623</v>
      </c>
      <c r="S35" s="76">
        <f t="shared" si="10"/>
        <v>1</v>
      </c>
      <c r="T35" s="76">
        <f t="shared" si="11"/>
        <v>1</v>
      </c>
      <c r="U35" s="76">
        <f t="shared" si="12"/>
        <v>0</v>
      </c>
      <c r="V35" s="76">
        <f t="shared" si="13"/>
        <v>1</v>
      </c>
      <c r="W35" s="76">
        <f t="shared" si="14"/>
        <v>1</v>
      </c>
      <c r="X35" s="76">
        <f t="shared" si="15"/>
        <v>1</v>
      </c>
      <c r="Y35" s="76">
        <f t="shared" si="16"/>
        <v>1</v>
      </c>
      <c r="Z35" s="76">
        <f t="shared" si="17"/>
        <v>1</v>
      </c>
      <c r="AA35" s="76">
        <f t="shared" si="18"/>
        <v>1</v>
      </c>
      <c r="AB35" s="76">
        <f t="shared" si="19"/>
        <v>1</v>
      </c>
      <c r="AC35" s="76">
        <f t="shared" si="20"/>
        <v>0.125</v>
      </c>
      <c r="AD35" s="76">
        <f t="shared" si="21"/>
        <v>0.875</v>
      </c>
      <c r="AE35" s="76">
        <f t="shared" si="22"/>
        <v>0.125</v>
      </c>
      <c r="AF35" s="76">
        <f t="shared" si="23"/>
        <v>1</v>
      </c>
      <c r="AG35" s="76">
        <f t="shared" si="24"/>
        <v>1</v>
      </c>
      <c r="AH35" s="76">
        <f t="shared" si="25"/>
        <v>0.75</v>
      </c>
      <c r="AI35" s="76">
        <f t="shared" si="26"/>
        <v>1</v>
      </c>
      <c r="AJ35" s="76">
        <f t="shared" si="27"/>
        <v>0.5875</v>
      </c>
      <c r="AK35" s="76">
        <f t="shared" si="28"/>
        <v>1</v>
      </c>
      <c r="AL35" s="76" t="str">
        <f t="shared" si="29"/>
        <v>20260629|Reel</v>
      </c>
      <c r="AM35" s="76">
        <f t="shared" si="30"/>
        <v>1</v>
      </c>
      <c r="AN35" s="76" t="str">
        <f t="shared" si="31"/>
        <v>2026-07|Reel</v>
      </c>
      <c r="AO35" s="76">
        <f t="shared" si="32"/>
        <v>0.58750034</v>
      </c>
      <c r="AP35" s="76">
        <f t="shared" si="33"/>
        <v>202607</v>
      </c>
    </row>
    <row r="36" ht="15.75" customHeight="1">
      <c r="A36" s="79">
        <f>IF('Manual Entry'!A33="","",'Manual Entry'!A33)</f>
        <v>46207</v>
      </c>
      <c r="B36" s="79">
        <f t="shared" si="3"/>
        <v>46202</v>
      </c>
      <c r="C36" s="76" t="str">
        <f t="shared" si="4"/>
        <v>2026-07</v>
      </c>
      <c r="D36" s="76" t="str">
        <f>'Manual Entry'!D33</f>
        <v/>
      </c>
      <c r="E36" s="76" t="str">
        <f>'Manual Entry'!B33</f>
        <v>Diabetes Then Vs Now</v>
      </c>
      <c r="F36" s="76" t="str">
        <f>'Manual Entry'!F33</f>
        <v>Carousel - Answering Questions</v>
      </c>
      <c r="G36" s="76" t="str">
        <f>'Manual Entry'!G33</f>
        <v>Carousel</v>
      </c>
      <c r="H36" s="76" t="str">
        <f>'Manual Entry'!H33</f>
        <v/>
      </c>
      <c r="I36" s="78">
        <f>'Manual Entry'!I32</f>
        <v>35823</v>
      </c>
      <c r="J36" s="78">
        <f>'Manual Entry'!N33</f>
        <v>24994</v>
      </c>
      <c r="K36" s="78">
        <f>'Manual Entry'!J33</f>
        <v>354</v>
      </c>
      <c r="L36" s="78">
        <f>'Manual Entry'!K33</f>
        <v>9</v>
      </c>
      <c r="M36" s="78">
        <f>'Manual Entry'!M33</f>
        <v>224</v>
      </c>
      <c r="N36" s="78" t="str">
        <f>#REF!</f>
        <v>#REF!</v>
      </c>
      <c r="O36" s="76">
        <f t="shared" si="6"/>
        <v>0</v>
      </c>
      <c r="P36" s="76">
        <f t="shared" si="7"/>
        <v>0</v>
      </c>
      <c r="Q36" s="76">
        <f t="shared" si="8"/>
        <v>0</v>
      </c>
      <c r="R36" s="76">
        <f t="shared" si="9"/>
        <v>0</v>
      </c>
      <c r="S36" s="76">
        <f t="shared" si="10"/>
        <v>0</v>
      </c>
      <c r="T36" s="76">
        <f t="shared" si="11"/>
        <v>0</v>
      </c>
      <c r="U36" s="76">
        <f t="shared" si="12"/>
        <v>0</v>
      </c>
      <c r="V36" s="76">
        <f t="shared" si="13"/>
        <v>0</v>
      </c>
      <c r="W36" s="76">
        <f t="shared" si="14"/>
        <v>0</v>
      </c>
      <c r="X36" s="76">
        <f t="shared" si="15"/>
        <v>0</v>
      </c>
      <c r="Y36" s="76">
        <f t="shared" si="16"/>
        <v>0</v>
      </c>
      <c r="Z36" s="76">
        <f t="shared" si="17"/>
        <v>0</v>
      </c>
      <c r="AA36" s="76">
        <f t="shared" si="18"/>
        <v>0</v>
      </c>
      <c r="AB36" s="76">
        <f t="shared" si="19"/>
        <v>0</v>
      </c>
      <c r="AC36" s="76">
        <f t="shared" si="20"/>
        <v>0.08333333333</v>
      </c>
      <c r="AD36" s="76">
        <f t="shared" si="21"/>
        <v>0</v>
      </c>
      <c r="AE36" s="76">
        <f t="shared" si="22"/>
        <v>0</v>
      </c>
      <c r="AF36" s="76">
        <f t="shared" si="23"/>
        <v>0</v>
      </c>
      <c r="AG36" s="76">
        <f t="shared" si="24"/>
        <v>0</v>
      </c>
      <c r="AH36" s="76">
        <f t="shared" si="25"/>
        <v>0</v>
      </c>
      <c r="AI36" s="76">
        <f t="shared" si="26"/>
        <v>0</v>
      </c>
      <c r="AJ36" s="76">
        <f t="shared" si="27"/>
        <v>0.008333333333</v>
      </c>
      <c r="AK36" s="76">
        <f t="shared" si="28"/>
        <v>0</v>
      </c>
      <c r="AL36" s="76" t="str">
        <f t="shared" si="29"/>
        <v/>
      </c>
      <c r="AM36" s="76">
        <f t="shared" si="30"/>
        <v>0</v>
      </c>
      <c r="AN36" s="76" t="str">
        <f t="shared" si="31"/>
        <v/>
      </c>
      <c r="AO36" s="76">
        <f t="shared" si="32"/>
        <v>0.008333683333</v>
      </c>
      <c r="AP36" s="76">
        <f t="shared" si="33"/>
        <v>202607</v>
      </c>
    </row>
    <row r="37" ht="15.75" customHeight="1">
      <c r="A37" s="79">
        <f>IF('Manual Entry'!A34="","",'Manual Entry'!A34)</f>
        <v>46209</v>
      </c>
      <c r="B37" s="79">
        <f t="shared" si="3"/>
        <v>46209</v>
      </c>
      <c r="C37" s="76" t="str">
        <f t="shared" si="4"/>
        <v>2026-07</v>
      </c>
      <c r="D37" s="76" t="str">
        <f>'Manual Entry'!D34</f>
        <v/>
      </c>
      <c r="E37" s="76" t="str">
        <f>'Manual Entry'!B34</f>
        <v>Not treating Diabetes, only managaing symptoms</v>
      </c>
      <c r="F37" s="76" t="str">
        <f>'Manual Entry'!F34</f>
        <v>Talking Head - If You Feel/Have X, Check These Blood Markers</v>
      </c>
      <c r="G37" s="76" t="str">
        <f>'Manual Entry'!G34</f>
        <v>Reel</v>
      </c>
      <c r="H37" s="76" t="str">
        <f>'Manual Entry'!H34</f>
        <v/>
      </c>
      <c r="I37" s="78">
        <f>'Manual Entry'!I34</f>
        <v>15096</v>
      </c>
      <c r="J37" s="78">
        <f>'Manual Entry'!J34</f>
        <v>99</v>
      </c>
      <c r="K37" s="78">
        <f>'Manual Entry'!K34</f>
        <v>0</v>
      </c>
      <c r="L37" s="78">
        <f>'Manual Entry'!L34</f>
        <v>20</v>
      </c>
      <c r="M37" s="78">
        <f>'Manual Entry'!M34</f>
        <v>21</v>
      </c>
      <c r="N37" s="78">
        <f>'Manual Entry'!N34</f>
        <v>12053</v>
      </c>
      <c r="O37" s="76">
        <f t="shared" si="6"/>
        <v>0.008213722725</v>
      </c>
      <c r="P37" s="76">
        <f t="shared" si="7"/>
        <v>0</v>
      </c>
      <c r="Q37" s="76">
        <f t="shared" si="8"/>
        <v>0.001659337924</v>
      </c>
      <c r="R37" s="76">
        <f t="shared" si="9"/>
        <v>0.00174230482</v>
      </c>
      <c r="S37" s="76">
        <f t="shared" si="10"/>
        <v>1</v>
      </c>
      <c r="T37" s="76">
        <f t="shared" si="11"/>
        <v>1</v>
      </c>
      <c r="U37" s="76">
        <f t="shared" si="12"/>
        <v>1</v>
      </c>
      <c r="V37" s="76">
        <f t="shared" si="13"/>
        <v>1</v>
      </c>
      <c r="W37" s="76">
        <f t="shared" si="14"/>
        <v>1</v>
      </c>
      <c r="X37" s="76">
        <f t="shared" si="15"/>
        <v>0</v>
      </c>
      <c r="Y37" s="76">
        <f t="shared" si="16"/>
        <v>0</v>
      </c>
      <c r="Z37" s="76">
        <f t="shared" si="17"/>
        <v>0</v>
      </c>
      <c r="AA37" s="76">
        <f t="shared" si="18"/>
        <v>0</v>
      </c>
      <c r="AB37" s="76">
        <f t="shared" si="19"/>
        <v>0</v>
      </c>
      <c r="AC37" s="76">
        <f t="shared" si="20"/>
        <v>0</v>
      </c>
      <c r="AD37" s="76">
        <f t="shared" si="21"/>
        <v>0.375</v>
      </c>
      <c r="AE37" s="76">
        <f t="shared" si="22"/>
        <v>0</v>
      </c>
      <c r="AF37" s="76">
        <f t="shared" si="23"/>
        <v>0.125</v>
      </c>
      <c r="AG37" s="76">
        <f t="shared" si="24"/>
        <v>0.25</v>
      </c>
      <c r="AH37" s="76">
        <f t="shared" si="25"/>
        <v>1</v>
      </c>
      <c r="AI37" s="76">
        <f t="shared" si="26"/>
        <v>0</v>
      </c>
      <c r="AJ37" s="76">
        <f t="shared" si="27"/>
        <v>0.125</v>
      </c>
      <c r="AK37" s="76">
        <f t="shared" si="28"/>
        <v>1</v>
      </c>
      <c r="AL37" s="76" t="str">
        <f t="shared" si="29"/>
        <v>20260706|Reel</v>
      </c>
      <c r="AM37" s="76">
        <f t="shared" si="30"/>
        <v>0</v>
      </c>
      <c r="AN37" s="76" t="str">
        <f t="shared" si="31"/>
        <v/>
      </c>
      <c r="AO37" s="76">
        <f t="shared" si="32"/>
        <v>0.12500036</v>
      </c>
      <c r="AP37" s="76">
        <f t="shared" si="33"/>
        <v>202607</v>
      </c>
    </row>
    <row r="38" ht="15.75" customHeight="1">
      <c r="A38" s="79">
        <f>IF('Manual Entry'!A35="","",'Manual Entry'!A35)</f>
        <v>46210</v>
      </c>
      <c r="B38" s="79">
        <f t="shared" si="3"/>
        <v>46209</v>
      </c>
      <c r="C38" s="76" t="str">
        <f t="shared" si="4"/>
        <v>2026-07</v>
      </c>
      <c r="D38" s="76" t="str">
        <f>'Manual Entry'!D35</f>
        <v/>
      </c>
      <c r="E38" s="76" t="str">
        <f>'Manual Entry'!B35</f>
        <v>Indian sitting for a whole day</v>
      </c>
      <c r="F38" s="76" t="str">
        <f>'Manual Entry'!F35</f>
        <v>Carousel - Answering Questions</v>
      </c>
      <c r="G38" s="76" t="str">
        <f>'Manual Entry'!G35</f>
        <v>Carousel</v>
      </c>
      <c r="H38" s="76" t="str">
        <f>'Manual Entry'!H35</f>
        <v/>
      </c>
      <c r="I38" s="78">
        <f>'Manual Entry'!I35</f>
        <v>88168</v>
      </c>
      <c r="J38" s="78">
        <f>'Manual Entry'!J35</f>
        <v>612</v>
      </c>
      <c r="K38" s="78">
        <f>'Manual Entry'!K35</f>
        <v>4</v>
      </c>
      <c r="L38" s="78">
        <f>'Manual Entry'!L35</f>
        <v>638</v>
      </c>
      <c r="M38" s="78">
        <f>'Manual Entry'!M35</f>
        <v>476</v>
      </c>
      <c r="N38" s="78">
        <f>'Manual Entry'!N35</f>
        <v>44678</v>
      </c>
      <c r="O38" s="76">
        <f t="shared" si="6"/>
        <v>0.01369801692</v>
      </c>
      <c r="P38" s="76">
        <f t="shared" si="7"/>
        <v>0.00008952952236</v>
      </c>
      <c r="Q38" s="76">
        <f t="shared" si="8"/>
        <v>0.01427995882</v>
      </c>
      <c r="R38" s="76">
        <f t="shared" si="9"/>
        <v>0.01065401316</v>
      </c>
      <c r="S38" s="76">
        <f t="shared" si="10"/>
        <v>0.5</v>
      </c>
      <c r="T38" s="76">
        <f t="shared" si="11"/>
        <v>1</v>
      </c>
      <c r="U38" s="76">
        <f t="shared" si="12"/>
        <v>0.5</v>
      </c>
      <c r="V38" s="76">
        <f t="shared" si="13"/>
        <v>1</v>
      </c>
      <c r="W38" s="76">
        <f t="shared" si="14"/>
        <v>1</v>
      </c>
      <c r="X38" s="76">
        <f t="shared" si="15"/>
        <v>0.4</v>
      </c>
      <c r="Y38" s="76">
        <f t="shared" si="16"/>
        <v>1</v>
      </c>
      <c r="Z38" s="76">
        <f t="shared" si="17"/>
        <v>0.6</v>
      </c>
      <c r="AA38" s="76">
        <f t="shared" si="18"/>
        <v>1</v>
      </c>
      <c r="AB38" s="76">
        <f t="shared" si="19"/>
        <v>1</v>
      </c>
      <c r="AC38" s="76">
        <f t="shared" si="20"/>
        <v>0.3333333333</v>
      </c>
      <c r="AD38" s="76">
        <f t="shared" si="21"/>
        <v>0.8333333333</v>
      </c>
      <c r="AE38" s="76">
        <f t="shared" si="22"/>
        <v>0.25</v>
      </c>
      <c r="AF38" s="76">
        <f t="shared" si="23"/>
        <v>0.6666666667</v>
      </c>
      <c r="AG38" s="76">
        <f t="shared" si="24"/>
        <v>0.75</v>
      </c>
      <c r="AH38" s="76">
        <f t="shared" si="25"/>
        <v>0.85</v>
      </c>
      <c r="AI38" s="76">
        <f t="shared" si="26"/>
        <v>0.86</v>
      </c>
      <c r="AJ38" s="76">
        <f t="shared" si="27"/>
        <v>0.5916666667</v>
      </c>
      <c r="AK38" s="76">
        <f t="shared" si="28"/>
        <v>1</v>
      </c>
      <c r="AL38" s="76" t="str">
        <f t="shared" si="29"/>
        <v>20260706|Carousel</v>
      </c>
      <c r="AM38" s="76">
        <f t="shared" si="30"/>
        <v>1</v>
      </c>
      <c r="AN38" s="76" t="str">
        <f t="shared" si="31"/>
        <v>2026-07|Carousel</v>
      </c>
      <c r="AO38" s="76">
        <f t="shared" si="32"/>
        <v>0.5916670367</v>
      </c>
      <c r="AP38" s="76">
        <f t="shared" si="33"/>
        <v>202607</v>
      </c>
    </row>
    <row r="39" ht="15.75" customHeight="1">
      <c r="A39" s="79">
        <f>IF('Manual Entry'!A36="","",'Manual Entry'!A36)</f>
        <v>46211</v>
      </c>
      <c r="B39" s="79">
        <f t="shared" si="3"/>
        <v>46209</v>
      </c>
      <c r="C39" s="76" t="str">
        <f t="shared" si="4"/>
        <v>2026-07</v>
      </c>
      <c r="D39" s="76" t="str">
        <f>'Manual Entry'!D36</f>
        <v/>
      </c>
      <c r="E39" s="76" t="str">
        <f>'Manual Entry'!B36</f>
        <v>1 in 11 in India have Diabetes</v>
      </c>
      <c r="F39" s="76" t="str">
        <f>'Manual Entry'!F36</f>
        <v>Carousel - Answering Questions</v>
      </c>
      <c r="G39" s="76" t="str">
        <f>'Manual Entry'!G36</f>
        <v>Carousel</v>
      </c>
      <c r="H39" s="76" t="str">
        <f>'Manual Entry'!H36</f>
        <v/>
      </c>
      <c r="I39" s="78">
        <f>'Manual Entry'!I36</f>
        <v>82305</v>
      </c>
      <c r="J39" s="78">
        <f>'Manual Entry'!J36</f>
        <v>314</v>
      </c>
      <c r="K39" s="78">
        <f>'Manual Entry'!K36</f>
        <v>5</v>
      </c>
      <c r="L39" s="78">
        <f>'Manual Entry'!L36</f>
        <v>259</v>
      </c>
      <c r="M39" s="78">
        <f>'Manual Entry'!M36</f>
        <v>297</v>
      </c>
      <c r="N39" s="78">
        <f>'Manual Entry'!N36</f>
        <v>35364</v>
      </c>
      <c r="O39" s="76">
        <f t="shared" si="6"/>
        <v>0.008879086076</v>
      </c>
      <c r="P39" s="76">
        <f t="shared" si="7"/>
        <v>0.000141386721</v>
      </c>
      <c r="Q39" s="76">
        <f t="shared" si="8"/>
        <v>0.007323832146</v>
      </c>
      <c r="R39" s="76">
        <f t="shared" si="9"/>
        <v>0.008398371225</v>
      </c>
      <c r="S39" s="76">
        <f t="shared" si="10"/>
        <v>0</v>
      </c>
      <c r="T39" s="76">
        <f t="shared" si="11"/>
        <v>0.5</v>
      </c>
      <c r="U39" s="76">
        <f t="shared" si="12"/>
        <v>1</v>
      </c>
      <c r="V39" s="76">
        <f t="shared" si="13"/>
        <v>0.5</v>
      </c>
      <c r="W39" s="76">
        <f t="shared" si="14"/>
        <v>0.5</v>
      </c>
      <c r="X39" s="76">
        <f t="shared" si="15"/>
        <v>0.2</v>
      </c>
      <c r="Y39" s="76">
        <f t="shared" si="16"/>
        <v>0.8</v>
      </c>
      <c r="Z39" s="76">
        <f t="shared" si="17"/>
        <v>0.8</v>
      </c>
      <c r="AA39" s="76">
        <f t="shared" si="18"/>
        <v>0.6</v>
      </c>
      <c r="AB39" s="76">
        <f t="shared" si="19"/>
        <v>0.6</v>
      </c>
      <c r="AC39" s="76">
        <f t="shared" si="20"/>
        <v>0.1666666667</v>
      </c>
      <c r="AD39" s="76">
        <f t="shared" si="21"/>
        <v>0.5</v>
      </c>
      <c r="AE39" s="76">
        <f t="shared" si="22"/>
        <v>0.5</v>
      </c>
      <c r="AF39" s="76">
        <f t="shared" si="23"/>
        <v>0.4166666667</v>
      </c>
      <c r="AG39" s="76">
        <f t="shared" si="24"/>
        <v>0.5</v>
      </c>
      <c r="AH39" s="76">
        <f t="shared" si="25"/>
        <v>0.55</v>
      </c>
      <c r="AI39" s="76">
        <f t="shared" si="26"/>
        <v>0.62</v>
      </c>
      <c r="AJ39" s="76">
        <f t="shared" si="27"/>
        <v>0.4416666667</v>
      </c>
      <c r="AK39" s="76">
        <f t="shared" si="28"/>
        <v>0</v>
      </c>
      <c r="AL39" s="76" t="str">
        <f t="shared" si="29"/>
        <v/>
      </c>
      <c r="AM39" s="76">
        <f t="shared" si="30"/>
        <v>0</v>
      </c>
      <c r="AN39" s="76" t="str">
        <f t="shared" si="31"/>
        <v/>
      </c>
      <c r="AO39" s="76">
        <f t="shared" si="32"/>
        <v>0.4416670467</v>
      </c>
      <c r="AP39" s="76">
        <f t="shared" si="33"/>
        <v>202607</v>
      </c>
    </row>
    <row r="40" ht="15.75" customHeight="1">
      <c r="A40" s="79">
        <f>IF('Manual Entry'!A16="","",'Manual Entry'!A16)</f>
        <v>46190</v>
      </c>
      <c r="B40" s="79">
        <f t="shared" si="3"/>
        <v>46188</v>
      </c>
      <c r="C40" s="76" t="str">
        <f t="shared" si="4"/>
        <v>2026-06</v>
      </c>
      <c r="D40" s="76" t="str">
        <f>'Manual Entry'!D16</f>
        <v/>
      </c>
      <c r="E40" s="76" t="str">
        <f>'Manual Entry'!B16</f>
        <v>Ragi - Kids Best drink for growth</v>
      </c>
      <c r="F40" s="76" t="str">
        <f>'Manual Entry'!F16</f>
        <v>Carousel - Answering Questions</v>
      </c>
      <c r="G40" s="76" t="str">
        <f>'Manual Entry'!G16</f>
        <v>Carousel</v>
      </c>
      <c r="H40" s="76" t="str">
        <f>'Manual Entry'!H16</f>
        <v/>
      </c>
      <c r="I40" s="78">
        <f>'Manual Entry'!I16</f>
        <v>222837</v>
      </c>
      <c r="J40" s="78">
        <f>'Manual Entry'!J16</f>
        <v>2798</v>
      </c>
      <c r="K40" s="78">
        <f>'Manual Entry'!K16</f>
        <v>34</v>
      </c>
      <c r="L40" s="78">
        <f>'Manual Entry'!L16</f>
        <v>4646</v>
      </c>
      <c r="M40" s="78">
        <f>'Manual Entry'!M16</f>
        <v>1892</v>
      </c>
      <c r="N40" s="78">
        <f>'Manual Entry'!N16</f>
        <v>195887</v>
      </c>
      <c r="O40" s="76">
        <f t="shared" si="6"/>
        <v>0.01428374522</v>
      </c>
      <c r="P40" s="76">
        <f t="shared" si="7"/>
        <v>0.0001735694559</v>
      </c>
      <c r="Q40" s="76">
        <f t="shared" si="8"/>
        <v>0.02371775564</v>
      </c>
      <c r="R40" s="76">
        <f t="shared" si="9"/>
        <v>0.00965862972</v>
      </c>
      <c r="S40" s="76">
        <f t="shared" si="10"/>
        <v>0.5</v>
      </c>
      <c r="T40" s="76">
        <f t="shared" si="11"/>
        <v>1</v>
      </c>
      <c r="U40" s="76">
        <f t="shared" si="12"/>
        <v>0.5</v>
      </c>
      <c r="V40" s="76">
        <f t="shared" si="13"/>
        <v>0.5</v>
      </c>
      <c r="W40" s="76">
        <f t="shared" si="14"/>
        <v>0.5</v>
      </c>
      <c r="X40" s="76">
        <f t="shared" si="15"/>
        <v>0.6666666667</v>
      </c>
      <c r="Y40" s="76">
        <f t="shared" si="16"/>
        <v>0.8333333333</v>
      </c>
      <c r="Z40" s="76">
        <f t="shared" si="17"/>
        <v>0.5</v>
      </c>
      <c r="AA40" s="76">
        <f t="shared" si="18"/>
        <v>0.8333333333</v>
      </c>
      <c r="AB40" s="76">
        <f t="shared" si="19"/>
        <v>0.5</v>
      </c>
      <c r="AC40" s="76">
        <f t="shared" si="20"/>
        <v>0.75</v>
      </c>
      <c r="AD40" s="76">
        <f t="shared" si="21"/>
        <v>0.9166666667</v>
      </c>
      <c r="AE40" s="76">
        <f t="shared" si="22"/>
        <v>0.6666666667</v>
      </c>
      <c r="AF40" s="76">
        <f t="shared" si="23"/>
        <v>0.9166666667</v>
      </c>
      <c r="AG40" s="76">
        <f t="shared" si="24"/>
        <v>0.6666666667</v>
      </c>
      <c r="AH40" s="76">
        <f t="shared" si="25"/>
        <v>0.55</v>
      </c>
      <c r="AI40" s="76">
        <f t="shared" si="26"/>
        <v>0.65</v>
      </c>
      <c r="AJ40" s="76">
        <f t="shared" si="27"/>
        <v>0.775</v>
      </c>
      <c r="AK40" s="76">
        <f t="shared" si="28"/>
        <v>0</v>
      </c>
      <c r="AL40" s="76" t="str">
        <f t="shared" si="29"/>
        <v/>
      </c>
      <c r="AM40" s="76">
        <f t="shared" si="30"/>
        <v>0</v>
      </c>
      <c r="AN40" s="76" t="str">
        <f t="shared" si="31"/>
        <v/>
      </c>
      <c r="AO40" s="76">
        <f t="shared" si="32"/>
        <v>0.77500039</v>
      </c>
      <c r="AP40" s="76">
        <f t="shared" si="33"/>
        <v>202606</v>
      </c>
    </row>
    <row r="41" ht="15.75" customHeight="1">
      <c r="A41" s="79">
        <f>IF('Manual Entry'!A17="","",'Manual Entry'!A17)</f>
        <v>46191</v>
      </c>
      <c r="B41" s="79">
        <f t="shared" si="3"/>
        <v>46188</v>
      </c>
      <c r="C41" s="76" t="str">
        <f t="shared" si="4"/>
        <v>2026-06</v>
      </c>
      <c r="D41" s="76" t="str">
        <f>'Manual Entry'!D17</f>
        <v/>
      </c>
      <c r="E41" s="76" t="str">
        <f>#REF!</f>
        <v>#REF!</v>
      </c>
      <c r="F41" s="76" t="str">
        <f>'Manual Entry'!F17</f>
        <v>Talking Head with or without Props</v>
      </c>
      <c r="G41" s="76" t="str">
        <f>'Manual Entry'!G17</f>
        <v>Reel</v>
      </c>
      <c r="H41" s="76" t="str">
        <f>'Manual Entry'!H17</f>
        <v/>
      </c>
      <c r="I41" s="78">
        <f>'Manual Entry'!I17</f>
        <v>35037</v>
      </c>
      <c r="J41" s="78">
        <f>'Manual Entry'!J17</f>
        <v>296</v>
      </c>
      <c r="K41" s="78">
        <f>'Manual Entry'!K17</f>
        <v>18</v>
      </c>
      <c r="L41" s="78">
        <f>'Manual Entry'!L17</f>
        <v>175</v>
      </c>
      <c r="M41" s="78">
        <f>'Manual Entry'!M17</f>
        <v>122</v>
      </c>
      <c r="N41" s="78">
        <f>'Manual Entry'!N17</f>
        <v>26493</v>
      </c>
      <c r="O41" s="76">
        <f t="shared" si="6"/>
        <v>0.01117276262</v>
      </c>
      <c r="P41" s="76">
        <f t="shared" si="7"/>
        <v>0.0006794247537</v>
      </c>
      <c r="Q41" s="76">
        <f t="shared" si="8"/>
        <v>0.006605518439</v>
      </c>
      <c r="R41" s="76">
        <f t="shared" si="9"/>
        <v>0.004604989997</v>
      </c>
      <c r="S41" s="76">
        <f t="shared" si="10"/>
        <v>1</v>
      </c>
      <c r="T41" s="76">
        <f t="shared" si="11"/>
        <v>0</v>
      </c>
      <c r="U41" s="76">
        <f t="shared" si="12"/>
        <v>0</v>
      </c>
      <c r="V41" s="76">
        <f t="shared" si="13"/>
        <v>1</v>
      </c>
      <c r="W41" s="76">
        <f t="shared" si="14"/>
        <v>1</v>
      </c>
      <c r="X41" s="76">
        <f t="shared" si="15"/>
        <v>1</v>
      </c>
      <c r="Y41" s="76">
        <f t="shared" si="16"/>
        <v>0.5</v>
      </c>
      <c r="Z41" s="76">
        <f t="shared" si="17"/>
        <v>0.5</v>
      </c>
      <c r="AA41" s="76">
        <f t="shared" si="18"/>
        <v>1</v>
      </c>
      <c r="AB41" s="76">
        <f t="shared" si="19"/>
        <v>0.8333333333</v>
      </c>
      <c r="AC41" s="76">
        <f t="shared" si="20"/>
        <v>0.875</v>
      </c>
      <c r="AD41" s="76">
        <f t="shared" si="21"/>
        <v>0.5</v>
      </c>
      <c r="AE41" s="76">
        <f t="shared" si="22"/>
        <v>0.625</v>
      </c>
      <c r="AF41" s="76">
        <f t="shared" si="23"/>
        <v>0.875</v>
      </c>
      <c r="AG41" s="76">
        <f t="shared" si="24"/>
        <v>0.75</v>
      </c>
      <c r="AH41" s="76">
        <f t="shared" si="25"/>
        <v>0.6</v>
      </c>
      <c r="AI41" s="76">
        <f t="shared" si="26"/>
        <v>0.775</v>
      </c>
      <c r="AJ41" s="76">
        <f t="shared" si="27"/>
        <v>0.7375</v>
      </c>
      <c r="AK41" s="76">
        <f t="shared" si="28"/>
        <v>1</v>
      </c>
      <c r="AL41" s="76" t="str">
        <f t="shared" si="29"/>
        <v>20260615|Reel</v>
      </c>
      <c r="AM41" s="76">
        <f t="shared" si="30"/>
        <v>1</v>
      </c>
      <c r="AN41" s="76" t="str">
        <f t="shared" si="31"/>
        <v>2026-06|Reel</v>
      </c>
      <c r="AO41" s="76">
        <f t="shared" si="32"/>
        <v>0.7375004</v>
      </c>
      <c r="AP41" s="76">
        <f t="shared" si="33"/>
        <v>202606</v>
      </c>
    </row>
    <row r="42" ht="15.75" customHeight="1">
      <c r="A42" s="79">
        <f>IF('Manual Entry'!A18="","",'Manual Entry'!A18)</f>
        <v>46192</v>
      </c>
      <c r="B42" s="79">
        <f t="shared" si="3"/>
        <v>46188</v>
      </c>
      <c r="C42" s="76" t="str">
        <f t="shared" si="4"/>
        <v>2026-06</v>
      </c>
      <c r="D42" s="76" t="str">
        <f>'Manual Entry'!D18</f>
        <v/>
      </c>
      <c r="E42" s="76" t="str">
        <f>'Manual Entry'!B18</f>
        <v>4 Truths about Periods Blood</v>
      </c>
      <c r="F42" s="76" t="str">
        <f>'Manual Entry'!F18</f>
        <v>Carousel - Answering Questions</v>
      </c>
      <c r="G42" s="76" t="str">
        <f>'Manual Entry'!G18</f>
        <v>Carousel</v>
      </c>
      <c r="H42" s="76" t="str">
        <f>'Manual Entry'!H18</f>
        <v/>
      </c>
      <c r="I42" s="78">
        <f>'Manual Entry'!I18</f>
        <v>627556</v>
      </c>
      <c r="J42" s="78">
        <f>'Manual Entry'!J18</f>
        <v>11155</v>
      </c>
      <c r="K42" s="78">
        <f>'Manual Entry'!K18</f>
        <v>113</v>
      </c>
      <c r="L42" s="78">
        <f>'Manual Entry'!L18</f>
        <v>25253</v>
      </c>
      <c r="M42" s="78">
        <f>'Manual Entry'!M18</f>
        <v>13194</v>
      </c>
      <c r="N42" s="78">
        <f>'Manual Entry'!N18</f>
        <v>870241</v>
      </c>
      <c r="O42" s="76">
        <f t="shared" si="6"/>
        <v>0.01281828827</v>
      </c>
      <c r="P42" s="76">
        <f t="shared" si="7"/>
        <v>0.0001298490878</v>
      </c>
      <c r="Q42" s="76">
        <f t="shared" si="8"/>
        <v>0.02901839835</v>
      </c>
      <c r="R42" s="76">
        <f t="shared" si="9"/>
        <v>0.01516131738</v>
      </c>
      <c r="S42" s="76">
        <f t="shared" si="10"/>
        <v>1</v>
      </c>
      <c r="T42" s="76">
        <f t="shared" si="11"/>
        <v>0.5</v>
      </c>
      <c r="U42" s="76">
        <f t="shared" si="12"/>
        <v>0</v>
      </c>
      <c r="V42" s="76">
        <f t="shared" si="13"/>
        <v>1</v>
      </c>
      <c r="W42" s="76">
        <f t="shared" si="14"/>
        <v>1</v>
      </c>
      <c r="X42" s="76">
        <f t="shared" si="15"/>
        <v>0.8333333333</v>
      </c>
      <c r="Y42" s="76">
        <f t="shared" si="16"/>
        <v>0.6666666667</v>
      </c>
      <c r="Z42" s="76">
        <f t="shared" si="17"/>
        <v>0.1666666667</v>
      </c>
      <c r="AA42" s="76">
        <f t="shared" si="18"/>
        <v>1</v>
      </c>
      <c r="AB42" s="76">
        <f t="shared" si="19"/>
        <v>0.8333333333</v>
      </c>
      <c r="AC42" s="76">
        <f t="shared" si="20"/>
        <v>0.8333333333</v>
      </c>
      <c r="AD42" s="76">
        <f t="shared" si="21"/>
        <v>0.75</v>
      </c>
      <c r="AE42" s="76">
        <f t="shared" si="22"/>
        <v>0.4166666667</v>
      </c>
      <c r="AF42" s="76">
        <f t="shared" si="23"/>
        <v>1</v>
      </c>
      <c r="AG42" s="76">
        <f t="shared" si="24"/>
        <v>0.9166666667</v>
      </c>
      <c r="AH42" s="76">
        <f t="shared" si="25"/>
        <v>0.75</v>
      </c>
      <c r="AI42" s="76">
        <f t="shared" si="26"/>
        <v>0.7333333333</v>
      </c>
      <c r="AJ42" s="76">
        <f t="shared" si="27"/>
        <v>0.8166666667</v>
      </c>
      <c r="AK42" s="76">
        <f t="shared" si="28"/>
        <v>1</v>
      </c>
      <c r="AL42" s="76" t="str">
        <f t="shared" si="29"/>
        <v>20260615|Carousel</v>
      </c>
      <c r="AM42" s="76">
        <f t="shared" si="30"/>
        <v>1</v>
      </c>
      <c r="AN42" s="76" t="str">
        <f t="shared" si="31"/>
        <v>2026-06|Carousel</v>
      </c>
      <c r="AO42" s="76">
        <f t="shared" si="32"/>
        <v>0.8166670767</v>
      </c>
      <c r="AP42" s="76">
        <f t="shared" si="33"/>
        <v>202606</v>
      </c>
    </row>
    <row r="43" ht="15.75" customHeight="1">
      <c r="A43" s="79">
        <f>IF('Manual Entry'!A19="","",'Manual Entry'!A19)</f>
        <v>46193</v>
      </c>
      <c r="B43" s="79">
        <f t="shared" si="3"/>
        <v>46188</v>
      </c>
      <c r="C43" s="76" t="str">
        <f t="shared" si="4"/>
        <v>2026-06</v>
      </c>
      <c r="D43" s="76" t="str">
        <f>'Manual Entry'!D19</f>
        <v/>
      </c>
      <c r="E43" s="76" t="str">
        <f>'Manual Entry'!B19</f>
        <v>New Office Opening</v>
      </c>
      <c r="F43" s="76" t="str">
        <f>'Manual Entry'!F19</f>
        <v>Talking Head with or without Props</v>
      </c>
      <c r="G43" s="76" t="str">
        <f>'Manual Entry'!G19</f>
        <v>Reel</v>
      </c>
      <c r="H43" s="76" t="str">
        <f>'Manual Entry'!H19</f>
        <v/>
      </c>
      <c r="I43" s="78">
        <f>'Manual Entry'!I19</f>
        <v>25440</v>
      </c>
      <c r="J43" s="78">
        <f>'Manual Entry'!J19</f>
        <v>305</v>
      </c>
      <c r="K43" s="78">
        <f>'Manual Entry'!K19</f>
        <v>72</v>
      </c>
      <c r="L43" s="78">
        <f>'Manual Entry'!L19</f>
        <v>46</v>
      </c>
      <c r="M43" s="78">
        <f>'Manual Entry'!M19</f>
        <v>16</v>
      </c>
      <c r="N43" s="78">
        <f>'Manual Entry'!N19</f>
        <v>19688</v>
      </c>
      <c r="O43" s="76">
        <f t="shared" si="6"/>
        <v>0.01549167005</v>
      </c>
      <c r="P43" s="76">
        <f t="shared" si="7"/>
        <v>0.00365704998</v>
      </c>
      <c r="Q43" s="76">
        <f t="shared" si="8"/>
        <v>0.002336448598</v>
      </c>
      <c r="R43" s="76">
        <f t="shared" si="9"/>
        <v>0.0008126777733</v>
      </c>
      <c r="S43" s="76">
        <f t="shared" si="10"/>
        <v>0</v>
      </c>
      <c r="T43" s="76">
        <f t="shared" si="11"/>
        <v>1</v>
      </c>
      <c r="U43" s="76">
        <f t="shared" si="12"/>
        <v>1</v>
      </c>
      <c r="V43" s="76">
        <f t="shared" si="13"/>
        <v>0</v>
      </c>
      <c r="W43" s="76">
        <f t="shared" si="14"/>
        <v>0</v>
      </c>
      <c r="X43" s="76">
        <f t="shared" si="15"/>
        <v>0.8333333333</v>
      </c>
      <c r="Y43" s="76">
        <f t="shared" si="16"/>
        <v>1</v>
      </c>
      <c r="Z43" s="76">
        <f t="shared" si="17"/>
        <v>1</v>
      </c>
      <c r="AA43" s="76">
        <f t="shared" si="18"/>
        <v>0.5</v>
      </c>
      <c r="AB43" s="76">
        <f t="shared" si="19"/>
        <v>0</v>
      </c>
      <c r="AC43" s="76">
        <f t="shared" si="20"/>
        <v>0.75</v>
      </c>
      <c r="AD43" s="76">
        <f t="shared" si="21"/>
        <v>1</v>
      </c>
      <c r="AE43" s="76">
        <f t="shared" si="22"/>
        <v>1</v>
      </c>
      <c r="AF43" s="76">
        <f t="shared" si="23"/>
        <v>0.5</v>
      </c>
      <c r="AG43" s="76">
        <f t="shared" si="24"/>
        <v>0</v>
      </c>
      <c r="AH43" s="76">
        <f t="shared" si="25"/>
        <v>0.4</v>
      </c>
      <c r="AI43" s="76">
        <f t="shared" si="26"/>
        <v>0.6916666667</v>
      </c>
      <c r="AJ43" s="76">
        <f t="shared" si="27"/>
        <v>0.675</v>
      </c>
      <c r="AK43" s="76">
        <f t="shared" si="28"/>
        <v>0</v>
      </c>
      <c r="AL43" s="76" t="str">
        <f t="shared" si="29"/>
        <v/>
      </c>
      <c r="AM43" s="76">
        <f t="shared" si="30"/>
        <v>0</v>
      </c>
      <c r="AN43" s="76" t="str">
        <f t="shared" si="31"/>
        <v/>
      </c>
      <c r="AO43" s="76">
        <f t="shared" si="32"/>
        <v>0.67500042</v>
      </c>
      <c r="AP43" s="76">
        <f t="shared" si="33"/>
        <v>202606</v>
      </c>
    </row>
    <row r="44" ht="15.75" customHeight="1">
      <c r="A44" s="79">
        <f>IF('Manual Entry'!A20="","",'Manual Entry'!A20)</f>
        <v>46194</v>
      </c>
      <c r="B44" s="79">
        <f t="shared" si="3"/>
        <v>46188</v>
      </c>
      <c r="C44" s="76" t="str">
        <f t="shared" si="4"/>
        <v>2026-06</v>
      </c>
      <c r="D44" s="76" t="str">
        <f>'Manual Entry'!D20</f>
        <v/>
      </c>
      <c r="E44" s="76" t="str">
        <f>'Manual Entry'!B20</f>
        <v>New Office Opening</v>
      </c>
      <c r="F44" s="76" t="str">
        <f>'Manual Entry'!F20</f>
        <v>Carousel - Answering Questions</v>
      </c>
      <c r="G44" s="76" t="str">
        <f>'Manual Entry'!G20</f>
        <v>Carousel</v>
      </c>
      <c r="H44" s="76" t="str">
        <f>'Manual Entry'!H20</f>
        <v/>
      </c>
      <c r="I44" s="78">
        <f>'Manual Entry'!I20</f>
        <v>33797</v>
      </c>
      <c r="J44" s="78">
        <f>'Manual Entry'!J20</f>
        <v>149</v>
      </c>
      <c r="K44" s="78">
        <f>'Manual Entry'!K20</f>
        <v>21</v>
      </c>
      <c r="L44" s="78">
        <f>'Manual Entry'!L20</f>
        <v>7</v>
      </c>
      <c r="M44" s="78">
        <f>'Manual Entry'!M20</f>
        <v>7</v>
      </c>
      <c r="N44" s="78">
        <f>'Manual Entry'!N20</f>
        <v>14926</v>
      </c>
      <c r="O44" s="76">
        <f t="shared" si="6"/>
        <v>0.009982580732</v>
      </c>
      <c r="P44" s="76">
        <f t="shared" si="7"/>
        <v>0.001406940908</v>
      </c>
      <c r="Q44" s="76">
        <f t="shared" si="8"/>
        <v>0.0004689803028</v>
      </c>
      <c r="R44" s="76">
        <f t="shared" si="9"/>
        <v>0.0004689803028</v>
      </c>
      <c r="S44" s="76">
        <f t="shared" si="10"/>
        <v>0</v>
      </c>
      <c r="T44" s="76">
        <f t="shared" si="11"/>
        <v>0</v>
      </c>
      <c r="U44" s="76">
        <f t="shared" si="12"/>
        <v>1</v>
      </c>
      <c r="V44" s="76">
        <f t="shared" si="13"/>
        <v>0</v>
      </c>
      <c r="W44" s="76">
        <f t="shared" si="14"/>
        <v>0</v>
      </c>
      <c r="X44" s="76">
        <f t="shared" si="15"/>
        <v>0</v>
      </c>
      <c r="Y44" s="76">
        <f t="shared" si="16"/>
        <v>0.3333333333</v>
      </c>
      <c r="Z44" s="76">
        <f t="shared" si="17"/>
        <v>1</v>
      </c>
      <c r="AA44" s="76">
        <f t="shared" si="18"/>
        <v>0</v>
      </c>
      <c r="AB44" s="76">
        <f t="shared" si="19"/>
        <v>0</v>
      </c>
      <c r="AC44" s="76">
        <f t="shared" si="20"/>
        <v>0</v>
      </c>
      <c r="AD44" s="76">
        <f t="shared" si="21"/>
        <v>0.5833333333</v>
      </c>
      <c r="AE44" s="76">
        <f t="shared" si="22"/>
        <v>1</v>
      </c>
      <c r="AF44" s="76">
        <f t="shared" si="23"/>
        <v>0.1666666667</v>
      </c>
      <c r="AG44" s="76">
        <f t="shared" si="24"/>
        <v>0.1666666667</v>
      </c>
      <c r="AH44" s="76">
        <f t="shared" si="25"/>
        <v>0.2</v>
      </c>
      <c r="AI44" s="76">
        <f t="shared" si="26"/>
        <v>0.2333333333</v>
      </c>
      <c r="AJ44" s="76">
        <f t="shared" si="27"/>
        <v>0.3583333333</v>
      </c>
      <c r="AK44" s="76">
        <f t="shared" si="28"/>
        <v>0</v>
      </c>
      <c r="AL44" s="76" t="str">
        <f t="shared" si="29"/>
        <v/>
      </c>
      <c r="AM44" s="76">
        <f t="shared" si="30"/>
        <v>0</v>
      </c>
      <c r="AN44" s="76" t="str">
        <f t="shared" si="31"/>
        <v/>
      </c>
      <c r="AO44" s="76">
        <f t="shared" si="32"/>
        <v>0.3583337633</v>
      </c>
      <c r="AP44" s="76">
        <f t="shared" si="33"/>
        <v>202606</v>
      </c>
    </row>
    <row r="45" ht="15.75" customHeight="1">
      <c r="A45" s="79">
        <f>IF('Manual Entry'!A21="","",'Manual Entry'!A21)</f>
        <v>46195</v>
      </c>
      <c r="B45" s="79">
        <f t="shared" si="3"/>
        <v>46195</v>
      </c>
      <c r="C45" s="76" t="str">
        <f t="shared" si="4"/>
        <v>2026-06</v>
      </c>
      <c r="D45" s="76" t="str">
        <f>'Manual Entry'!D21</f>
        <v/>
      </c>
      <c r="E45" s="76" t="str">
        <f>'Manual Entry'!B21</f>
        <v>3 Best Fruits for Diabetrics</v>
      </c>
      <c r="F45" s="76" t="str">
        <f>'Manual Entry'!F21</f>
        <v>Talking Head with or without Props</v>
      </c>
      <c r="G45" s="76" t="str">
        <f>'Manual Entry'!G21</f>
        <v>Reel</v>
      </c>
      <c r="H45" s="76" t="str">
        <f>'Manual Entry'!H21</f>
        <v/>
      </c>
      <c r="I45" s="78">
        <f>'Manual Entry'!I21</f>
        <v>20809</v>
      </c>
      <c r="J45" s="78">
        <f>'Manual Entry'!J21</f>
        <v>201</v>
      </c>
      <c r="K45" s="78">
        <f>'Manual Entry'!K21</f>
        <v>14</v>
      </c>
      <c r="L45" s="78">
        <f>'Manual Entry'!L21</f>
        <v>34</v>
      </c>
      <c r="M45" s="78">
        <f>'Manual Entry'!M21</f>
        <v>41</v>
      </c>
      <c r="N45" s="78">
        <f>'Manual Entry'!N21</f>
        <v>15797</v>
      </c>
      <c r="O45" s="76">
        <f t="shared" si="6"/>
        <v>0.01272393492</v>
      </c>
      <c r="P45" s="76">
        <f t="shared" si="7"/>
        <v>0.0008862442236</v>
      </c>
      <c r="Q45" s="76">
        <f t="shared" si="8"/>
        <v>0.0021523074</v>
      </c>
      <c r="R45" s="76">
        <f t="shared" si="9"/>
        <v>0.002595429512</v>
      </c>
      <c r="S45" s="76">
        <f t="shared" si="10"/>
        <v>0.6666666667</v>
      </c>
      <c r="T45" s="76">
        <f t="shared" si="11"/>
        <v>0.6666666667</v>
      </c>
      <c r="U45" s="76">
        <f t="shared" si="12"/>
        <v>1</v>
      </c>
      <c r="V45" s="76">
        <f t="shared" si="13"/>
        <v>0</v>
      </c>
      <c r="W45" s="76">
        <f t="shared" si="14"/>
        <v>0.6666666667</v>
      </c>
      <c r="X45" s="76">
        <f t="shared" si="15"/>
        <v>0.3333333333</v>
      </c>
      <c r="Y45" s="76">
        <f t="shared" si="16"/>
        <v>0.6666666667</v>
      </c>
      <c r="Z45" s="76">
        <f t="shared" si="17"/>
        <v>0.8333333333</v>
      </c>
      <c r="AA45" s="76">
        <f t="shared" si="18"/>
        <v>0.1666666667</v>
      </c>
      <c r="AB45" s="76">
        <f t="shared" si="19"/>
        <v>0.6666666667</v>
      </c>
      <c r="AC45" s="76">
        <f t="shared" si="20"/>
        <v>0.375</v>
      </c>
      <c r="AD45" s="76">
        <f t="shared" si="21"/>
        <v>0.625</v>
      </c>
      <c r="AE45" s="76">
        <f t="shared" si="22"/>
        <v>0.875</v>
      </c>
      <c r="AF45" s="76">
        <f t="shared" si="23"/>
        <v>0.25</v>
      </c>
      <c r="AG45" s="76">
        <f t="shared" si="24"/>
        <v>0.625</v>
      </c>
      <c r="AH45" s="76">
        <f t="shared" si="25"/>
        <v>0.5833333333</v>
      </c>
      <c r="AI45" s="76">
        <f t="shared" si="26"/>
        <v>0.5166666667</v>
      </c>
      <c r="AJ45" s="76">
        <f t="shared" si="27"/>
        <v>0.54375</v>
      </c>
      <c r="AK45" s="76">
        <f t="shared" si="28"/>
        <v>0</v>
      </c>
      <c r="AL45" s="76" t="str">
        <f t="shared" si="29"/>
        <v/>
      </c>
      <c r="AM45" s="76">
        <f t="shared" si="30"/>
        <v>0</v>
      </c>
      <c r="AN45" s="76" t="str">
        <f t="shared" si="31"/>
        <v/>
      </c>
      <c r="AO45" s="76">
        <f t="shared" si="32"/>
        <v>0.54375044</v>
      </c>
      <c r="AP45" s="76">
        <f t="shared" si="33"/>
        <v>202606</v>
      </c>
    </row>
    <row r="46" ht="15.75" customHeight="1">
      <c r="A46" s="79">
        <f>IF('Manual Entry'!A22="","",'Manual Entry'!A22)</f>
        <v>46196</v>
      </c>
      <c r="B46" s="79">
        <f t="shared" si="3"/>
        <v>46195</v>
      </c>
      <c r="C46" s="76" t="str">
        <f t="shared" si="4"/>
        <v>2026-06</v>
      </c>
      <c r="D46" s="76" t="str">
        <f>'Manual Entry'!D22</f>
        <v/>
      </c>
      <c r="E46" s="76" t="str">
        <f>'Manual Entry'!B22</f>
        <v>Reducing Salt was a Wrong Advice</v>
      </c>
      <c r="F46" s="76" t="str">
        <f>'Manual Entry'!F22</f>
        <v>Carousel - Answering Questions</v>
      </c>
      <c r="G46" s="76" t="str">
        <f>'Manual Entry'!G22</f>
        <v>Carousel</v>
      </c>
      <c r="H46" s="76" t="str">
        <f>'Manual Entry'!H22</f>
        <v/>
      </c>
      <c r="I46" s="78">
        <f>'Manual Entry'!I22</f>
        <v>84470</v>
      </c>
      <c r="J46" s="78">
        <f>'Manual Entry'!J22</f>
        <v>331</v>
      </c>
      <c r="K46" s="78">
        <f>'Manual Entry'!K22</f>
        <v>9</v>
      </c>
      <c r="L46" s="78">
        <f>'Manual Entry'!L22</f>
        <v>208</v>
      </c>
      <c r="M46" s="78">
        <f>'Manual Entry'!M22</f>
        <v>312</v>
      </c>
      <c r="N46" s="78">
        <f>'Manual Entry'!N22</f>
        <v>42340</v>
      </c>
      <c r="O46" s="76">
        <f t="shared" si="6"/>
        <v>0.007817666509</v>
      </c>
      <c r="P46" s="76">
        <f t="shared" si="7"/>
        <v>0.0002125649504</v>
      </c>
      <c r="Q46" s="76">
        <f t="shared" si="8"/>
        <v>0.004912612187</v>
      </c>
      <c r="R46" s="76">
        <f t="shared" si="9"/>
        <v>0.007368918281</v>
      </c>
      <c r="S46" s="76">
        <f t="shared" si="10"/>
        <v>0</v>
      </c>
      <c r="T46" s="76">
        <f t="shared" si="11"/>
        <v>0</v>
      </c>
      <c r="U46" s="76">
        <f t="shared" si="12"/>
        <v>1</v>
      </c>
      <c r="V46" s="76">
        <f t="shared" si="13"/>
        <v>0</v>
      </c>
      <c r="W46" s="76">
        <f t="shared" si="14"/>
        <v>0</v>
      </c>
      <c r="X46" s="76">
        <f t="shared" si="15"/>
        <v>0.1666666667</v>
      </c>
      <c r="Y46" s="76">
        <f t="shared" si="16"/>
        <v>0</v>
      </c>
      <c r="Z46" s="76">
        <f t="shared" si="17"/>
        <v>0.8333333333</v>
      </c>
      <c r="AA46" s="76">
        <f t="shared" si="18"/>
        <v>0.1666666667</v>
      </c>
      <c r="AB46" s="76">
        <f t="shared" si="19"/>
        <v>0.1666666667</v>
      </c>
      <c r="AC46" s="76">
        <f t="shared" si="20"/>
        <v>0.25</v>
      </c>
      <c r="AD46" s="76">
        <f t="shared" si="21"/>
        <v>0.25</v>
      </c>
      <c r="AE46" s="76">
        <f t="shared" si="22"/>
        <v>0.9166666667</v>
      </c>
      <c r="AF46" s="76">
        <f t="shared" si="23"/>
        <v>0.25</v>
      </c>
      <c r="AG46" s="76">
        <f t="shared" si="24"/>
        <v>0.25</v>
      </c>
      <c r="AH46" s="76">
        <f t="shared" si="25"/>
        <v>0.2</v>
      </c>
      <c r="AI46" s="76">
        <f t="shared" si="26"/>
        <v>0.2833333333</v>
      </c>
      <c r="AJ46" s="76">
        <f t="shared" si="27"/>
        <v>0.3833333333</v>
      </c>
      <c r="AK46" s="76">
        <f t="shared" si="28"/>
        <v>0</v>
      </c>
      <c r="AL46" s="76" t="str">
        <f t="shared" si="29"/>
        <v/>
      </c>
      <c r="AM46" s="76">
        <f t="shared" si="30"/>
        <v>0</v>
      </c>
      <c r="AN46" s="76" t="str">
        <f t="shared" si="31"/>
        <v/>
      </c>
      <c r="AO46" s="76">
        <f t="shared" si="32"/>
        <v>0.3833337833</v>
      </c>
      <c r="AP46" s="76">
        <f t="shared" si="33"/>
        <v>202606</v>
      </c>
    </row>
    <row r="47" ht="15.75" customHeight="1">
      <c r="A47" s="76" t="str">
        <f t="shared" ref="A47:A64" si="57">IF(#REF!="","",#REF!)</f>
        <v>#REF!</v>
      </c>
      <c r="B47" s="76" t="str">
        <f t="shared" si="3"/>
        <v>#REF!</v>
      </c>
      <c r="C47" s="76" t="str">
        <f t="shared" si="4"/>
        <v>#REF!</v>
      </c>
      <c r="D47" s="76" t="str">
        <f t="shared" ref="D47:N47" si="56">#REF!</f>
        <v>#REF!</v>
      </c>
      <c r="E47" s="76" t="str">
        <f t="shared" si="56"/>
        <v>#REF!</v>
      </c>
      <c r="F47" s="76" t="str">
        <f t="shared" si="56"/>
        <v>#REF!</v>
      </c>
      <c r="G47" s="76" t="str">
        <f t="shared" si="56"/>
        <v>#REF!</v>
      </c>
      <c r="H47" s="76" t="str">
        <f t="shared" si="56"/>
        <v>#REF!</v>
      </c>
      <c r="I47" s="78" t="str">
        <f t="shared" si="56"/>
        <v>#REF!</v>
      </c>
      <c r="J47" s="78" t="str">
        <f t="shared" si="56"/>
        <v>#REF!</v>
      </c>
      <c r="K47" s="78" t="str">
        <f t="shared" si="56"/>
        <v>#REF!</v>
      </c>
      <c r="L47" s="78" t="str">
        <f t="shared" si="56"/>
        <v>#REF!</v>
      </c>
      <c r="M47" s="78" t="str">
        <f t="shared" si="56"/>
        <v>#REF!</v>
      </c>
      <c r="N47" s="78" t="str">
        <f t="shared" si="56"/>
        <v>#REF!</v>
      </c>
      <c r="O47" s="76">
        <f t="shared" si="6"/>
        <v>0</v>
      </c>
      <c r="P47" s="76">
        <f t="shared" si="7"/>
        <v>0</v>
      </c>
      <c r="Q47" s="76">
        <f t="shared" si="8"/>
        <v>0</v>
      </c>
      <c r="R47" s="76">
        <f t="shared" si="9"/>
        <v>0</v>
      </c>
      <c r="S47" s="76" t="str">
        <f t="shared" si="10"/>
        <v>#REF!</v>
      </c>
      <c r="T47" s="76" t="str">
        <f t="shared" si="11"/>
        <v>#REF!</v>
      </c>
      <c r="U47" s="76" t="str">
        <f t="shared" si="12"/>
        <v>#REF!</v>
      </c>
      <c r="V47" s="76" t="str">
        <f t="shared" si="13"/>
        <v>#REF!</v>
      </c>
      <c r="W47" s="76" t="str">
        <f t="shared" si="14"/>
        <v>#REF!</v>
      </c>
      <c r="X47" s="76" t="str">
        <f t="shared" si="15"/>
        <v>#REF!</v>
      </c>
      <c r="Y47" s="76" t="str">
        <f t="shared" si="16"/>
        <v>#REF!</v>
      </c>
      <c r="Z47" s="76" t="str">
        <f t="shared" si="17"/>
        <v>#REF!</v>
      </c>
      <c r="AA47" s="76" t="str">
        <f t="shared" si="18"/>
        <v>#REF!</v>
      </c>
      <c r="AB47" s="76" t="str">
        <f t="shared" si="19"/>
        <v>#REF!</v>
      </c>
      <c r="AC47" s="76" t="str">
        <f t="shared" si="20"/>
        <v>#REF!</v>
      </c>
      <c r="AD47" s="76" t="str">
        <f t="shared" si="21"/>
        <v>#REF!</v>
      </c>
      <c r="AE47" s="76" t="str">
        <f t="shared" si="22"/>
        <v>#REF!</v>
      </c>
      <c r="AF47" s="76" t="str">
        <f t="shared" si="23"/>
        <v>#REF!</v>
      </c>
      <c r="AG47" s="76" t="str">
        <f t="shared" si="24"/>
        <v>#REF!</v>
      </c>
      <c r="AH47" s="76" t="str">
        <f t="shared" si="25"/>
        <v>#REF!</v>
      </c>
      <c r="AI47" s="76" t="str">
        <f t="shared" si="26"/>
        <v>#REF!</v>
      </c>
      <c r="AJ47" s="76" t="str">
        <f t="shared" si="27"/>
        <v>#REF!</v>
      </c>
      <c r="AK47" s="76" t="str">
        <f t="shared" si="28"/>
        <v>#REF!</v>
      </c>
      <c r="AL47" s="76" t="str">
        <f t="shared" si="29"/>
        <v>#REF!</v>
      </c>
      <c r="AM47" s="76" t="str">
        <f t="shared" si="30"/>
        <v>#REF!</v>
      </c>
      <c r="AN47" s="76" t="str">
        <f t="shared" si="31"/>
        <v>#REF!</v>
      </c>
      <c r="AO47" s="76" t="str">
        <f t="shared" si="32"/>
        <v>#REF!</v>
      </c>
      <c r="AP47" s="76" t="str">
        <f t="shared" si="33"/>
        <v>#REF!</v>
      </c>
    </row>
    <row r="48" ht="15.75" customHeight="1">
      <c r="A48" s="76" t="str">
        <f t="shared" si="57"/>
        <v>#REF!</v>
      </c>
      <c r="B48" s="76" t="str">
        <f t="shared" si="3"/>
        <v>#REF!</v>
      </c>
      <c r="C48" s="76" t="str">
        <f t="shared" si="4"/>
        <v>#REF!</v>
      </c>
      <c r="D48" s="76" t="str">
        <f t="shared" ref="D48:N48" si="58">#REF!</f>
        <v>#REF!</v>
      </c>
      <c r="E48" s="76" t="str">
        <f t="shared" si="58"/>
        <v>#REF!</v>
      </c>
      <c r="F48" s="76" t="str">
        <f t="shared" si="58"/>
        <v>#REF!</v>
      </c>
      <c r="G48" s="76" t="str">
        <f t="shared" si="58"/>
        <v>#REF!</v>
      </c>
      <c r="H48" s="76" t="str">
        <f t="shared" si="58"/>
        <v>#REF!</v>
      </c>
      <c r="I48" s="78" t="str">
        <f t="shared" si="58"/>
        <v>#REF!</v>
      </c>
      <c r="J48" s="78" t="str">
        <f t="shared" si="58"/>
        <v>#REF!</v>
      </c>
      <c r="K48" s="78" t="str">
        <f t="shared" si="58"/>
        <v>#REF!</v>
      </c>
      <c r="L48" s="78" t="str">
        <f t="shared" si="58"/>
        <v>#REF!</v>
      </c>
      <c r="M48" s="78" t="str">
        <f t="shared" si="58"/>
        <v>#REF!</v>
      </c>
      <c r="N48" s="78" t="str">
        <f t="shared" si="58"/>
        <v>#REF!</v>
      </c>
      <c r="O48" s="76">
        <f t="shared" si="6"/>
        <v>0</v>
      </c>
      <c r="P48" s="76">
        <f t="shared" si="7"/>
        <v>0</v>
      </c>
      <c r="Q48" s="76">
        <f t="shared" si="8"/>
        <v>0</v>
      </c>
      <c r="R48" s="76">
        <f t="shared" si="9"/>
        <v>0</v>
      </c>
      <c r="S48" s="76" t="str">
        <f t="shared" si="10"/>
        <v>#REF!</v>
      </c>
      <c r="T48" s="76" t="str">
        <f t="shared" si="11"/>
        <v>#REF!</v>
      </c>
      <c r="U48" s="76" t="str">
        <f t="shared" si="12"/>
        <v>#REF!</v>
      </c>
      <c r="V48" s="76" t="str">
        <f t="shared" si="13"/>
        <v>#REF!</v>
      </c>
      <c r="W48" s="76" t="str">
        <f t="shared" si="14"/>
        <v>#REF!</v>
      </c>
      <c r="X48" s="76" t="str">
        <f t="shared" si="15"/>
        <v>#REF!</v>
      </c>
      <c r="Y48" s="76" t="str">
        <f t="shared" si="16"/>
        <v>#REF!</v>
      </c>
      <c r="Z48" s="76" t="str">
        <f t="shared" si="17"/>
        <v>#REF!</v>
      </c>
      <c r="AA48" s="76" t="str">
        <f t="shared" si="18"/>
        <v>#REF!</v>
      </c>
      <c r="AB48" s="76" t="str">
        <f t="shared" si="19"/>
        <v>#REF!</v>
      </c>
      <c r="AC48" s="76" t="str">
        <f t="shared" si="20"/>
        <v>#REF!</v>
      </c>
      <c r="AD48" s="76" t="str">
        <f t="shared" si="21"/>
        <v>#REF!</v>
      </c>
      <c r="AE48" s="76" t="str">
        <f t="shared" si="22"/>
        <v>#REF!</v>
      </c>
      <c r="AF48" s="76" t="str">
        <f t="shared" si="23"/>
        <v>#REF!</v>
      </c>
      <c r="AG48" s="76" t="str">
        <f t="shared" si="24"/>
        <v>#REF!</v>
      </c>
      <c r="AH48" s="76" t="str">
        <f t="shared" si="25"/>
        <v>#REF!</v>
      </c>
      <c r="AI48" s="76" t="str">
        <f t="shared" si="26"/>
        <v>#REF!</v>
      </c>
      <c r="AJ48" s="76" t="str">
        <f t="shared" si="27"/>
        <v>#REF!</v>
      </c>
      <c r="AK48" s="76" t="str">
        <f t="shared" si="28"/>
        <v>#REF!</v>
      </c>
      <c r="AL48" s="76" t="str">
        <f t="shared" si="29"/>
        <v>#REF!</v>
      </c>
      <c r="AM48" s="76" t="str">
        <f t="shared" si="30"/>
        <v>#REF!</v>
      </c>
      <c r="AN48" s="76" t="str">
        <f t="shared" si="31"/>
        <v>#REF!</v>
      </c>
      <c r="AO48" s="76" t="str">
        <f t="shared" si="32"/>
        <v>#REF!</v>
      </c>
      <c r="AP48" s="76" t="str">
        <f t="shared" si="33"/>
        <v>#REF!</v>
      </c>
    </row>
    <row r="49" ht="15.75" customHeight="1">
      <c r="A49" s="76" t="str">
        <f t="shared" si="57"/>
        <v>#REF!</v>
      </c>
      <c r="B49" s="76" t="str">
        <f t="shared" si="3"/>
        <v>#REF!</v>
      </c>
      <c r="C49" s="76" t="str">
        <f t="shared" si="4"/>
        <v>#REF!</v>
      </c>
      <c r="D49" s="76" t="str">
        <f t="shared" ref="D49:N49" si="59">#REF!</f>
        <v>#REF!</v>
      </c>
      <c r="E49" s="76" t="str">
        <f t="shared" si="59"/>
        <v>#REF!</v>
      </c>
      <c r="F49" s="76" t="str">
        <f t="shared" si="59"/>
        <v>#REF!</v>
      </c>
      <c r="G49" s="76" t="str">
        <f t="shared" si="59"/>
        <v>#REF!</v>
      </c>
      <c r="H49" s="76" t="str">
        <f t="shared" si="59"/>
        <v>#REF!</v>
      </c>
      <c r="I49" s="78" t="str">
        <f t="shared" si="59"/>
        <v>#REF!</v>
      </c>
      <c r="J49" s="78" t="str">
        <f t="shared" si="59"/>
        <v>#REF!</v>
      </c>
      <c r="K49" s="78" t="str">
        <f t="shared" si="59"/>
        <v>#REF!</v>
      </c>
      <c r="L49" s="78" t="str">
        <f t="shared" si="59"/>
        <v>#REF!</v>
      </c>
      <c r="M49" s="78" t="str">
        <f t="shared" si="59"/>
        <v>#REF!</v>
      </c>
      <c r="N49" s="78" t="str">
        <f t="shared" si="59"/>
        <v>#REF!</v>
      </c>
      <c r="O49" s="76">
        <f t="shared" si="6"/>
        <v>0</v>
      </c>
      <c r="P49" s="76">
        <f t="shared" si="7"/>
        <v>0</v>
      </c>
      <c r="Q49" s="76">
        <f t="shared" si="8"/>
        <v>0</v>
      </c>
      <c r="R49" s="76">
        <f t="shared" si="9"/>
        <v>0</v>
      </c>
      <c r="S49" s="76" t="str">
        <f t="shared" si="10"/>
        <v>#REF!</v>
      </c>
      <c r="T49" s="76" t="str">
        <f t="shared" si="11"/>
        <v>#REF!</v>
      </c>
      <c r="U49" s="76" t="str">
        <f t="shared" si="12"/>
        <v>#REF!</v>
      </c>
      <c r="V49" s="76" t="str">
        <f t="shared" si="13"/>
        <v>#REF!</v>
      </c>
      <c r="W49" s="76" t="str">
        <f t="shared" si="14"/>
        <v>#REF!</v>
      </c>
      <c r="X49" s="76" t="str">
        <f t="shared" si="15"/>
        <v>#REF!</v>
      </c>
      <c r="Y49" s="76" t="str">
        <f t="shared" si="16"/>
        <v>#REF!</v>
      </c>
      <c r="Z49" s="76" t="str">
        <f t="shared" si="17"/>
        <v>#REF!</v>
      </c>
      <c r="AA49" s="76" t="str">
        <f t="shared" si="18"/>
        <v>#REF!</v>
      </c>
      <c r="AB49" s="76" t="str">
        <f t="shared" si="19"/>
        <v>#REF!</v>
      </c>
      <c r="AC49" s="76" t="str">
        <f t="shared" si="20"/>
        <v>#REF!</v>
      </c>
      <c r="AD49" s="76" t="str">
        <f t="shared" si="21"/>
        <v>#REF!</v>
      </c>
      <c r="AE49" s="76" t="str">
        <f t="shared" si="22"/>
        <v>#REF!</v>
      </c>
      <c r="AF49" s="76" t="str">
        <f t="shared" si="23"/>
        <v>#REF!</v>
      </c>
      <c r="AG49" s="76" t="str">
        <f t="shared" si="24"/>
        <v>#REF!</v>
      </c>
      <c r="AH49" s="76" t="str">
        <f t="shared" si="25"/>
        <v>#REF!</v>
      </c>
      <c r="AI49" s="76" t="str">
        <f t="shared" si="26"/>
        <v>#REF!</v>
      </c>
      <c r="AJ49" s="76" t="str">
        <f t="shared" si="27"/>
        <v>#REF!</v>
      </c>
      <c r="AK49" s="76" t="str">
        <f t="shared" si="28"/>
        <v>#REF!</v>
      </c>
      <c r="AL49" s="76" t="str">
        <f t="shared" si="29"/>
        <v>#REF!</v>
      </c>
      <c r="AM49" s="76" t="str">
        <f t="shared" si="30"/>
        <v>#REF!</v>
      </c>
      <c r="AN49" s="76" t="str">
        <f t="shared" si="31"/>
        <v>#REF!</v>
      </c>
      <c r="AO49" s="76" t="str">
        <f t="shared" si="32"/>
        <v>#REF!</v>
      </c>
      <c r="AP49" s="76" t="str">
        <f t="shared" si="33"/>
        <v>#REF!</v>
      </c>
    </row>
    <row r="50" ht="15.75" customHeight="1">
      <c r="A50" s="76" t="str">
        <f t="shared" si="57"/>
        <v>#REF!</v>
      </c>
      <c r="B50" s="76" t="str">
        <f t="shared" si="3"/>
        <v>#REF!</v>
      </c>
      <c r="C50" s="76" t="str">
        <f t="shared" si="4"/>
        <v>#REF!</v>
      </c>
      <c r="D50" s="76" t="str">
        <f t="shared" ref="D50:N50" si="60">#REF!</f>
        <v>#REF!</v>
      </c>
      <c r="E50" s="76" t="str">
        <f t="shared" si="60"/>
        <v>#REF!</v>
      </c>
      <c r="F50" s="76" t="str">
        <f t="shared" si="60"/>
        <v>#REF!</v>
      </c>
      <c r="G50" s="76" t="str">
        <f t="shared" si="60"/>
        <v>#REF!</v>
      </c>
      <c r="H50" s="76" t="str">
        <f t="shared" si="60"/>
        <v>#REF!</v>
      </c>
      <c r="I50" s="78" t="str">
        <f t="shared" si="60"/>
        <v>#REF!</v>
      </c>
      <c r="J50" s="78" t="str">
        <f t="shared" si="60"/>
        <v>#REF!</v>
      </c>
      <c r="K50" s="78" t="str">
        <f t="shared" si="60"/>
        <v>#REF!</v>
      </c>
      <c r="L50" s="78" t="str">
        <f t="shared" si="60"/>
        <v>#REF!</v>
      </c>
      <c r="M50" s="78" t="str">
        <f t="shared" si="60"/>
        <v>#REF!</v>
      </c>
      <c r="N50" s="78" t="str">
        <f t="shared" si="60"/>
        <v>#REF!</v>
      </c>
      <c r="O50" s="76">
        <f t="shared" si="6"/>
        <v>0</v>
      </c>
      <c r="P50" s="76">
        <f t="shared" si="7"/>
        <v>0</v>
      </c>
      <c r="Q50" s="76">
        <f t="shared" si="8"/>
        <v>0</v>
      </c>
      <c r="R50" s="76">
        <f t="shared" si="9"/>
        <v>0</v>
      </c>
      <c r="S50" s="76" t="str">
        <f t="shared" si="10"/>
        <v>#REF!</v>
      </c>
      <c r="T50" s="76" t="str">
        <f t="shared" si="11"/>
        <v>#REF!</v>
      </c>
      <c r="U50" s="76" t="str">
        <f t="shared" si="12"/>
        <v>#REF!</v>
      </c>
      <c r="V50" s="76" t="str">
        <f t="shared" si="13"/>
        <v>#REF!</v>
      </c>
      <c r="W50" s="76" t="str">
        <f t="shared" si="14"/>
        <v>#REF!</v>
      </c>
      <c r="X50" s="76" t="str">
        <f t="shared" si="15"/>
        <v>#REF!</v>
      </c>
      <c r="Y50" s="76" t="str">
        <f t="shared" si="16"/>
        <v>#REF!</v>
      </c>
      <c r="Z50" s="76" t="str">
        <f t="shared" si="17"/>
        <v>#REF!</v>
      </c>
      <c r="AA50" s="76" t="str">
        <f t="shared" si="18"/>
        <v>#REF!</v>
      </c>
      <c r="AB50" s="76" t="str">
        <f t="shared" si="19"/>
        <v>#REF!</v>
      </c>
      <c r="AC50" s="76" t="str">
        <f t="shared" si="20"/>
        <v>#REF!</v>
      </c>
      <c r="AD50" s="76" t="str">
        <f t="shared" si="21"/>
        <v>#REF!</v>
      </c>
      <c r="AE50" s="76" t="str">
        <f t="shared" si="22"/>
        <v>#REF!</v>
      </c>
      <c r="AF50" s="76" t="str">
        <f t="shared" si="23"/>
        <v>#REF!</v>
      </c>
      <c r="AG50" s="76" t="str">
        <f t="shared" si="24"/>
        <v>#REF!</v>
      </c>
      <c r="AH50" s="76" t="str">
        <f t="shared" si="25"/>
        <v>#REF!</v>
      </c>
      <c r="AI50" s="76" t="str">
        <f t="shared" si="26"/>
        <v>#REF!</v>
      </c>
      <c r="AJ50" s="76" t="str">
        <f t="shared" si="27"/>
        <v>#REF!</v>
      </c>
      <c r="AK50" s="76" t="str">
        <f t="shared" si="28"/>
        <v>#REF!</v>
      </c>
      <c r="AL50" s="76" t="str">
        <f t="shared" si="29"/>
        <v>#REF!</v>
      </c>
      <c r="AM50" s="76" t="str">
        <f t="shared" si="30"/>
        <v>#REF!</v>
      </c>
      <c r="AN50" s="76" t="str">
        <f t="shared" si="31"/>
        <v>#REF!</v>
      </c>
      <c r="AO50" s="76" t="str">
        <f t="shared" si="32"/>
        <v>#REF!</v>
      </c>
      <c r="AP50" s="76" t="str">
        <f t="shared" si="33"/>
        <v>#REF!</v>
      </c>
    </row>
    <row r="51" ht="15.75" customHeight="1">
      <c r="A51" s="76" t="str">
        <f t="shared" si="57"/>
        <v>#REF!</v>
      </c>
      <c r="B51" s="76" t="str">
        <f t="shared" si="3"/>
        <v>#REF!</v>
      </c>
      <c r="C51" s="76" t="str">
        <f t="shared" si="4"/>
        <v>#REF!</v>
      </c>
      <c r="D51" s="76" t="str">
        <f t="shared" ref="D51:N51" si="61">#REF!</f>
        <v>#REF!</v>
      </c>
      <c r="E51" s="76" t="str">
        <f t="shared" si="61"/>
        <v>#REF!</v>
      </c>
      <c r="F51" s="76" t="str">
        <f t="shared" si="61"/>
        <v>#REF!</v>
      </c>
      <c r="G51" s="76" t="str">
        <f t="shared" si="61"/>
        <v>#REF!</v>
      </c>
      <c r="H51" s="76" t="str">
        <f t="shared" si="61"/>
        <v>#REF!</v>
      </c>
      <c r="I51" s="78" t="str">
        <f t="shared" si="61"/>
        <v>#REF!</v>
      </c>
      <c r="J51" s="78" t="str">
        <f t="shared" si="61"/>
        <v>#REF!</v>
      </c>
      <c r="K51" s="78" t="str">
        <f t="shared" si="61"/>
        <v>#REF!</v>
      </c>
      <c r="L51" s="78" t="str">
        <f t="shared" si="61"/>
        <v>#REF!</v>
      </c>
      <c r="M51" s="78" t="str">
        <f t="shared" si="61"/>
        <v>#REF!</v>
      </c>
      <c r="N51" s="78" t="str">
        <f t="shared" si="61"/>
        <v>#REF!</v>
      </c>
      <c r="O51" s="76">
        <f t="shared" si="6"/>
        <v>0</v>
      </c>
      <c r="P51" s="76">
        <f t="shared" si="7"/>
        <v>0</v>
      </c>
      <c r="Q51" s="76">
        <f t="shared" si="8"/>
        <v>0</v>
      </c>
      <c r="R51" s="76">
        <f t="shared" si="9"/>
        <v>0</v>
      </c>
      <c r="S51" s="76" t="str">
        <f t="shared" si="10"/>
        <v>#REF!</v>
      </c>
      <c r="T51" s="76" t="str">
        <f t="shared" si="11"/>
        <v>#REF!</v>
      </c>
      <c r="U51" s="76" t="str">
        <f t="shared" si="12"/>
        <v>#REF!</v>
      </c>
      <c r="V51" s="76" t="str">
        <f t="shared" si="13"/>
        <v>#REF!</v>
      </c>
      <c r="W51" s="76" t="str">
        <f t="shared" si="14"/>
        <v>#REF!</v>
      </c>
      <c r="X51" s="76" t="str">
        <f t="shared" si="15"/>
        <v>#REF!</v>
      </c>
      <c r="Y51" s="76" t="str">
        <f t="shared" si="16"/>
        <v>#REF!</v>
      </c>
      <c r="Z51" s="76" t="str">
        <f t="shared" si="17"/>
        <v>#REF!</v>
      </c>
      <c r="AA51" s="76" t="str">
        <f t="shared" si="18"/>
        <v>#REF!</v>
      </c>
      <c r="AB51" s="76" t="str">
        <f t="shared" si="19"/>
        <v>#REF!</v>
      </c>
      <c r="AC51" s="76" t="str">
        <f t="shared" si="20"/>
        <v>#REF!</v>
      </c>
      <c r="AD51" s="76" t="str">
        <f t="shared" si="21"/>
        <v>#REF!</v>
      </c>
      <c r="AE51" s="76" t="str">
        <f t="shared" si="22"/>
        <v>#REF!</v>
      </c>
      <c r="AF51" s="76" t="str">
        <f t="shared" si="23"/>
        <v>#REF!</v>
      </c>
      <c r="AG51" s="76" t="str">
        <f t="shared" si="24"/>
        <v>#REF!</v>
      </c>
      <c r="AH51" s="76" t="str">
        <f t="shared" si="25"/>
        <v>#REF!</v>
      </c>
      <c r="AI51" s="76" t="str">
        <f t="shared" si="26"/>
        <v>#REF!</v>
      </c>
      <c r="AJ51" s="76" t="str">
        <f t="shared" si="27"/>
        <v>#REF!</v>
      </c>
      <c r="AK51" s="76" t="str">
        <f t="shared" si="28"/>
        <v>#REF!</v>
      </c>
      <c r="AL51" s="76" t="str">
        <f t="shared" si="29"/>
        <v>#REF!</v>
      </c>
      <c r="AM51" s="76" t="str">
        <f t="shared" si="30"/>
        <v>#REF!</v>
      </c>
      <c r="AN51" s="76" t="str">
        <f t="shared" si="31"/>
        <v>#REF!</v>
      </c>
      <c r="AO51" s="76" t="str">
        <f t="shared" si="32"/>
        <v>#REF!</v>
      </c>
      <c r="AP51" s="76" t="str">
        <f t="shared" si="33"/>
        <v>#REF!</v>
      </c>
    </row>
    <row r="52" ht="15.75" customHeight="1">
      <c r="A52" s="76" t="str">
        <f t="shared" si="57"/>
        <v>#REF!</v>
      </c>
      <c r="B52" s="76" t="str">
        <f t="shared" si="3"/>
        <v>#REF!</v>
      </c>
      <c r="C52" s="76" t="str">
        <f t="shared" si="4"/>
        <v>#REF!</v>
      </c>
      <c r="D52" s="76" t="str">
        <f t="shared" ref="D52:N52" si="62">#REF!</f>
        <v>#REF!</v>
      </c>
      <c r="E52" s="76" t="str">
        <f t="shared" si="62"/>
        <v>#REF!</v>
      </c>
      <c r="F52" s="76" t="str">
        <f t="shared" si="62"/>
        <v>#REF!</v>
      </c>
      <c r="G52" s="76" t="str">
        <f t="shared" si="62"/>
        <v>#REF!</v>
      </c>
      <c r="H52" s="76" t="str">
        <f t="shared" si="62"/>
        <v>#REF!</v>
      </c>
      <c r="I52" s="78" t="str">
        <f t="shared" si="62"/>
        <v>#REF!</v>
      </c>
      <c r="J52" s="78" t="str">
        <f t="shared" si="62"/>
        <v>#REF!</v>
      </c>
      <c r="K52" s="78" t="str">
        <f t="shared" si="62"/>
        <v>#REF!</v>
      </c>
      <c r="L52" s="78" t="str">
        <f t="shared" si="62"/>
        <v>#REF!</v>
      </c>
      <c r="M52" s="78" t="str">
        <f t="shared" si="62"/>
        <v>#REF!</v>
      </c>
      <c r="N52" s="78" t="str">
        <f t="shared" si="62"/>
        <v>#REF!</v>
      </c>
      <c r="O52" s="76">
        <f t="shared" si="6"/>
        <v>0</v>
      </c>
      <c r="P52" s="76">
        <f t="shared" si="7"/>
        <v>0</v>
      </c>
      <c r="Q52" s="76">
        <f t="shared" si="8"/>
        <v>0</v>
      </c>
      <c r="R52" s="76">
        <f t="shared" si="9"/>
        <v>0</v>
      </c>
      <c r="S52" s="76" t="str">
        <f t="shared" si="10"/>
        <v>#REF!</v>
      </c>
      <c r="T52" s="76" t="str">
        <f t="shared" si="11"/>
        <v>#REF!</v>
      </c>
      <c r="U52" s="76" t="str">
        <f t="shared" si="12"/>
        <v>#REF!</v>
      </c>
      <c r="V52" s="76" t="str">
        <f t="shared" si="13"/>
        <v>#REF!</v>
      </c>
      <c r="W52" s="76" t="str">
        <f t="shared" si="14"/>
        <v>#REF!</v>
      </c>
      <c r="X52" s="76" t="str">
        <f t="shared" si="15"/>
        <v>#REF!</v>
      </c>
      <c r="Y52" s="76" t="str">
        <f t="shared" si="16"/>
        <v>#REF!</v>
      </c>
      <c r="Z52" s="76" t="str">
        <f t="shared" si="17"/>
        <v>#REF!</v>
      </c>
      <c r="AA52" s="76" t="str">
        <f t="shared" si="18"/>
        <v>#REF!</v>
      </c>
      <c r="AB52" s="76" t="str">
        <f t="shared" si="19"/>
        <v>#REF!</v>
      </c>
      <c r="AC52" s="76" t="str">
        <f t="shared" si="20"/>
        <v>#REF!</v>
      </c>
      <c r="AD52" s="76" t="str">
        <f t="shared" si="21"/>
        <v>#REF!</v>
      </c>
      <c r="AE52" s="76" t="str">
        <f t="shared" si="22"/>
        <v>#REF!</v>
      </c>
      <c r="AF52" s="76" t="str">
        <f t="shared" si="23"/>
        <v>#REF!</v>
      </c>
      <c r="AG52" s="76" t="str">
        <f t="shared" si="24"/>
        <v>#REF!</v>
      </c>
      <c r="AH52" s="76" t="str">
        <f t="shared" si="25"/>
        <v>#REF!</v>
      </c>
      <c r="AI52" s="76" t="str">
        <f t="shared" si="26"/>
        <v>#REF!</v>
      </c>
      <c r="AJ52" s="76" t="str">
        <f t="shared" si="27"/>
        <v>#REF!</v>
      </c>
      <c r="AK52" s="76" t="str">
        <f t="shared" si="28"/>
        <v>#REF!</v>
      </c>
      <c r="AL52" s="76" t="str">
        <f t="shared" si="29"/>
        <v>#REF!</v>
      </c>
      <c r="AM52" s="76" t="str">
        <f t="shared" si="30"/>
        <v>#REF!</v>
      </c>
      <c r="AN52" s="76" t="str">
        <f t="shared" si="31"/>
        <v>#REF!</v>
      </c>
      <c r="AO52" s="76" t="str">
        <f t="shared" si="32"/>
        <v>#REF!</v>
      </c>
      <c r="AP52" s="76" t="str">
        <f t="shared" si="33"/>
        <v>#REF!</v>
      </c>
    </row>
    <row r="53" ht="15.75" customHeight="1">
      <c r="A53" s="76" t="str">
        <f t="shared" si="57"/>
        <v>#REF!</v>
      </c>
      <c r="B53" s="76" t="str">
        <f t="shared" si="3"/>
        <v>#REF!</v>
      </c>
      <c r="C53" s="76" t="str">
        <f t="shared" si="4"/>
        <v>#REF!</v>
      </c>
      <c r="D53" s="76" t="str">
        <f t="shared" ref="D53:N53" si="63">#REF!</f>
        <v>#REF!</v>
      </c>
      <c r="E53" s="76" t="str">
        <f t="shared" si="63"/>
        <v>#REF!</v>
      </c>
      <c r="F53" s="76" t="str">
        <f t="shared" si="63"/>
        <v>#REF!</v>
      </c>
      <c r="G53" s="76" t="str">
        <f t="shared" si="63"/>
        <v>#REF!</v>
      </c>
      <c r="H53" s="76" t="str">
        <f t="shared" si="63"/>
        <v>#REF!</v>
      </c>
      <c r="I53" s="78" t="str">
        <f t="shared" si="63"/>
        <v>#REF!</v>
      </c>
      <c r="J53" s="78" t="str">
        <f t="shared" si="63"/>
        <v>#REF!</v>
      </c>
      <c r="K53" s="78" t="str">
        <f t="shared" si="63"/>
        <v>#REF!</v>
      </c>
      <c r="L53" s="78" t="str">
        <f t="shared" si="63"/>
        <v>#REF!</v>
      </c>
      <c r="M53" s="78" t="str">
        <f t="shared" si="63"/>
        <v>#REF!</v>
      </c>
      <c r="N53" s="78" t="str">
        <f t="shared" si="63"/>
        <v>#REF!</v>
      </c>
      <c r="O53" s="76">
        <f t="shared" si="6"/>
        <v>0</v>
      </c>
      <c r="P53" s="76">
        <f t="shared" si="7"/>
        <v>0</v>
      </c>
      <c r="Q53" s="76">
        <f t="shared" si="8"/>
        <v>0</v>
      </c>
      <c r="R53" s="76">
        <f t="shared" si="9"/>
        <v>0</v>
      </c>
      <c r="S53" s="76" t="str">
        <f t="shared" si="10"/>
        <v>#REF!</v>
      </c>
      <c r="T53" s="76" t="str">
        <f t="shared" si="11"/>
        <v>#REF!</v>
      </c>
      <c r="U53" s="76" t="str">
        <f t="shared" si="12"/>
        <v>#REF!</v>
      </c>
      <c r="V53" s="76" t="str">
        <f t="shared" si="13"/>
        <v>#REF!</v>
      </c>
      <c r="W53" s="76" t="str">
        <f t="shared" si="14"/>
        <v>#REF!</v>
      </c>
      <c r="X53" s="76" t="str">
        <f t="shared" si="15"/>
        <v>#REF!</v>
      </c>
      <c r="Y53" s="76" t="str">
        <f t="shared" si="16"/>
        <v>#REF!</v>
      </c>
      <c r="Z53" s="76" t="str">
        <f t="shared" si="17"/>
        <v>#REF!</v>
      </c>
      <c r="AA53" s="76" t="str">
        <f t="shared" si="18"/>
        <v>#REF!</v>
      </c>
      <c r="AB53" s="76" t="str">
        <f t="shared" si="19"/>
        <v>#REF!</v>
      </c>
      <c r="AC53" s="76" t="str">
        <f t="shared" si="20"/>
        <v>#REF!</v>
      </c>
      <c r="AD53" s="76" t="str">
        <f t="shared" si="21"/>
        <v>#REF!</v>
      </c>
      <c r="AE53" s="76" t="str">
        <f t="shared" si="22"/>
        <v>#REF!</v>
      </c>
      <c r="AF53" s="76" t="str">
        <f t="shared" si="23"/>
        <v>#REF!</v>
      </c>
      <c r="AG53" s="76" t="str">
        <f t="shared" si="24"/>
        <v>#REF!</v>
      </c>
      <c r="AH53" s="76" t="str">
        <f t="shared" si="25"/>
        <v>#REF!</v>
      </c>
      <c r="AI53" s="76" t="str">
        <f t="shared" si="26"/>
        <v>#REF!</v>
      </c>
      <c r="AJ53" s="76" t="str">
        <f t="shared" si="27"/>
        <v>#REF!</v>
      </c>
      <c r="AK53" s="76" t="str">
        <f t="shared" si="28"/>
        <v>#REF!</v>
      </c>
      <c r="AL53" s="76" t="str">
        <f t="shared" si="29"/>
        <v>#REF!</v>
      </c>
      <c r="AM53" s="76" t="str">
        <f t="shared" si="30"/>
        <v>#REF!</v>
      </c>
      <c r="AN53" s="76" t="str">
        <f t="shared" si="31"/>
        <v>#REF!</v>
      </c>
      <c r="AO53" s="76" t="str">
        <f t="shared" si="32"/>
        <v>#REF!</v>
      </c>
      <c r="AP53" s="76" t="str">
        <f t="shared" si="33"/>
        <v>#REF!</v>
      </c>
    </row>
    <row r="54" ht="15.75" customHeight="1">
      <c r="A54" s="76" t="str">
        <f t="shared" si="57"/>
        <v>#REF!</v>
      </c>
      <c r="B54" s="76" t="str">
        <f t="shared" si="3"/>
        <v>#REF!</v>
      </c>
      <c r="C54" s="76" t="str">
        <f t="shared" si="4"/>
        <v>#REF!</v>
      </c>
      <c r="D54" s="76" t="str">
        <f t="shared" ref="D54:N54" si="64">#REF!</f>
        <v>#REF!</v>
      </c>
      <c r="E54" s="76" t="str">
        <f t="shared" si="64"/>
        <v>#REF!</v>
      </c>
      <c r="F54" s="76" t="str">
        <f t="shared" si="64"/>
        <v>#REF!</v>
      </c>
      <c r="G54" s="76" t="str">
        <f t="shared" si="64"/>
        <v>#REF!</v>
      </c>
      <c r="H54" s="76" t="str">
        <f t="shared" si="64"/>
        <v>#REF!</v>
      </c>
      <c r="I54" s="78" t="str">
        <f t="shared" si="64"/>
        <v>#REF!</v>
      </c>
      <c r="J54" s="78" t="str">
        <f t="shared" si="64"/>
        <v>#REF!</v>
      </c>
      <c r="K54" s="78" t="str">
        <f t="shared" si="64"/>
        <v>#REF!</v>
      </c>
      <c r="L54" s="78" t="str">
        <f t="shared" si="64"/>
        <v>#REF!</v>
      </c>
      <c r="M54" s="78" t="str">
        <f t="shared" si="64"/>
        <v>#REF!</v>
      </c>
      <c r="N54" s="78" t="str">
        <f t="shared" si="64"/>
        <v>#REF!</v>
      </c>
      <c r="O54" s="76">
        <f t="shared" si="6"/>
        <v>0</v>
      </c>
      <c r="P54" s="76">
        <f t="shared" si="7"/>
        <v>0</v>
      </c>
      <c r="Q54" s="76">
        <f t="shared" si="8"/>
        <v>0</v>
      </c>
      <c r="R54" s="76">
        <f t="shared" si="9"/>
        <v>0</v>
      </c>
      <c r="S54" s="76" t="str">
        <f t="shared" si="10"/>
        <v>#REF!</v>
      </c>
      <c r="T54" s="76" t="str">
        <f t="shared" si="11"/>
        <v>#REF!</v>
      </c>
      <c r="U54" s="76" t="str">
        <f t="shared" si="12"/>
        <v>#REF!</v>
      </c>
      <c r="V54" s="76" t="str">
        <f t="shared" si="13"/>
        <v>#REF!</v>
      </c>
      <c r="W54" s="76" t="str">
        <f t="shared" si="14"/>
        <v>#REF!</v>
      </c>
      <c r="X54" s="76" t="str">
        <f t="shared" si="15"/>
        <v>#REF!</v>
      </c>
      <c r="Y54" s="76" t="str">
        <f t="shared" si="16"/>
        <v>#REF!</v>
      </c>
      <c r="Z54" s="76" t="str">
        <f t="shared" si="17"/>
        <v>#REF!</v>
      </c>
      <c r="AA54" s="76" t="str">
        <f t="shared" si="18"/>
        <v>#REF!</v>
      </c>
      <c r="AB54" s="76" t="str">
        <f t="shared" si="19"/>
        <v>#REF!</v>
      </c>
      <c r="AC54" s="76" t="str">
        <f t="shared" si="20"/>
        <v>#REF!</v>
      </c>
      <c r="AD54" s="76" t="str">
        <f t="shared" si="21"/>
        <v>#REF!</v>
      </c>
      <c r="AE54" s="76" t="str">
        <f t="shared" si="22"/>
        <v>#REF!</v>
      </c>
      <c r="AF54" s="76" t="str">
        <f t="shared" si="23"/>
        <v>#REF!</v>
      </c>
      <c r="AG54" s="76" t="str">
        <f t="shared" si="24"/>
        <v>#REF!</v>
      </c>
      <c r="AH54" s="76" t="str">
        <f t="shared" si="25"/>
        <v>#REF!</v>
      </c>
      <c r="AI54" s="76" t="str">
        <f t="shared" si="26"/>
        <v>#REF!</v>
      </c>
      <c r="AJ54" s="76" t="str">
        <f t="shared" si="27"/>
        <v>#REF!</v>
      </c>
      <c r="AK54" s="76" t="str">
        <f t="shared" si="28"/>
        <v>#REF!</v>
      </c>
      <c r="AL54" s="76" t="str">
        <f t="shared" si="29"/>
        <v>#REF!</v>
      </c>
      <c r="AM54" s="76" t="str">
        <f t="shared" si="30"/>
        <v>#REF!</v>
      </c>
      <c r="AN54" s="76" t="str">
        <f t="shared" si="31"/>
        <v>#REF!</v>
      </c>
      <c r="AO54" s="76" t="str">
        <f t="shared" si="32"/>
        <v>#REF!</v>
      </c>
      <c r="AP54" s="76" t="str">
        <f t="shared" si="33"/>
        <v>#REF!</v>
      </c>
    </row>
    <row r="55" ht="15.75" customHeight="1">
      <c r="A55" s="76" t="str">
        <f t="shared" si="57"/>
        <v>#REF!</v>
      </c>
      <c r="B55" s="76" t="str">
        <f t="shared" si="3"/>
        <v>#REF!</v>
      </c>
      <c r="C55" s="76" t="str">
        <f t="shared" si="4"/>
        <v>#REF!</v>
      </c>
      <c r="D55" s="76" t="str">
        <f t="shared" ref="D55:N55" si="65">#REF!</f>
        <v>#REF!</v>
      </c>
      <c r="E55" s="76" t="str">
        <f t="shared" si="65"/>
        <v>#REF!</v>
      </c>
      <c r="F55" s="76" t="str">
        <f t="shared" si="65"/>
        <v>#REF!</v>
      </c>
      <c r="G55" s="76" t="str">
        <f t="shared" si="65"/>
        <v>#REF!</v>
      </c>
      <c r="H55" s="76" t="str">
        <f t="shared" si="65"/>
        <v>#REF!</v>
      </c>
      <c r="I55" s="78" t="str">
        <f t="shared" si="65"/>
        <v>#REF!</v>
      </c>
      <c r="J55" s="78" t="str">
        <f t="shared" si="65"/>
        <v>#REF!</v>
      </c>
      <c r="K55" s="78" t="str">
        <f t="shared" si="65"/>
        <v>#REF!</v>
      </c>
      <c r="L55" s="78" t="str">
        <f t="shared" si="65"/>
        <v>#REF!</v>
      </c>
      <c r="M55" s="78" t="str">
        <f t="shared" si="65"/>
        <v>#REF!</v>
      </c>
      <c r="N55" s="78" t="str">
        <f t="shared" si="65"/>
        <v>#REF!</v>
      </c>
      <c r="O55" s="76">
        <f t="shared" si="6"/>
        <v>0</v>
      </c>
      <c r="P55" s="76">
        <f t="shared" si="7"/>
        <v>0</v>
      </c>
      <c r="Q55" s="76">
        <f t="shared" si="8"/>
        <v>0</v>
      </c>
      <c r="R55" s="76">
        <f t="shared" si="9"/>
        <v>0</v>
      </c>
      <c r="S55" s="76" t="str">
        <f t="shared" si="10"/>
        <v>#REF!</v>
      </c>
      <c r="T55" s="76" t="str">
        <f t="shared" si="11"/>
        <v>#REF!</v>
      </c>
      <c r="U55" s="76" t="str">
        <f t="shared" si="12"/>
        <v>#REF!</v>
      </c>
      <c r="V55" s="76" t="str">
        <f t="shared" si="13"/>
        <v>#REF!</v>
      </c>
      <c r="W55" s="76" t="str">
        <f t="shared" si="14"/>
        <v>#REF!</v>
      </c>
      <c r="X55" s="76" t="str">
        <f t="shared" si="15"/>
        <v>#REF!</v>
      </c>
      <c r="Y55" s="76" t="str">
        <f t="shared" si="16"/>
        <v>#REF!</v>
      </c>
      <c r="Z55" s="76" t="str">
        <f t="shared" si="17"/>
        <v>#REF!</v>
      </c>
      <c r="AA55" s="76" t="str">
        <f t="shared" si="18"/>
        <v>#REF!</v>
      </c>
      <c r="AB55" s="76" t="str">
        <f t="shared" si="19"/>
        <v>#REF!</v>
      </c>
      <c r="AC55" s="76" t="str">
        <f t="shared" si="20"/>
        <v>#REF!</v>
      </c>
      <c r="AD55" s="76" t="str">
        <f t="shared" si="21"/>
        <v>#REF!</v>
      </c>
      <c r="AE55" s="76" t="str">
        <f t="shared" si="22"/>
        <v>#REF!</v>
      </c>
      <c r="AF55" s="76" t="str">
        <f t="shared" si="23"/>
        <v>#REF!</v>
      </c>
      <c r="AG55" s="76" t="str">
        <f t="shared" si="24"/>
        <v>#REF!</v>
      </c>
      <c r="AH55" s="76" t="str">
        <f t="shared" si="25"/>
        <v>#REF!</v>
      </c>
      <c r="AI55" s="76" t="str">
        <f t="shared" si="26"/>
        <v>#REF!</v>
      </c>
      <c r="AJ55" s="76" t="str">
        <f t="shared" si="27"/>
        <v>#REF!</v>
      </c>
      <c r="AK55" s="76" t="str">
        <f t="shared" si="28"/>
        <v>#REF!</v>
      </c>
      <c r="AL55" s="76" t="str">
        <f t="shared" si="29"/>
        <v>#REF!</v>
      </c>
      <c r="AM55" s="76" t="str">
        <f t="shared" si="30"/>
        <v>#REF!</v>
      </c>
      <c r="AN55" s="76" t="str">
        <f t="shared" si="31"/>
        <v>#REF!</v>
      </c>
      <c r="AO55" s="76" t="str">
        <f t="shared" si="32"/>
        <v>#REF!</v>
      </c>
      <c r="AP55" s="76" t="str">
        <f t="shared" si="33"/>
        <v>#REF!</v>
      </c>
    </row>
    <row r="56" ht="15.75" customHeight="1">
      <c r="A56" s="76" t="str">
        <f t="shared" si="57"/>
        <v>#REF!</v>
      </c>
      <c r="B56" s="76" t="str">
        <f t="shared" si="3"/>
        <v>#REF!</v>
      </c>
      <c r="C56" s="76" t="str">
        <f t="shared" si="4"/>
        <v>#REF!</v>
      </c>
      <c r="D56" s="76" t="str">
        <f t="shared" ref="D56:N56" si="66">#REF!</f>
        <v>#REF!</v>
      </c>
      <c r="E56" s="76" t="str">
        <f t="shared" si="66"/>
        <v>#REF!</v>
      </c>
      <c r="F56" s="76" t="str">
        <f t="shared" si="66"/>
        <v>#REF!</v>
      </c>
      <c r="G56" s="76" t="str">
        <f t="shared" si="66"/>
        <v>#REF!</v>
      </c>
      <c r="H56" s="76" t="str">
        <f t="shared" si="66"/>
        <v>#REF!</v>
      </c>
      <c r="I56" s="78" t="str">
        <f t="shared" si="66"/>
        <v>#REF!</v>
      </c>
      <c r="J56" s="78" t="str">
        <f t="shared" si="66"/>
        <v>#REF!</v>
      </c>
      <c r="K56" s="78" t="str">
        <f t="shared" si="66"/>
        <v>#REF!</v>
      </c>
      <c r="L56" s="78" t="str">
        <f t="shared" si="66"/>
        <v>#REF!</v>
      </c>
      <c r="M56" s="78" t="str">
        <f t="shared" si="66"/>
        <v>#REF!</v>
      </c>
      <c r="N56" s="78" t="str">
        <f t="shared" si="66"/>
        <v>#REF!</v>
      </c>
      <c r="O56" s="76">
        <f t="shared" si="6"/>
        <v>0</v>
      </c>
      <c r="P56" s="76">
        <f t="shared" si="7"/>
        <v>0</v>
      </c>
      <c r="Q56" s="76">
        <f t="shared" si="8"/>
        <v>0</v>
      </c>
      <c r="R56" s="76">
        <f t="shared" si="9"/>
        <v>0</v>
      </c>
      <c r="S56" s="76" t="str">
        <f t="shared" si="10"/>
        <v>#REF!</v>
      </c>
      <c r="T56" s="76" t="str">
        <f t="shared" si="11"/>
        <v>#REF!</v>
      </c>
      <c r="U56" s="76" t="str">
        <f t="shared" si="12"/>
        <v>#REF!</v>
      </c>
      <c r="V56" s="76" t="str">
        <f t="shared" si="13"/>
        <v>#REF!</v>
      </c>
      <c r="W56" s="76" t="str">
        <f t="shared" si="14"/>
        <v>#REF!</v>
      </c>
      <c r="X56" s="76" t="str">
        <f t="shared" si="15"/>
        <v>#REF!</v>
      </c>
      <c r="Y56" s="76" t="str">
        <f t="shared" si="16"/>
        <v>#REF!</v>
      </c>
      <c r="Z56" s="76" t="str">
        <f t="shared" si="17"/>
        <v>#REF!</v>
      </c>
      <c r="AA56" s="76" t="str">
        <f t="shared" si="18"/>
        <v>#REF!</v>
      </c>
      <c r="AB56" s="76" t="str">
        <f t="shared" si="19"/>
        <v>#REF!</v>
      </c>
      <c r="AC56" s="76" t="str">
        <f t="shared" si="20"/>
        <v>#REF!</v>
      </c>
      <c r="AD56" s="76" t="str">
        <f t="shared" si="21"/>
        <v>#REF!</v>
      </c>
      <c r="AE56" s="76" t="str">
        <f t="shared" si="22"/>
        <v>#REF!</v>
      </c>
      <c r="AF56" s="76" t="str">
        <f t="shared" si="23"/>
        <v>#REF!</v>
      </c>
      <c r="AG56" s="76" t="str">
        <f t="shared" si="24"/>
        <v>#REF!</v>
      </c>
      <c r="AH56" s="76" t="str">
        <f t="shared" si="25"/>
        <v>#REF!</v>
      </c>
      <c r="AI56" s="76" t="str">
        <f t="shared" si="26"/>
        <v>#REF!</v>
      </c>
      <c r="AJ56" s="76" t="str">
        <f t="shared" si="27"/>
        <v>#REF!</v>
      </c>
      <c r="AK56" s="76" t="str">
        <f t="shared" si="28"/>
        <v>#REF!</v>
      </c>
      <c r="AL56" s="76" t="str">
        <f t="shared" si="29"/>
        <v>#REF!</v>
      </c>
      <c r="AM56" s="76" t="str">
        <f t="shared" si="30"/>
        <v>#REF!</v>
      </c>
      <c r="AN56" s="76" t="str">
        <f t="shared" si="31"/>
        <v>#REF!</v>
      </c>
      <c r="AO56" s="76" t="str">
        <f t="shared" si="32"/>
        <v>#REF!</v>
      </c>
      <c r="AP56" s="76" t="str">
        <f t="shared" si="33"/>
        <v>#REF!</v>
      </c>
    </row>
    <row r="57" ht="15.75" customHeight="1">
      <c r="A57" s="76" t="str">
        <f t="shared" si="57"/>
        <v>#REF!</v>
      </c>
      <c r="B57" s="76" t="str">
        <f t="shared" si="3"/>
        <v>#REF!</v>
      </c>
      <c r="C57" s="76" t="str">
        <f t="shared" si="4"/>
        <v>#REF!</v>
      </c>
      <c r="D57" s="76" t="str">
        <f t="shared" ref="D57:N57" si="67">#REF!</f>
        <v>#REF!</v>
      </c>
      <c r="E57" s="76" t="str">
        <f t="shared" si="67"/>
        <v>#REF!</v>
      </c>
      <c r="F57" s="76" t="str">
        <f t="shared" si="67"/>
        <v>#REF!</v>
      </c>
      <c r="G57" s="76" t="str">
        <f t="shared" si="67"/>
        <v>#REF!</v>
      </c>
      <c r="H57" s="76" t="str">
        <f t="shared" si="67"/>
        <v>#REF!</v>
      </c>
      <c r="I57" s="78" t="str">
        <f t="shared" si="67"/>
        <v>#REF!</v>
      </c>
      <c r="J57" s="78" t="str">
        <f t="shared" si="67"/>
        <v>#REF!</v>
      </c>
      <c r="K57" s="78" t="str">
        <f t="shared" si="67"/>
        <v>#REF!</v>
      </c>
      <c r="L57" s="78" t="str">
        <f t="shared" si="67"/>
        <v>#REF!</v>
      </c>
      <c r="M57" s="78" t="str">
        <f t="shared" si="67"/>
        <v>#REF!</v>
      </c>
      <c r="N57" s="78" t="str">
        <f t="shared" si="67"/>
        <v>#REF!</v>
      </c>
      <c r="O57" s="76">
        <f t="shared" si="6"/>
        <v>0</v>
      </c>
      <c r="P57" s="76">
        <f t="shared" si="7"/>
        <v>0</v>
      </c>
      <c r="Q57" s="76">
        <f t="shared" si="8"/>
        <v>0</v>
      </c>
      <c r="R57" s="76">
        <f t="shared" si="9"/>
        <v>0</v>
      </c>
      <c r="S57" s="76" t="str">
        <f t="shared" si="10"/>
        <v>#REF!</v>
      </c>
      <c r="T57" s="76" t="str">
        <f t="shared" si="11"/>
        <v>#REF!</v>
      </c>
      <c r="U57" s="76" t="str">
        <f t="shared" si="12"/>
        <v>#REF!</v>
      </c>
      <c r="V57" s="76" t="str">
        <f t="shared" si="13"/>
        <v>#REF!</v>
      </c>
      <c r="W57" s="76" t="str">
        <f t="shared" si="14"/>
        <v>#REF!</v>
      </c>
      <c r="X57" s="76" t="str">
        <f t="shared" si="15"/>
        <v>#REF!</v>
      </c>
      <c r="Y57" s="76" t="str">
        <f t="shared" si="16"/>
        <v>#REF!</v>
      </c>
      <c r="Z57" s="76" t="str">
        <f t="shared" si="17"/>
        <v>#REF!</v>
      </c>
      <c r="AA57" s="76" t="str">
        <f t="shared" si="18"/>
        <v>#REF!</v>
      </c>
      <c r="AB57" s="76" t="str">
        <f t="shared" si="19"/>
        <v>#REF!</v>
      </c>
      <c r="AC57" s="76" t="str">
        <f t="shared" si="20"/>
        <v>#REF!</v>
      </c>
      <c r="AD57" s="76" t="str">
        <f t="shared" si="21"/>
        <v>#REF!</v>
      </c>
      <c r="AE57" s="76" t="str">
        <f t="shared" si="22"/>
        <v>#REF!</v>
      </c>
      <c r="AF57" s="76" t="str">
        <f t="shared" si="23"/>
        <v>#REF!</v>
      </c>
      <c r="AG57" s="76" t="str">
        <f t="shared" si="24"/>
        <v>#REF!</v>
      </c>
      <c r="AH57" s="76" t="str">
        <f t="shared" si="25"/>
        <v>#REF!</v>
      </c>
      <c r="AI57" s="76" t="str">
        <f t="shared" si="26"/>
        <v>#REF!</v>
      </c>
      <c r="AJ57" s="76" t="str">
        <f t="shared" si="27"/>
        <v>#REF!</v>
      </c>
      <c r="AK57" s="76" t="str">
        <f t="shared" si="28"/>
        <v>#REF!</v>
      </c>
      <c r="AL57" s="76" t="str">
        <f t="shared" si="29"/>
        <v>#REF!</v>
      </c>
      <c r="AM57" s="76" t="str">
        <f t="shared" si="30"/>
        <v>#REF!</v>
      </c>
      <c r="AN57" s="76" t="str">
        <f t="shared" si="31"/>
        <v>#REF!</v>
      </c>
      <c r="AO57" s="76" t="str">
        <f t="shared" si="32"/>
        <v>#REF!</v>
      </c>
      <c r="AP57" s="76" t="str">
        <f t="shared" si="33"/>
        <v>#REF!</v>
      </c>
    </row>
    <row r="58" ht="15.75" customHeight="1">
      <c r="A58" s="76" t="str">
        <f t="shared" si="57"/>
        <v>#REF!</v>
      </c>
      <c r="B58" s="76" t="str">
        <f t="shared" si="3"/>
        <v>#REF!</v>
      </c>
      <c r="C58" s="76" t="str">
        <f t="shared" si="4"/>
        <v>#REF!</v>
      </c>
      <c r="D58" s="76" t="str">
        <f t="shared" ref="D58:N58" si="68">#REF!</f>
        <v>#REF!</v>
      </c>
      <c r="E58" s="76" t="str">
        <f t="shared" si="68"/>
        <v>#REF!</v>
      </c>
      <c r="F58" s="76" t="str">
        <f t="shared" si="68"/>
        <v>#REF!</v>
      </c>
      <c r="G58" s="76" t="str">
        <f t="shared" si="68"/>
        <v>#REF!</v>
      </c>
      <c r="H58" s="76" t="str">
        <f t="shared" si="68"/>
        <v>#REF!</v>
      </c>
      <c r="I58" s="78" t="str">
        <f t="shared" si="68"/>
        <v>#REF!</v>
      </c>
      <c r="J58" s="78" t="str">
        <f t="shared" si="68"/>
        <v>#REF!</v>
      </c>
      <c r="K58" s="78" t="str">
        <f t="shared" si="68"/>
        <v>#REF!</v>
      </c>
      <c r="L58" s="78" t="str">
        <f t="shared" si="68"/>
        <v>#REF!</v>
      </c>
      <c r="M58" s="78" t="str">
        <f t="shared" si="68"/>
        <v>#REF!</v>
      </c>
      <c r="N58" s="78" t="str">
        <f t="shared" si="68"/>
        <v>#REF!</v>
      </c>
      <c r="O58" s="76">
        <f t="shared" si="6"/>
        <v>0</v>
      </c>
      <c r="P58" s="76">
        <f t="shared" si="7"/>
        <v>0</v>
      </c>
      <c r="Q58" s="76">
        <f t="shared" si="8"/>
        <v>0</v>
      </c>
      <c r="R58" s="76">
        <f t="shared" si="9"/>
        <v>0</v>
      </c>
      <c r="S58" s="76" t="str">
        <f t="shared" si="10"/>
        <v>#REF!</v>
      </c>
      <c r="T58" s="76" t="str">
        <f t="shared" si="11"/>
        <v>#REF!</v>
      </c>
      <c r="U58" s="76" t="str">
        <f t="shared" si="12"/>
        <v>#REF!</v>
      </c>
      <c r="V58" s="76" t="str">
        <f t="shared" si="13"/>
        <v>#REF!</v>
      </c>
      <c r="W58" s="76" t="str">
        <f t="shared" si="14"/>
        <v>#REF!</v>
      </c>
      <c r="X58" s="76" t="str">
        <f t="shared" si="15"/>
        <v>#REF!</v>
      </c>
      <c r="Y58" s="76" t="str">
        <f t="shared" si="16"/>
        <v>#REF!</v>
      </c>
      <c r="Z58" s="76" t="str">
        <f t="shared" si="17"/>
        <v>#REF!</v>
      </c>
      <c r="AA58" s="76" t="str">
        <f t="shared" si="18"/>
        <v>#REF!</v>
      </c>
      <c r="AB58" s="76" t="str">
        <f t="shared" si="19"/>
        <v>#REF!</v>
      </c>
      <c r="AC58" s="76" t="str">
        <f t="shared" si="20"/>
        <v>#REF!</v>
      </c>
      <c r="AD58" s="76" t="str">
        <f t="shared" si="21"/>
        <v>#REF!</v>
      </c>
      <c r="AE58" s="76" t="str">
        <f t="shared" si="22"/>
        <v>#REF!</v>
      </c>
      <c r="AF58" s="76" t="str">
        <f t="shared" si="23"/>
        <v>#REF!</v>
      </c>
      <c r="AG58" s="76" t="str">
        <f t="shared" si="24"/>
        <v>#REF!</v>
      </c>
      <c r="AH58" s="76" t="str">
        <f t="shared" si="25"/>
        <v>#REF!</v>
      </c>
      <c r="AI58" s="76" t="str">
        <f t="shared" si="26"/>
        <v>#REF!</v>
      </c>
      <c r="AJ58" s="76" t="str">
        <f t="shared" si="27"/>
        <v>#REF!</v>
      </c>
      <c r="AK58" s="76" t="str">
        <f t="shared" si="28"/>
        <v>#REF!</v>
      </c>
      <c r="AL58" s="76" t="str">
        <f t="shared" si="29"/>
        <v>#REF!</v>
      </c>
      <c r="AM58" s="76" t="str">
        <f t="shared" si="30"/>
        <v>#REF!</v>
      </c>
      <c r="AN58" s="76" t="str">
        <f t="shared" si="31"/>
        <v>#REF!</v>
      </c>
      <c r="AO58" s="76" t="str">
        <f t="shared" si="32"/>
        <v>#REF!</v>
      </c>
      <c r="AP58" s="76" t="str">
        <f t="shared" si="33"/>
        <v>#REF!</v>
      </c>
    </row>
    <row r="59" ht="15.75" customHeight="1">
      <c r="A59" s="76" t="str">
        <f t="shared" si="57"/>
        <v>#REF!</v>
      </c>
      <c r="B59" s="76" t="str">
        <f t="shared" si="3"/>
        <v>#REF!</v>
      </c>
      <c r="C59" s="76" t="str">
        <f t="shared" si="4"/>
        <v>#REF!</v>
      </c>
      <c r="D59" s="76" t="str">
        <f t="shared" ref="D59:N59" si="69">#REF!</f>
        <v>#REF!</v>
      </c>
      <c r="E59" s="76" t="str">
        <f t="shared" si="69"/>
        <v>#REF!</v>
      </c>
      <c r="F59" s="76" t="str">
        <f t="shared" si="69"/>
        <v>#REF!</v>
      </c>
      <c r="G59" s="76" t="str">
        <f t="shared" si="69"/>
        <v>#REF!</v>
      </c>
      <c r="H59" s="76" t="str">
        <f t="shared" si="69"/>
        <v>#REF!</v>
      </c>
      <c r="I59" s="78" t="str">
        <f t="shared" si="69"/>
        <v>#REF!</v>
      </c>
      <c r="J59" s="78" t="str">
        <f t="shared" si="69"/>
        <v>#REF!</v>
      </c>
      <c r="K59" s="78" t="str">
        <f t="shared" si="69"/>
        <v>#REF!</v>
      </c>
      <c r="L59" s="78" t="str">
        <f t="shared" si="69"/>
        <v>#REF!</v>
      </c>
      <c r="M59" s="78" t="str">
        <f t="shared" si="69"/>
        <v>#REF!</v>
      </c>
      <c r="N59" s="78" t="str">
        <f t="shared" si="69"/>
        <v>#REF!</v>
      </c>
      <c r="O59" s="76">
        <f t="shared" si="6"/>
        <v>0</v>
      </c>
      <c r="P59" s="76">
        <f t="shared" si="7"/>
        <v>0</v>
      </c>
      <c r="Q59" s="76">
        <f t="shared" si="8"/>
        <v>0</v>
      </c>
      <c r="R59" s="76">
        <f t="shared" si="9"/>
        <v>0</v>
      </c>
      <c r="S59" s="76" t="str">
        <f t="shared" si="10"/>
        <v>#REF!</v>
      </c>
      <c r="T59" s="76" t="str">
        <f t="shared" si="11"/>
        <v>#REF!</v>
      </c>
      <c r="U59" s="76" t="str">
        <f t="shared" si="12"/>
        <v>#REF!</v>
      </c>
      <c r="V59" s="76" t="str">
        <f t="shared" si="13"/>
        <v>#REF!</v>
      </c>
      <c r="W59" s="76" t="str">
        <f t="shared" si="14"/>
        <v>#REF!</v>
      </c>
      <c r="X59" s="76" t="str">
        <f t="shared" si="15"/>
        <v>#REF!</v>
      </c>
      <c r="Y59" s="76" t="str">
        <f t="shared" si="16"/>
        <v>#REF!</v>
      </c>
      <c r="Z59" s="76" t="str">
        <f t="shared" si="17"/>
        <v>#REF!</v>
      </c>
      <c r="AA59" s="76" t="str">
        <f t="shared" si="18"/>
        <v>#REF!</v>
      </c>
      <c r="AB59" s="76" t="str">
        <f t="shared" si="19"/>
        <v>#REF!</v>
      </c>
      <c r="AC59" s="76" t="str">
        <f t="shared" si="20"/>
        <v>#REF!</v>
      </c>
      <c r="AD59" s="76" t="str">
        <f t="shared" si="21"/>
        <v>#REF!</v>
      </c>
      <c r="AE59" s="76" t="str">
        <f t="shared" si="22"/>
        <v>#REF!</v>
      </c>
      <c r="AF59" s="76" t="str">
        <f t="shared" si="23"/>
        <v>#REF!</v>
      </c>
      <c r="AG59" s="76" t="str">
        <f t="shared" si="24"/>
        <v>#REF!</v>
      </c>
      <c r="AH59" s="76" t="str">
        <f t="shared" si="25"/>
        <v>#REF!</v>
      </c>
      <c r="AI59" s="76" t="str">
        <f t="shared" si="26"/>
        <v>#REF!</v>
      </c>
      <c r="AJ59" s="76" t="str">
        <f t="shared" si="27"/>
        <v>#REF!</v>
      </c>
      <c r="AK59" s="76" t="str">
        <f t="shared" si="28"/>
        <v>#REF!</v>
      </c>
      <c r="AL59" s="76" t="str">
        <f t="shared" si="29"/>
        <v>#REF!</v>
      </c>
      <c r="AM59" s="76" t="str">
        <f t="shared" si="30"/>
        <v>#REF!</v>
      </c>
      <c r="AN59" s="76" t="str">
        <f t="shared" si="31"/>
        <v>#REF!</v>
      </c>
      <c r="AO59" s="76" t="str">
        <f t="shared" si="32"/>
        <v>#REF!</v>
      </c>
      <c r="AP59" s="76" t="str">
        <f t="shared" si="33"/>
        <v>#REF!</v>
      </c>
    </row>
    <row r="60" ht="15.75" customHeight="1">
      <c r="A60" s="76" t="str">
        <f t="shared" si="57"/>
        <v>#REF!</v>
      </c>
      <c r="B60" s="76" t="str">
        <f t="shared" si="3"/>
        <v>#REF!</v>
      </c>
      <c r="C60" s="76" t="str">
        <f t="shared" si="4"/>
        <v>#REF!</v>
      </c>
      <c r="D60" s="76" t="str">
        <f t="shared" ref="D60:N60" si="70">#REF!</f>
        <v>#REF!</v>
      </c>
      <c r="E60" s="76" t="str">
        <f t="shared" si="70"/>
        <v>#REF!</v>
      </c>
      <c r="F60" s="76" t="str">
        <f t="shared" si="70"/>
        <v>#REF!</v>
      </c>
      <c r="G60" s="76" t="str">
        <f t="shared" si="70"/>
        <v>#REF!</v>
      </c>
      <c r="H60" s="76" t="str">
        <f t="shared" si="70"/>
        <v>#REF!</v>
      </c>
      <c r="I60" s="78" t="str">
        <f t="shared" si="70"/>
        <v>#REF!</v>
      </c>
      <c r="J60" s="78" t="str">
        <f t="shared" si="70"/>
        <v>#REF!</v>
      </c>
      <c r="K60" s="78" t="str">
        <f t="shared" si="70"/>
        <v>#REF!</v>
      </c>
      <c r="L60" s="78" t="str">
        <f t="shared" si="70"/>
        <v>#REF!</v>
      </c>
      <c r="M60" s="78" t="str">
        <f t="shared" si="70"/>
        <v>#REF!</v>
      </c>
      <c r="N60" s="78" t="str">
        <f t="shared" si="70"/>
        <v>#REF!</v>
      </c>
      <c r="O60" s="76">
        <f t="shared" si="6"/>
        <v>0</v>
      </c>
      <c r="P60" s="76">
        <f t="shared" si="7"/>
        <v>0</v>
      </c>
      <c r="Q60" s="76">
        <f t="shared" si="8"/>
        <v>0</v>
      </c>
      <c r="R60" s="76">
        <f t="shared" si="9"/>
        <v>0</v>
      </c>
      <c r="S60" s="76" t="str">
        <f t="shared" si="10"/>
        <v>#REF!</v>
      </c>
      <c r="T60" s="76" t="str">
        <f t="shared" si="11"/>
        <v>#REF!</v>
      </c>
      <c r="U60" s="76" t="str">
        <f t="shared" si="12"/>
        <v>#REF!</v>
      </c>
      <c r="V60" s="76" t="str">
        <f t="shared" si="13"/>
        <v>#REF!</v>
      </c>
      <c r="W60" s="76" t="str">
        <f t="shared" si="14"/>
        <v>#REF!</v>
      </c>
      <c r="X60" s="76" t="str">
        <f t="shared" si="15"/>
        <v>#REF!</v>
      </c>
      <c r="Y60" s="76" t="str">
        <f t="shared" si="16"/>
        <v>#REF!</v>
      </c>
      <c r="Z60" s="76" t="str">
        <f t="shared" si="17"/>
        <v>#REF!</v>
      </c>
      <c r="AA60" s="76" t="str">
        <f t="shared" si="18"/>
        <v>#REF!</v>
      </c>
      <c r="AB60" s="76" t="str">
        <f t="shared" si="19"/>
        <v>#REF!</v>
      </c>
      <c r="AC60" s="76" t="str">
        <f t="shared" si="20"/>
        <v>#REF!</v>
      </c>
      <c r="AD60" s="76" t="str">
        <f t="shared" si="21"/>
        <v>#REF!</v>
      </c>
      <c r="AE60" s="76" t="str">
        <f t="shared" si="22"/>
        <v>#REF!</v>
      </c>
      <c r="AF60" s="76" t="str">
        <f t="shared" si="23"/>
        <v>#REF!</v>
      </c>
      <c r="AG60" s="76" t="str">
        <f t="shared" si="24"/>
        <v>#REF!</v>
      </c>
      <c r="AH60" s="76" t="str">
        <f t="shared" si="25"/>
        <v>#REF!</v>
      </c>
      <c r="AI60" s="76" t="str">
        <f t="shared" si="26"/>
        <v>#REF!</v>
      </c>
      <c r="AJ60" s="76" t="str">
        <f t="shared" si="27"/>
        <v>#REF!</v>
      </c>
      <c r="AK60" s="76" t="str">
        <f t="shared" si="28"/>
        <v>#REF!</v>
      </c>
      <c r="AL60" s="76" t="str">
        <f t="shared" si="29"/>
        <v>#REF!</v>
      </c>
      <c r="AM60" s="76" t="str">
        <f t="shared" si="30"/>
        <v>#REF!</v>
      </c>
      <c r="AN60" s="76" t="str">
        <f t="shared" si="31"/>
        <v>#REF!</v>
      </c>
      <c r="AO60" s="76" t="str">
        <f t="shared" si="32"/>
        <v>#REF!</v>
      </c>
      <c r="AP60" s="76" t="str">
        <f t="shared" si="33"/>
        <v>#REF!</v>
      </c>
    </row>
    <row r="61" ht="15.75" customHeight="1">
      <c r="A61" s="76" t="str">
        <f t="shared" si="57"/>
        <v>#REF!</v>
      </c>
      <c r="B61" s="76" t="str">
        <f t="shared" si="3"/>
        <v>#REF!</v>
      </c>
      <c r="C61" s="76" t="str">
        <f t="shared" si="4"/>
        <v>#REF!</v>
      </c>
      <c r="D61" s="76" t="str">
        <f t="shared" ref="D61:N61" si="71">#REF!</f>
        <v>#REF!</v>
      </c>
      <c r="E61" s="76" t="str">
        <f t="shared" si="71"/>
        <v>#REF!</v>
      </c>
      <c r="F61" s="76" t="str">
        <f t="shared" si="71"/>
        <v>#REF!</v>
      </c>
      <c r="G61" s="76" t="str">
        <f t="shared" si="71"/>
        <v>#REF!</v>
      </c>
      <c r="H61" s="76" t="str">
        <f t="shared" si="71"/>
        <v>#REF!</v>
      </c>
      <c r="I61" s="78" t="str">
        <f t="shared" si="71"/>
        <v>#REF!</v>
      </c>
      <c r="J61" s="78" t="str">
        <f t="shared" si="71"/>
        <v>#REF!</v>
      </c>
      <c r="K61" s="78" t="str">
        <f t="shared" si="71"/>
        <v>#REF!</v>
      </c>
      <c r="L61" s="78" t="str">
        <f t="shared" si="71"/>
        <v>#REF!</v>
      </c>
      <c r="M61" s="78" t="str">
        <f t="shared" si="71"/>
        <v>#REF!</v>
      </c>
      <c r="N61" s="78" t="str">
        <f t="shared" si="71"/>
        <v>#REF!</v>
      </c>
      <c r="O61" s="76">
        <f t="shared" si="6"/>
        <v>0</v>
      </c>
      <c r="P61" s="76">
        <f t="shared" si="7"/>
        <v>0</v>
      </c>
      <c r="Q61" s="76">
        <f t="shared" si="8"/>
        <v>0</v>
      </c>
      <c r="R61" s="76">
        <f t="shared" si="9"/>
        <v>0</v>
      </c>
      <c r="S61" s="76" t="str">
        <f t="shared" si="10"/>
        <v>#REF!</v>
      </c>
      <c r="T61" s="76" t="str">
        <f t="shared" si="11"/>
        <v>#REF!</v>
      </c>
      <c r="U61" s="76" t="str">
        <f t="shared" si="12"/>
        <v>#REF!</v>
      </c>
      <c r="V61" s="76" t="str">
        <f t="shared" si="13"/>
        <v>#REF!</v>
      </c>
      <c r="W61" s="76" t="str">
        <f t="shared" si="14"/>
        <v>#REF!</v>
      </c>
      <c r="X61" s="76" t="str">
        <f t="shared" si="15"/>
        <v>#REF!</v>
      </c>
      <c r="Y61" s="76" t="str">
        <f t="shared" si="16"/>
        <v>#REF!</v>
      </c>
      <c r="Z61" s="76" t="str">
        <f t="shared" si="17"/>
        <v>#REF!</v>
      </c>
      <c r="AA61" s="76" t="str">
        <f t="shared" si="18"/>
        <v>#REF!</v>
      </c>
      <c r="AB61" s="76" t="str">
        <f t="shared" si="19"/>
        <v>#REF!</v>
      </c>
      <c r="AC61" s="76" t="str">
        <f t="shared" si="20"/>
        <v>#REF!</v>
      </c>
      <c r="AD61" s="76" t="str">
        <f t="shared" si="21"/>
        <v>#REF!</v>
      </c>
      <c r="AE61" s="76" t="str">
        <f t="shared" si="22"/>
        <v>#REF!</v>
      </c>
      <c r="AF61" s="76" t="str">
        <f t="shared" si="23"/>
        <v>#REF!</v>
      </c>
      <c r="AG61" s="76" t="str">
        <f t="shared" si="24"/>
        <v>#REF!</v>
      </c>
      <c r="AH61" s="76" t="str">
        <f t="shared" si="25"/>
        <v>#REF!</v>
      </c>
      <c r="AI61" s="76" t="str">
        <f t="shared" si="26"/>
        <v>#REF!</v>
      </c>
      <c r="AJ61" s="76" t="str">
        <f t="shared" si="27"/>
        <v>#REF!</v>
      </c>
      <c r="AK61" s="76" t="str">
        <f t="shared" si="28"/>
        <v>#REF!</v>
      </c>
      <c r="AL61" s="76" t="str">
        <f t="shared" si="29"/>
        <v>#REF!</v>
      </c>
      <c r="AM61" s="76" t="str">
        <f t="shared" si="30"/>
        <v>#REF!</v>
      </c>
      <c r="AN61" s="76" t="str">
        <f t="shared" si="31"/>
        <v>#REF!</v>
      </c>
      <c r="AO61" s="76" t="str">
        <f t="shared" si="32"/>
        <v>#REF!</v>
      </c>
      <c r="AP61" s="76" t="str">
        <f t="shared" si="33"/>
        <v>#REF!</v>
      </c>
    </row>
    <row r="62" ht="15.75" customHeight="1">
      <c r="A62" s="76" t="str">
        <f t="shared" si="57"/>
        <v>#REF!</v>
      </c>
      <c r="B62" s="76" t="str">
        <f t="shared" si="3"/>
        <v>#REF!</v>
      </c>
      <c r="C62" s="76" t="str">
        <f t="shared" si="4"/>
        <v>#REF!</v>
      </c>
      <c r="D62" s="76" t="str">
        <f t="shared" ref="D62:N62" si="72">#REF!</f>
        <v>#REF!</v>
      </c>
      <c r="E62" s="76" t="str">
        <f t="shared" si="72"/>
        <v>#REF!</v>
      </c>
      <c r="F62" s="76" t="str">
        <f t="shared" si="72"/>
        <v>#REF!</v>
      </c>
      <c r="G62" s="76" t="str">
        <f t="shared" si="72"/>
        <v>#REF!</v>
      </c>
      <c r="H62" s="76" t="str">
        <f t="shared" si="72"/>
        <v>#REF!</v>
      </c>
      <c r="I62" s="78" t="str">
        <f t="shared" si="72"/>
        <v>#REF!</v>
      </c>
      <c r="J62" s="78" t="str">
        <f t="shared" si="72"/>
        <v>#REF!</v>
      </c>
      <c r="K62" s="78" t="str">
        <f t="shared" si="72"/>
        <v>#REF!</v>
      </c>
      <c r="L62" s="78" t="str">
        <f t="shared" si="72"/>
        <v>#REF!</v>
      </c>
      <c r="M62" s="78" t="str">
        <f t="shared" si="72"/>
        <v>#REF!</v>
      </c>
      <c r="N62" s="78" t="str">
        <f t="shared" si="72"/>
        <v>#REF!</v>
      </c>
      <c r="O62" s="76">
        <f t="shared" si="6"/>
        <v>0</v>
      </c>
      <c r="P62" s="76">
        <f t="shared" si="7"/>
        <v>0</v>
      </c>
      <c r="Q62" s="76">
        <f t="shared" si="8"/>
        <v>0</v>
      </c>
      <c r="R62" s="76">
        <f t="shared" si="9"/>
        <v>0</v>
      </c>
      <c r="S62" s="76" t="str">
        <f t="shared" si="10"/>
        <v>#REF!</v>
      </c>
      <c r="T62" s="76" t="str">
        <f t="shared" si="11"/>
        <v>#REF!</v>
      </c>
      <c r="U62" s="76" t="str">
        <f t="shared" si="12"/>
        <v>#REF!</v>
      </c>
      <c r="V62" s="76" t="str">
        <f t="shared" si="13"/>
        <v>#REF!</v>
      </c>
      <c r="W62" s="76" t="str">
        <f t="shared" si="14"/>
        <v>#REF!</v>
      </c>
      <c r="X62" s="76" t="str">
        <f t="shared" si="15"/>
        <v>#REF!</v>
      </c>
      <c r="Y62" s="76" t="str">
        <f t="shared" si="16"/>
        <v>#REF!</v>
      </c>
      <c r="Z62" s="76" t="str">
        <f t="shared" si="17"/>
        <v>#REF!</v>
      </c>
      <c r="AA62" s="76" t="str">
        <f t="shared" si="18"/>
        <v>#REF!</v>
      </c>
      <c r="AB62" s="76" t="str">
        <f t="shared" si="19"/>
        <v>#REF!</v>
      </c>
      <c r="AC62" s="76" t="str">
        <f t="shared" si="20"/>
        <v>#REF!</v>
      </c>
      <c r="AD62" s="76" t="str">
        <f t="shared" si="21"/>
        <v>#REF!</v>
      </c>
      <c r="AE62" s="76" t="str">
        <f t="shared" si="22"/>
        <v>#REF!</v>
      </c>
      <c r="AF62" s="76" t="str">
        <f t="shared" si="23"/>
        <v>#REF!</v>
      </c>
      <c r="AG62" s="76" t="str">
        <f t="shared" si="24"/>
        <v>#REF!</v>
      </c>
      <c r="AH62" s="76" t="str">
        <f t="shared" si="25"/>
        <v>#REF!</v>
      </c>
      <c r="AI62" s="76" t="str">
        <f t="shared" si="26"/>
        <v>#REF!</v>
      </c>
      <c r="AJ62" s="76" t="str">
        <f t="shared" si="27"/>
        <v>#REF!</v>
      </c>
      <c r="AK62" s="76" t="str">
        <f t="shared" si="28"/>
        <v>#REF!</v>
      </c>
      <c r="AL62" s="76" t="str">
        <f t="shared" si="29"/>
        <v>#REF!</v>
      </c>
      <c r="AM62" s="76" t="str">
        <f t="shared" si="30"/>
        <v>#REF!</v>
      </c>
      <c r="AN62" s="76" t="str">
        <f t="shared" si="31"/>
        <v>#REF!</v>
      </c>
      <c r="AO62" s="76" t="str">
        <f t="shared" si="32"/>
        <v>#REF!</v>
      </c>
      <c r="AP62" s="76" t="str">
        <f t="shared" si="33"/>
        <v>#REF!</v>
      </c>
    </row>
    <row r="63" ht="15.75" customHeight="1">
      <c r="A63" s="76" t="str">
        <f t="shared" si="57"/>
        <v>#REF!</v>
      </c>
      <c r="B63" s="76" t="str">
        <f t="shared" si="3"/>
        <v>#REF!</v>
      </c>
      <c r="C63" s="76" t="str">
        <f t="shared" si="4"/>
        <v>#REF!</v>
      </c>
      <c r="D63" s="76" t="str">
        <f t="shared" ref="D63:N63" si="73">#REF!</f>
        <v>#REF!</v>
      </c>
      <c r="E63" s="76" t="str">
        <f t="shared" si="73"/>
        <v>#REF!</v>
      </c>
      <c r="F63" s="76" t="str">
        <f t="shared" si="73"/>
        <v>#REF!</v>
      </c>
      <c r="G63" s="76" t="str">
        <f t="shared" si="73"/>
        <v>#REF!</v>
      </c>
      <c r="H63" s="76" t="str">
        <f t="shared" si="73"/>
        <v>#REF!</v>
      </c>
      <c r="I63" s="78" t="str">
        <f t="shared" si="73"/>
        <v>#REF!</v>
      </c>
      <c r="J63" s="78" t="str">
        <f t="shared" si="73"/>
        <v>#REF!</v>
      </c>
      <c r="K63" s="78" t="str">
        <f t="shared" si="73"/>
        <v>#REF!</v>
      </c>
      <c r="L63" s="78" t="str">
        <f t="shared" si="73"/>
        <v>#REF!</v>
      </c>
      <c r="M63" s="78" t="str">
        <f t="shared" si="73"/>
        <v>#REF!</v>
      </c>
      <c r="N63" s="78" t="str">
        <f t="shared" si="73"/>
        <v>#REF!</v>
      </c>
      <c r="O63" s="76">
        <f t="shared" si="6"/>
        <v>0</v>
      </c>
      <c r="P63" s="76">
        <f t="shared" si="7"/>
        <v>0</v>
      </c>
      <c r="Q63" s="76">
        <f t="shared" si="8"/>
        <v>0</v>
      </c>
      <c r="R63" s="76">
        <f t="shared" si="9"/>
        <v>0</v>
      </c>
      <c r="S63" s="76" t="str">
        <f t="shared" si="10"/>
        <v>#REF!</v>
      </c>
      <c r="T63" s="76" t="str">
        <f t="shared" si="11"/>
        <v>#REF!</v>
      </c>
      <c r="U63" s="76" t="str">
        <f t="shared" si="12"/>
        <v>#REF!</v>
      </c>
      <c r="V63" s="76" t="str">
        <f t="shared" si="13"/>
        <v>#REF!</v>
      </c>
      <c r="W63" s="76" t="str">
        <f t="shared" si="14"/>
        <v>#REF!</v>
      </c>
      <c r="X63" s="76" t="str">
        <f t="shared" si="15"/>
        <v>#REF!</v>
      </c>
      <c r="Y63" s="76" t="str">
        <f t="shared" si="16"/>
        <v>#REF!</v>
      </c>
      <c r="Z63" s="76" t="str">
        <f t="shared" si="17"/>
        <v>#REF!</v>
      </c>
      <c r="AA63" s="76" t="str">
        <f t="shared" si="18"/>
        <v>#REF!</v>
      </c>
      <c r="AB63" s="76" t="str">
        <f t="shared" si="19"/>
        <v>#REF!</v>
      </c>
      <c r="AC63" s="76" t="str">
        <f t="shared" si="20"/>
        <v>#REF!</v>
      </c>
      <c r="AD63" s="76" t="str">
        <f t="shared" si="21"/>
        <v>#REF!</v>
      </c>
      <c r="AE63" s="76" t="str">
        <f t="shared" si="22"/>
        <v>#REF!</v>
      </c>
      <c r="AF63" s="76" t="str">
        <f t="shared" si="23"/>
        <v>#REF!</v>
      </c>
      <c r="AG63" s="76" t="str">
        <f t="shared" si="24"/>
        <v>#REF!</v>
      </c>
      <c r="AH63" s="76" t="str">
        <f t="shared" si="25"/>
        <v>#REF!</v>
      </c>
      <c r="AI63" s="76" t="str">
        <f t="shared" si="26"/>
        <v>#REF!</v>
      </c>
      <c r="AJ63" s="76" t="str">
        <f t="shared" si="27"/>
        <v>#REF!</v>
      </c>
      <c r="AK63" s="76" t="str">
        <f t="shared" si="28"/>
        <v>#REF!</v>
      </c>
      <c r="AL63" s="76" t="str">
        <f t="shared" si="29"/>
        <v>#REF!</v>
      </c>
      <c r="AM63" s="76" t="str">
        <f t="shared" si="30"/>
        <v>#REF!</v>
      </c>
      <c r="AN63" s="76" t="str">
        <f t="shared" si="31"/>
        <v>#REF!</v>
      </c>
      <c r="AO63" s="76" t="str">
        <f t="shared" si="32"/>
        <v>#REF!</v>
      </c>
      <c r="AP63" s="76" t="str">
        <f t="shared" si="33"/>
        <v>#REF!</v>
      </c>
    </row>
    <row r="64" ht="15.75" customHeight="1">
      <c r="A64" s="76" t="str">
        <f t="shared" si="57"/>
        <v>#REF!</v>
      </c>
      <c r="B64" s="76" t="str">
        <f t="shared" si="3"/>
        <v>#REF!</v>
      </c>
      <c r="C64" s="76" t="str">
        <f t="shared" si="4"/>
        <v>#REF!</v>
      </c>
      <c r="D64" s="76" t="str">
        <f t="shared" ref="D64:N64" si="74">#REF!</f>
        <v>#REF!</v>
      </c>
      <c r="E64" s="76" t="str">
        <f t="shared" si="74"/>
        <v>#REF!</v>
      </c>
      <c r="F64" s="76" t="str">
        <f t="shared" si="74"/>
        <v>#REF!</v>
      </c>
      <c r="G64" s="76" t="str">
        <f t="shared" si="74"/>
        <v>#REF!</v>
      </c>
      <c r="H64" s="76" t="str">
        <f t="shared" si="74"/>
        <v>#REF!</v>
      </c>
      <c r="I64" s="78" t="str">
        <f t="shared" si="74"/>
        <v>#REF!</v>
      </c>
      <c r="J64" s="78" t="str">
        <f t="shared" si="74"/>
        <v>#REF!</v>
      </c>
      <c r="K64" s="78" t="str">
        <f t="shared" si="74"/>
        <v>#REF!</v>
      </c>
      <c r="L64" s="78" t="str">
        <f t="shared" si="74"/>
        <v>#REF!</v>
      </c>
      <c r="M64" s="78" t="str">
        <f t="shared" si="74"/>
        <v>#REF!</v>
      </c>
      <c r="N64" s="78" t="str">
        <f t="shared" si="74"/>
        <v>#REF!</v>
      </c>
      <c r="O64" s="76">
        <f t="shared" si="6"/>
        <v>0</v>
      </c>
      <c r="P64" s="76">
        <f t="shared" si="7"/>
        <v>0</v>
      </c>
      <c r="Q64" s="76">
        <f t="shared" si="8"/>
        <v>0</v>
      </c>
      <c r="R64" s="76">
        <f t="shared" si="9"/>
        <v>0</v>
      </c>
      <c r="S64" s="76" t="str">
        <f t="shared" si="10"/>
        <v>#REF!</v>
      </c>
      <c r="T64" s="76" t="str">
        <f t="shared" si="11"/>
        <v>#REF!</v>
      </c>
      <c r="U64" s="76" t="str">
        <f t="shared" si="12"/>
        <v>#REF!</v>
      </c>
      <c r="V64" s="76" t="str">
        <f t="shared" si="13"/>
        <v>#REF!</v>
      </c>
      <c r="W64" s="76" t="str">
        <f t="shared" si="14"/>
        <v>#REF!</v>
      </c>
      <c r="X64" s="76" t="str">
        <f t="shared" si="15"/>
        <v>#REF!</v>
      </c>
      <c r="Y64" s="76" t="str">
        <f t="shared" si="16"/>
        <v>#REF!</v>
      </c>
      <c r="Z64" s="76" t="str">
        <f t="shared" si="17"/>
        <v>#REF!</v>
      </c>
      <c r="AA64" s="76" t="str">
        <f t="shared" si="18"/>
        <v>#REF!</v>
      </c>
      <c r="AB64" s="76" t="str">
        <f t="shared" si="19"/>
        <v>#REF!</v>
      </c>
      <c r="AC64" s="76" t="str">
        <f t="shared" si="20"/>
        <v>#REF!</v>
      </c>
      <c r="AD64" s="76" t="str">
        <f t="shared" si="21"/>
        <v>#REF!</v>
      </c>
      <c r="AE64" s="76" t="str">
        <f t="shared" si="22"/>
        <v>#REF!</v>
      </c>
      <c r="AF64" s="76" t="str">
        <f t="shared" si="23"/>
        <v>#REF!</v>
      </c>
      <c r="AG64" s="76" t="str">
        <f t="shared" si="24"/>
        <v>#REF!</v>
      </c>
      <c r="AH64" s="76" t="str">
        <f t="shared" si="25"/>
        <v>#REF!</v>
      </c>
      <c r="AI64" s="76" t="str">
        <f t="shared" si="26"/>
        <v>#REF!</v>
      </c>
      <c r="AJ64" s="76" t="str">
        <f t="shared" si="27"/>
        <v>#REF!</v>
      </c>
      <c r="AK64" s="76" t="str">
        <f t="shared" si="28"/>
        <v>#REF!</v>
      </c>
      <c r="AL64" s="76" t="str">
        <f t="shared" si="29"/>
        <v>#REF!</v>
      </c>
      <c r="AM64" s="76" t="str">
        <f t="shared" si="30"/>
        <v>#REF!</v>
      </c>
      <c r="AN64" s="76" t="str">
        <f t="shared" si="31"/>
        <v>#REF!</v>
      </c>
      <c r="AO64" s="76" t="str">
        <f t="shared" si="32"/>
        <v>#REF!</v>
      </c>
      <c r="AP64" s="76" t="str">
        <f t="shared" si="33"/>
        <v>#REF!</v>
      </c>
    </row>
    <row r="65" ht="15.75" customHeight="1">
      <c r="A65" s="79">
        <f>IF('Manual Entry'!A37="","",'Manual Entry'!A37)</f>
        <v>46212</v>
      </c>
      <c r="B65" s="79">
        <f t="shared" si="3"/>
        <v>46209</v>
      </c>
      <c r="C65" s="76" t="str">
        <f t="shared" si="4"/>
        <v>2026-07</v>
      </c>
      <c r="D65" s="76" t="str">
        <f>'Manual Entry'!D37</f>
        <v/>
      </c>
      <c r="E65" s="76" t="str">
        <f>'Manual Entry'!B37</f>
        <v>5 Foods harming Your Thyroid</v>
      </c>
      <c r="F65" s="76" t="str">
        <f>'Manual Entry'!F37</f>
        <v>Carousel - Answering Questions</v>
      </c>
      <c r="G65" s="76" t="str">
        <f>'Manual Entry'!G37</f>
        <v>Carousel</v>
      </c>
      <c r="H65" s="76" t="str">
        <f>'Manual Entry'!H37</f>
        <v/>
      </c>
      <c r="I65" s="78" t="str">
        <f>'Manual Entry'!I37</f>
        <v/>
      </c>
      <c r="J65" s="78" t="str">
        <f>'Manual Entry'!J37</f>
        <v/>
      </c>
      <c r="K65" s="78" t="str">
        <f>'Manual Entry'!K37</f>
        <v/>
      </c>
      <c r="L65" s="78" t="str">
        <f>'Manual Entry'!L37</f>
        <v/>
      </c>
      <c r="M65" s="78" t="str">
        <f>'Manual Entry'!M37</f>
        <v/>
      </c>
      <c r="N65" s="78" t="str">
        <f>'Manual Entry'!N37</f>
        <v/>
      </c>
      <c r="O65" s="76">
        <f t="shared" si="6"/>
        <v>0</v>
      </c>
      <c r="P65" s="76">
        <f t="shared" si="7"/>
        <v>0</v>
      </c>
      <c r="Q65" s="76">
        <f t="shared" si="8"/>
        <v>0</v>
      </c>
      <c r="R65" s="76">
        <f t="shared" si="9"/>
        <v>0</v>
      </c>
      <c r="S65" s="76">
        <f t="shared" si="10"/>
        <v>0</v>
      </c>
      <c r="T65" s="76">
        <f t="shared" si="11"/>
        <v>0</v>
      </c>
      <c r="U65" s="76">
        <f t="shared" si="12"/>
        <v>0</v>
      </c>
      <c r="V65" s="76">
        <f t="shared" si="13"/>
        <v>0</v>
      </c>
      <c r="W65" s="76">
        <f t="shared" si="14"/>
        <v>0</v>
      </c>
      <c r="X65" s="76">
        <f t="shared" si="15"/>
        <v>0</v>
      </c>
      <c r="Y65" s="76">
        <f t="shared" si="16"/>
        <v>0</v>
      </c>
      <c r="Z65" s="76">
        <f t="shared" si="17"/>
        <v>0</v>
      </c>
      <c r="AA65" s="76">
        <f t="shared" si="18"/>
        <v>0</v>
      </c>
      <c r="AB65" s="76">
        <f t="shared" si="19"/>
        <v>0</v>
      </c>
      <c r="AC65" s="76">
        <f t="shared" si="20"/>
        <v>0</v>
      </c>
      <c r="AD65" s="76">
        <f t="shared" si="21"/>
        <v>0</v>
      </c>
      <c r="AE65" s="76">
        <f t="shared" si="22"/>
        <v>0</v>
      </c>
      <c r="AF65" s="76">
        <f t="shared" si="23"/>
        <v>0</v>
      </c>
      <c r="AG65" s="76">
        <f t="shared" si="24"/>
        <v>0</v>
      </c>
      <c r="AH65" s="76">
        <f t="shared" si="25"/>
        <v>0</v>
      </c>
      <c r="AI65" s="76">
        <f t="shared" si="26"/>
        <v>0</v>
      </c>
      <c r="AJ65" s="76">
        <f t="shared" si="27"/>
        <v>0</v>
      </c>
      <c r="AK65" s="76">
        <f t="shared" si="28"/>
        <v>0</v>
      </c>
      <c r="AL65" s="76" t="str">
        <f t="shared" si="29"/>
        <v/>
      </c>
      <c r="AM65" s="76">
        <f t="shared" si="30"/>
        <v>0</v>
      </c>
      <c r="AN65" s="76" t="str">
        <f t="shared" si="31"/>
        <v/>
      </c>
      <c r="AO65" s="76">
        <f t="shared" si="32"/>
        <v>0.00000064</v>
      </c>
      <c r="AP65" s="76">
        <f t="shared" si="33"/>
        <v>202607</v>
      </c>
    </row>
    <row r="66" ht="15.75" customHeight="1">
      <c r="A66" s="76" t="str">
        <f>IF('Manual Entry'!A38="","",'Manual Entry'!A38)</f>
        <v/>
      </c>
      <c r="B66" s="76" t="str">
        <f t="shared" si="3"/>
        <v/>
      </c>
      <c r="C66" s="76" t="str">
        <f t="shared" si="4"/>
        <v/>
      </c>
      <c r="D66" s="76" t="str">
        <f>'Manual Entry'!D38</f>
        <v/>
      </c>
      <c r="E66" s="76" t="str">
        <f>'Manual Entry'!B38</f>
        <v/>
      </c>
      <c r="F66" s="76" t="str">
        <f>'Manual Entry'!F38</f>
        <v/>
      </c>
      <c r="G66" s="76" t="str">
        <f>'Manual Entry'!G38</f>
        <v/>
      </c>
      <c r="H66" s="76" t="str">
        <f>'Manual Entry'!H38</f>
        <v/>
      </c>
      <c r="I66" s="78" t="str">
        <f>'Manual Entry'!I38</f>
        <v/>
      </c>
      <c r="J66" s="78" t="str">
        <f>'Manual Entry'!J38</f>
        <v/>
      </c>
      <c r="K66" s="78" t="str">
        <f>'Manual Entry'!K38</f>
        <v/>
      </c>
      <c r="L66" s="78" t="str">
        <f>'Manual Entry'!L38</f>
        <v/>
      </c>
      <c r="M66" s="78" t="str">
        <f>'Manual Entry'!M38</f>
        <v/>
      </c>
      <c r="N66" s="78" t="str">
        <f>'Manual Entry'!N38</f>
        <v/>
      </c>
      <c r="O66" s="76">
        <f t="shared" si="6"/>
        <v>0</v>
      </c>
      <c r="P66" s="76">
        <f t="shared" si="7"/>
        <v>0</v>
      </c>
      <c r="Q66" s="76">
        <f t="shared" si="8"/>
        <v>0</v>
      </c>
      <c r="R66" s="76">
        <f t="shared" si="9"/>
        <v>0</v>
      </c>
      <c r="S66" s="76" t="str">
        <f t="shared" si="10"/>
        <v/>
      </c>
      <c r="T66" s="76" t="str">
        <f t="shared" si="11"/>
        <v/>
      </c>
      <c r="U66" s="76" t="str">
        <f t="shared" si="12"/>
        <v/>
      </c>
      <c r="V66" s="76" t="str">
        <f t="shared" si="13"/>
        <v/>
      </c>
      <c r="W66" s="76" t="str">
        <f t="shared" si="14"/>
        <v/>
      </c>
      <c r="X66" s="76" t="str">
        <f t="shared" si="15"/>
        <v/>
      </c>
      <c r="Y66" s="76" t="str">
        <f t="shared" si="16"/>
        <v/>
      </c>
      <c r="Z66" s="76" t="str">
        <f t="shared" si="17"/>
        <v/>
      </c>
      <c r="AA66" s="76" t="str">
        <f t="shared" si="18"/>
        <v/>
      </c>
      <c r="AB66" s="76" t="str">
        <f t="shared" si="19"/>
        <v/>
      </c>
      <c r="AC66" s="76" t="str">
        <f t="shared" si="20"/>
        <v/>
      </c>
      <c r="AD66" s="76" t="str">
        <f t="shared" si="21"/>
        <v/>
      </c>
      <c r="AE66" s="76" t="str">
        <f t="shared" si="22"/>
        <v/>
      </c>
      <c r="AF66" s="76" t="str">
        <f t="shared" si="23"/>
        <v/>
      </c>
      <c r="AG66" s="76" t="str">
        <f t="shared" si="24"/>
        <v/>
      </c>
      <c r="AH66" s="76" t="str">
        <f t="shared" si="25"/>
        <v/>
      </c>
      <c r="AI66" s="76" t="str">
        <f t="shared" si="26"/>
        <v/>
      </c>
      <c r="AJ66" s="76" t="str">
        <f t="shared" si="27"/>
        <v/>
      </c>
      <c r="AK66" s="76" t="str">
        <f t="shared" si="28"/>
        <v/>
      </c>
      <c r="AL66" s="76" t="str">
        <f t="shared" si="29"/>
        <v/>
      </c>
      <c r="AM66" s="76" t="str">
        <f t="shared" si="30"/>
        <v/>
      </c>
      <c r="AN66" s="76" t="str">
        <f t="shared" si="31"/>
        <v/>
      </c>
      <c r="AO66" s="76" t="str">
        <f t="shared" si="32"/>
        <v/>
      </c>
      <c r="AP66" s="76" t="str">
        <f t="shared" si="33"/>
        <v/>
      </c>
    </row>
    <row r="67" ht="15.75" customHeight="1">
      <c r="A67" s="76" t="str">
        <f>IF('Manual Entry'!A39="","",'Manual Entry'!A39)</f>
        <v/>
      </c>
      <c r="B67" s="76" t="str">
        <f t="shared" si="3"/>
        <v/>
      </c>
      <c r="C67" s="76" t="str">
        <f t="shared" si="4"/>
        <v/>
      </c>
      <c r="D67" s="76" t="str">
        <f>'Manual Entry'!D39</f>
        <v/>
      </c>
      <c r="E67" s="76" t="str">
        <f>'Manual Entry'!B39</f>
        <v/>
      </c>
      <c r="F67" s="76" t="str">
        <f>'Manual Entry'!F39</f>
        <v/>
      </c>
      <c r="G67" s="76" t="str">
        <f>'Manual Entry'!G39</f>
        <v/>
      </c>
      <c r="H67" s="76" t="str">
        <f>'Manual Entry'!H39</f>
        <v/>
      </c>
      <c r="I67" s="78" t="str">
        <f>'Manual Entry'!I39</f>
        <v/>
      </c>
      <c r="J67" s="78" t="str">
        <f>'Manual Entry'!J39</f>
        <v/>
      </c>
      <c r="K67" s="78" t="str">
        <f>'Manual Entry'!K39</f>
        <v/>
      </c>
      <c r="L67" s="78" t="str">
        <f>'Manual Entry'!L39</f>
        <v/>
      </c>
      <c r="M67" s="78" t="str">
        <f>'Manual Entry'!M39</f>
        <v/>
      </c>
      <c r="N67" s="78" t="str">
        <f>'Manual Entry'!N39</f>
        <v/>
      </c>
      <c r="O67" s="76">
        <f t="shared" si="6"/>
        <v>0</v>
      </c>
      <c r="P67" s="76">
        <f t="shared" si="7"/>
        <v>0</v>
      </c>
      <c r="Q67" s="76">
        <f t="shared" si="8"/>
        <v>0</v>
      </c>
      <c r="R67" s="76">
        <f t="shared" si="9"/>
        <v>0</v>
      </c>
      <c r="S67" s="76" t="str">
        <f t="shared" si="10"/>
        <v/>
      </c>
      <c r="T67" s="76" t="str">
        <f t="shared" si="11"/>
        <v/>
      </c>
      <c r="U67" s="76" t="str">
        <f t="shared" si="12"/>
        <v/>
      </c>
      <c r="V67" s="76" t="str">
        <f t="shared" si="13"/>
        <v/>
      </c>
      <c r="W67" s="76" t="str">
        <f t="shared" si="14"/>
        <v/>
      </c>
      <c r="X67" s="76" t="str">
        <f t="shared" si="15"/>
        <v/>
      </c>
      <c r="Y67" s="76" t="str">
        <f t="shared" si="16"/>
        <v/>
      </c>
      <c r="Z67" s="76" t="str">
        <f t="shared" si="17"/>
        <v/>
      </c>
      <c r="AA67" s="76" t="str">
        <f t="shared" si="18"/>
        <v/>
      </c>
      <c r="AB67" s="76" t="str">
        <f t="shared" si="19"/>
        <v/>
      </c>
      <c r="AC67" s="76" t="str">
        <f t="shared" si="20"/>
        <v/>
      </c>
      <c r="AD67" s="76" t="str">
        <f t="shared" si="21"/>
        <v/>
      </c>
      <c r="AE67" s="76" t="str">
        <f t="shared" si="22"/>
        <v/>
      </c>
      <c r="AF67" s="76" t="str">
        <f t="shared" si="23"/>
        <v/>
      </c>
      <c r="AG67" s="76" t="str">
        <f t="shared" si="24"/>
        <v/>
      </c>
      <c r="AH67" s="76" t="str">
        <f t="shared" si="25"/>
        <v/>
      </c>
      <c r="AI67" s="76" t="str">
        <f t="shared" si="26"/>
        <v/>
      </c>
      <c r="AJ67" s="76" t="str">
        <f t="shared" si="27"/>
        <v/>
      </c>
      <c r="AK67" s="76" t="str">
        <f t="shared" si="28"/>
        <v/>
      </c>
      <c r="AL67" s="76" t="str">
        <f t="shared" si="29"/>
        <v/>
      </c>
      <c r="AM67" s="76" t="str">
        <f t="shared" si="30"/>
        <v/>
      </c>
      <c r="AN67" s="76" t="str">
        <f t="shared" si="31"/>
        <v/>
      </c>
      <c r="AO67" s="76" t="str">
        <f t="shared" si="32"/>
        <v/>
      </c>
      <c r="AP67" s="76" t="str">
        <f t="shared" si="33"/>
        <v/>
      </c>
    </row>
    <row r="68" ht="15.75" customHeight="1">
      <c r="A68" s="76" t="str">
        <f>IF('Manual Entry'!A40="","",'Manual Entry'!A40)</f>
        <v/>
      </c>
      <c r="B68" s="76" t="str">
        <f t="shared" si="3"/>
        <v/>
      </c>
      <c r="C68" s="76" t="str">
        <f t="shared" si="4"/>
        <v/>
      </c>
      <c r="D68" s="76" t="str">
        <f>'Manual Entry'!D40</f>
        <v/>
      </c>
      <c r="E68" s="76" t="str">
        <f>'Manual Entry'!B40</f>
        <v/>
      </c>
      <c r="F68" s="76" t="str">
        <f>'Manual Entry'!F40</f>
        <v/>
      </c>
      <c r="G68" s="76" t="str">
        <f>'Manual Entry'!G40</f>
        <v/>
      </c>
      <c r="H68" s="76" t="str">
        <f>'Manual Entry'!H40</f>
        <v/>
      </c>
      <c r="I68" s="78" t="str">
        <f>'Manual Entry'!I40</f>
        <v/>
      </c>
      <c r="J68" s="78" t="str">
        <f>'Manual Entry'!J40</f>
        <v/>
      </c>
      <c r="K68" s="78" t="str">
        <f>'Manual Entry'!K40</f>
        <v/>
      </c>
      <c r="L68" s="78" t="str">
        <f>'Manual Entry'!L40</f>
        <v/>
      </c>
      <c r="M68" s="78" t="str">
        <f>'Manual Entry'!M40</f>
        <v/>
      </c>
      <c r="N68" s="78" t="str">
        <f>'Manual Entry'!N40</f>
        <v/>
      </c>
      <c r="O68" s="76">
        <f t="shared" si="6"/>
        <v>0</v>
      </c>
      <c r="P68" s="76">
        <f t="shared" si="7"/>
        <v>0</v>
      </c>
      <c r="Q68" s="76">
        <f t="shared" si="8"/>
        <v>0</v>
      </c>
      <c r="R68" s="76">
        <f t="shared" si="9"/>
        <v>0</v>
      </c>
      <c r="S68" s="76" t="str">
        <f t="shared" si="10"/>
        <v/>
      </c>
      <c r="T68" s="76" t="str">
        <f t="shared" si="11"/>
        <v/>
      </c>
      <c r="U68" s="76" t="str">
        <f t="shared" si="12"/>
        <v/>
      </c>
      <c r="V68" s="76" t="str">
        <f t="shared" si="13"/>
        <v/>
      </c>
      <c r="W68" s="76" t="str">
        <f t="shared" si="14"/>
        <v/>
      </c>
      <c r="X68" s="76" t="str">
        <f t="shared" si="15"/>
        <v/>
      </c>
      <c r="Y68" s="76" t="str">
        <f t="shared" si="16"/>
        <v/>
      </c>
      <c r="Z68" s="76" t="str">
        <f t="shared" si="17"/>
        <v/>
      </c>
      <c r="AA68" s="76" t="str">
        <f t="shared" si="18"/>
        <v/>
      </c>
      <c r="AB68" s="76" t="str">
        <f t="shared" si="19"/>
        <v/>
      </c>
      <c r="AC68" s="76" t="str">
        <f t="shared" si="20"/>
        <v/>
      </c>
      <c r="AD68" s="76" t="str">
        <f t="shared" si="21"/>
        <v/>
      </c>
      <c r="AE68" s="76" t="str">
        <f t="shared" si="22"/>
        <v/>
      </c>
      <c r="AF68" s="76" t="str">
        <f t="shared" si="23"/>
        <v/>
      </c>
      <c r="AG68" s="76" t="str">
        <f t="shared" si="24"/>
        <v/>
      </c>
      <c r="AH68" s="76" t="str">
        <f t="shared" si="25"/>
        <v/>
      </c>
      <c r="AI68" s="76" t="str">
        <f t="shared" si="26"/>
        <v/>
      </c>
      <c r="AJ68" s="76" t="str">
        <f t="shared" si="27"/>
        <v/>
      </c>
      <c r="AK68" s="76" t="str">
        <f t="shared" si="28"/>
        <v/>
      </c>
      <c r="AL68" s="76" t="str">
        <f t="shared" si="29"/>
        <v/>
      </c>
      <c r="AM68" s="76" t="str">
        <f t="shared" si="30"/>
        <v/>
      </c>
      <c r="AN68" s="76" t="str">
        <f t="shared" si="31"/>
        <v/>
      </c>
      <c r="AO68" s="76" t="str">
        <f t="shared" si="32"/>
        <v/>
      </c>
      <c r="AP68" s="76" t="str">
        <f t="shared" si="33"/>
        <v/>
      </c>
    </row>
    <row r="69" ht="15.75" customHeight="1">
      <c r="A69" s="76" t="str">
        <f>IF('Manual Entry'!A41="","",'Manual Entry'!A41)</f>
        <v/>
      </c>
      <c r="B69" s="76" t="str">
        <f t="shared" si="3"/>
        <v/>
      </c>
      <c r="C69" s="76" t="str">
        <f t="shared" si="4"/>
        <v/>
      </c>
      <c r="D69" s="76" t="str">
        <f>'Manual Entry'!D41</f>
        <v/>
      </c>
      <c r="E69" s="76" t="str">
        <f>'Manual Entry'!B41</f>
        <v/>
      </c>
      <c r="F69" s="76" t="str">
        <f>'Manual Entry'!F41</f>
        <v/>
      </c>
      <c r="G69" s="76" t="str">
        <f>'Manual Entry'!G41</f>
        <v/>
      </c>
      <c r="H69" s="76" t="str">
        <f>'Manual Entry'!H41</f>
        <v/>
      </c>
      <c r="I69" s="78" t="str">
        <f>'Manual Entry'!I41</f>
        <v/>
      </c>
      <c r="J69" s="78" t="str">
        <f>'Manual Entry'!J41</f>
        <v/>
      </c>
      <c r="K69" s="78" t="str">
        <f>'Manual Entry'!K41</f>
        <v/>
      </c>
      <c r="L69" s="78" t="str">
        <f>'Manual Entry'!L41</f>
        <v/>
      </c>
      <c r="M69" s="78" t="str">
        <f>'Manual Entry'!M41</f>
        <v/>
      </c>
      <c r="N69" s="78" t="str">
        <f>'Manual Entry'!N41</f>
        <v/>
      </c>
      <c r="O69" s="76">
        <f t="shared" si="6"/>
        <v>0</v>
      </c>
      <c r="P69" s="76">
        <f t="shared" si="7"/>
        <v>0</v>
      </c>
      <c r="Q69" s="76">
        <f t="shared" si="8"/>
        <v>0</v>
      </c>
      <c r="R69" s="76">
        <f t="shared" si="9"/>
        <v>0</v>
      </c>
      <c r="S69" s="76" t="str">
        <f t="shared" si="10"/>
        <v/>
      </c>
      <c r="T69" s="76" t="str">
        <f t="shared" si="11"/>
        <v/>
      </c>
      <c r="U69" s="76" t="str">
        <f t="shared" si="12"/>
        <v/>
      </c>
      <c r="V69" s="76" t="str">
        <f t="shared" si="13"/>
        <v/>
      </c>
      <c r="W69" s="76" t="str">
        <f t="shared" si="14"/>
        <v/>
      </c>
      <c r="X69" s="76" t="str">
        <f t="shared" si="15"/>
        <v/>
      </c>
      <c r="Y69" s="76" t="str">
        <f t="shared" si="16"/>
        <v/>
      </c>
      <c r="Z69" s="76" t="str">
        <f t="shared" si="17"/>
        <v/>
      </c>
      <c r="AA69" s="76" t="str">
        <f t="shared" si="18"/>
        <v/>
      </c>
      <c r="AB69" s="76" t="str">
        <f t="shared" si="19"/>
        <v/>
      </c>
      <c r="AC69" s="76" t="str">
        <f t="shared" si="20"/>
        <v/>
      </c>
      <c r="AD69" s="76" t="str">
        <f t="shared" si="21"/>
        <v/>
      </c>
      <c r="AE69" s="76" t="str">
        <f t="shared" si="22"/>
        <v/>
      </c>
      <c r="AF69" s="76" t="str">
        <f t="shared" si="23"/>
        <v/>
      </c>
      <c r="AG69" s="76" t="str">
        <f t="shared" si="24"/>
        <v/>
      </c>
      <c r="AH69" s="76" t="str">
        <f t="shared" si="25"/>
        <v/>
      </c>
      <c r="AI69" s="76" t="str">
        <f t="shared" si="26"/>
        <v/>
      </c>
      <c r="AJ69" s="76" t="str">
        <f t="shared" si="27"/>
        <v/>
      </c>
      <c r="AK69" s="76" t="str">
        <f t="shared" si="28"/>
        <v/>
      </c>
      <c r="AL69" s="76" t="str">
        <f t="shared" si="29"/>
        <v/>
      </c>
      <c r="AM69" s="76" t="str">
        <f t="shared" si="30"/>
        <v/>
      </c>
      <c r="AN69" s="76" t="str">
        <f t="shared" si="31"/>
        <v/>
      </c>
      <c r="AO69" s="76" t="str">
        <f t="shared" si="32"/>
        <v/>
      </c>
      <c r="AP69" s="76" t="str">
        <f t="shared" si="33"/>
        <v/>
      </c>
    </row>
    <row r="70" ht="15.75" customHeight="1">
      <c r="A70" s="76" t="str">
        <f>IF('Manual Entry'!A42="","",'Manual Entry'!A42)</f>
        <v/>
      </c>
      <c r="B70" s="76" t="str">
        <f t="shared" si="3"/>
        <v/>
      </c>
      <c r="C70" s="76" t="str">
        <f t="shared" si="4"/>
        <v/>
      </c>
      <c r="D70" s="76" t="str">
        <f>'Manual Entry'!D42</f>
        <v/>
      </c>
      <c r="E70" s="76" t="str">
        <f>'Manual Entry'!B42</f>
        <v/>
      </c>
      <c r="F70" s="76" t="str">
        <f>'Manual Entry'!F42</f>
        <v/>
      </c>
      <c r="G70" s="76" t="str">
        <f>'Manual Entry'!G42</f>
        <v/>
      </c>
      <c r="H70" s="76" t="str">
        <f>'Manual Entry'!H42</f>
        <v/>
      </c>
      <c r="I70" s="78" t="str">
        <f>'Manual Entry'!I42</f>
        <v/>
      </c>
      <c r="J70" s="78" t="str">
        <f>'Manual Entry'!J42</f>
        <v/>
      </c>
      <c r="K70" s="78" t="str">
        <f>'Manual Entry'!K42</f>
        <v/>
      </c>
      <c r="L70" s="78" t="str">
        <f>'Manual Entry'!L42</f>
        <v/>
      </c>
      <c r="M70" s="78" t="str">
        <f>'Manual Entry'!M42</f>
        <v/>
      </c>
      <c r="N70" s="78" t="str">
        <f>'Manual Entry'!N42</f>
        <v/>
      </c>
      <c r="O70" s="76">
        <f t="shared" si="6"/>
        <v>0</v>
      </c>
      <c r="P70" s="76">
        <f t="shared" si="7"/>
        <v>0</v>
      </c>
      <c r="Q70" s="76">
        <f t="shared" si="8"/>
        <v>0</v>
      </c>
      <c r="R70" s="76">
        <f t="shared" si="9"/>
        <v>0</v>
      </c>
      <c r="S70" s="76" t="str">
        <f t="shared" si="10"/>
        <v/>
      </c>
      <c r="T70" s="76" t="str">
        <f t="shared" si="11"/>
        <v/>
      </c>
      <c r="U70" s="76" t="str">
        <f t="shared" si="12"/>
        <v/>
      </c>
      <c r="V70" s="76" t="str">
        <f t="shared" si="13"/>
        <v/>
      </c>
      <c r="W70" s="76" t="str">
        <f t="shared" si="14"/>
        <v/>
      </c>
      <c r="X70" s="76" t="str">
        <f t="shared" si="15"/>
        <v/>
      </c>
      <c r="Y70" s="76" t="str">
        <f t="shared" si="16"/>
        <v/>
      </c>
      <c r="Z70" s="76" t="str">
        <f t="shared" si="17"/>
        <v/>
      </c>
      <c r="AA70" s="76" t="str">
        <f t="shared" si="18"/>
        <v/>
      </c>
      <c r="AB70" s="76" t="str">
        <f t="shared" si="19"/>
        <v/>
      </c>
      <c r="AC70" s="76" t="str">
        <f t="shared" si="20"/>
        <v/>
      </c>
      <c r="AD70" s="76" t="str">
        <f t="shared" si="21"/>
        <v/>
      </c>
      <c r="AE70" s="76" t="str">
        <f t="shared" si="22"/>
        <v/>
      </c>
      <c r="AF70" s="76" t="str">
        <f t="shared" si="23"/>
        <v/>
      </c>
      <c r="AG70" s="76" t="str">
        <f t="shared" si="24"/>
        <v/>
      </c>
      <c r="AH70" s="76" t="str">
        <f t="shared" si="25"/>
        <v/>
      </c>
      <c r="AI70" s="76" t="str">
        <f t="shared" si="26"/>
        <v/>
      </c>
      <c r="AJ70" s="76" t="str">
        <f t="shared" si="27"/>
        <v/>
      </c>
      <c r="AK70" s="76" t="str">
        <f t="shared" si="28"/>
        <v/>
      </c>
      <c r="AL70" s="76" t="str">
        <f t="shared" si="29"/>
        <v/>
      </c>
      <c r="AM70" s="76" t="str">
        <f t="shared" si="30"/>
        <v/>
      </c>
      <c r="AN70" s="76" t="str">
        <f t="shared" si="31"/>
        <v/>
      </c>
      <c r="AO70" s="76" t="str">
        <f t="shared" si="32"/>
        <v/>
      </c>
      <c r="AP70" s="76" t="str">
        <f t="shared" si="33"/>
        <v/>
      </c>
    </row>
    <row r="71" ht="15.75" customHeight="1">
      <c r="A71" s="76" t="str">
        <f>IF('Manual Entry'!A43="","",'Manual Entry'!A43)</f>
        <v/>
      </c>
      <c r="B71" s="76" t="str">
        <f t="shared" si="3"/>
        <v/>
      </c>
      <c r="C71" s="76" t="str">
        <f t="shared" si="4"/>
        <v/>
      </c>
      <c r="D71" s="76" t="str">
        <f>'Manual Entry'!D43</f>
        <v/>
      </c>
      <c r="E71" s="76" t="str">
        <f>'Manual Entry'!B43</f>
        <v/>
      </c>
      <c r="F71" s="76" t="str">
        <f>'Manual Entry'!F43</f>
        <v/>
      </c>
      <c r="G71" s="76" t="str">
        <f>'Manual Entry'!G43</f>
        <v/>
      </c>
      <c r="H71" s="76" t="str">
        <f>'Manual Entry'!H43</f>
        <v/>
      </c>
      <c r="I71" s="78" t="str">
        <f>'Manual Entry'!I43</f>
        <v/>
      </c>
      <c r="J71" s="78" t="str">
        <f>'Manual Entry'!J43</f>
        <v/>
      </c>
      <c r="K71" s="78" t="str">
        <f>'Manual Entry'!K43</f>
        <v/>
      </c>
      <c r="L71" s="78" t="str">
        <f>'Manual Entry'!L43</f>
        <v/>
      </c>
      <c r="M71" s="78" t="str">
        <f>'Manual Entry'!M43</f>
        <v/>
      </c>
      <c r="N71" s="78" t="str">
        <f>'Manual Entry'!N43</f>
        <v/>
      </c>
      <c r="O71" s="76">
        <f t="shared" si="6"/>
        <v>0</v>
      </c>
      <c r="P71" s="76">
        <f t="shared" si="7"/>
        <v>0</v>
      </c>
      <c r="Q71" s="76">
        <f t="shared" si="8"/>
        <v>0</v>
      </c>
      <c r="R71" s="76">
        <f t="shared" si="9"/>
        <v>0</v>
      </c>
      <c r="S71" s="76" t="str">
        <f t="shared" si="10"/>
        <v/>
      </c>
      <c r="T71" s="76" t="str">
        <f t="shared" si="11"/>
        <v/>
      </c>
      <c r="U71" s="76" t="str">
        <f t="shared" si="12"/>
        <v/>
      </c>
      <c r="V71" s="76" t="str">
        <f t="shared" si="13"/>
        <v/>
      </c>
      <c r="W71" s="76" t="str">
        <f t="shared" si="14"/>
        <v/>
      </c>
      <c r="X71" s="76" t="str">
        <f t="shared" si="15"/>
        <v/>
      </c>
      <c r="Y71" s="76" t="str">
        <f t="shared" si="16"/>
        <v/>
      </c>
      <c r="Z71" s="76" t="str">
        <f t="shared" si="17"/>
        <v/>
      </c>
      <c r="AA71" s="76" t="str">
        <f t="shared" si="18"/>
        <v/>
      </c>
      <c r="AB71" s="76" t="str">
        <f t="shared" si="19"/>
        <v/>
      </c>
      <c r="AC71" s="76" t="str">
        <f t="shared" si="20"/>
        <v/>
      </c>
      <c r="AD71" s="76" t="str">
        <f t="shared" si="21"/>
        <v/>
      </c>
      <c r="AE71" s="76" t="str">
        <f t="shared" si="22"/>
        <v/>
      </c>
      <c r="AF71" s="76" t="str">
        <f t="shared" si="23"/>
        <v/>
      </c>
      <c r="AG71" s="76" t="str">
        <f t="shared" si="24"/>
        <v/>
      </c>
      <c r="AH71" s="76" t="str">
        <f t="shared" si="25"/>
        <v/>
      </c>
      <c r="AI71" s="76" t="str">
        <f t="shared" si="26"/>
        <v/>
      </c>
      <c r="AJ71" s="76" t="str">
        <f t="shared" si="27"/>
        <v/>
      </c>
      <c r="AK71" s="76" t="str">
        <f t="shared" si="28"/>
        <v/>
      </c>
      <c r="AL71" s="76" t="str">
        <f t="shared" si="29"/>
        <v/>
      </c>
      <c r="AM71" s="76" t="str">
        <f t="shared" si="30"/>
        <v/>
      </c>
      <c r="AN71" s="76" t="str">
        <f t="shared" si="31"/>
        <v/>
      </c>
      <c r="AO71" s="76" t="str">
        <f t="shared" si="32"/>
        <v/>
      </c>
      <c r="AP71" s="76" t="str">
        <f t="shared" si="33"/>
        <v/>
      </c>
    </row>
    <row r="72" ht="15.75" customHeight="1">
      <c r="A72" s="76" t="str">
        <f>IF('Manual Entry'!A44="","",'Manual Entry'!A44)</f>
        <v/>
      </c>
      <c r="B72" s="76" t="str">
        <f t="shared" si="3"/>
        <v/>
      </c>
      <c r="C72" s="76" t="str">
        <f t="shared" si="4"/>
        <v/>
      </c>
      <c r="D72" s="76" t="str">
        <f>'Manual Entry'!D44</f>
        <v/>
      </c>
      <c r="E72" s="76" t="str">
        <f>'Manual Entry'!B44</f>
        <v/>
      </c>
      <c r="F72" s="76" t="str">
        <f>'Manual Entry'!F44</f>
        <v/>
      </c>
      <c r="G72" s="76" t="str">
        <f>'Manual Entry'!G44</f>
        <v/>
      </c>
      <c r="H72" s="76" t="str">
        <f>'Manual Entry'!H44</f>
        <v/>
      </c>
      <c r="I72" s="78" t="str">
        <f>'Manual Entry'!I44</f>
        <v/>
      </c>
      <c r="J72" s="78" t="str">
        <f>'Manual Entry'!J44</f>
        <v/>
      </c>
      <c r="K72" s="78" t="str">
        <f>'Manual Entry'!K44</f>
        <v/>
      </c>
      <c r="L72" s="78" t="str">
        <f>'Manual Entry'!L44</f>
        <v/>
      </c>
      <c r="M72" s="78" t="str">
        <f>'Manual Entry'!M44</f>
        <v/>
      </c>
      <c r="N72" s="78" t="str">
        <f>'Manual Entry'!N44</f>
        <v/>
      </c>
      <c r="O72" s="76">
        <f t="shared" si="6"/>
        <v>0</v>
      </c>
      <c r="P72" s="76">
        <f t="shared" si="7"/>
        <v>0</v>
      </c>
      <c r="Q72" s="76">
        <f t="shared" si="8"/>
        <v>0</v>
      </c>
      <c r="R72" s="76">
        <f t="shared" si="9"/>
        <v>0</v>
      </c>
      <c r="S72" s="76" t="str">
        <f t="shared" si="10"/>
        <v/>
      </c>
      <c r="T72" s="76" t="str">
        <f t="shared" si="11"/>
        <v/>
      </c>
      <c r="U72" s="76" t="str">
        <f t="shared" si="12"/>
        <v/>
      </c>
      <c r="V72" s="76" t="str">
        <f t="shared" si="13"/>
        <v/>
      </c>
      <c r="W72" s="76" t="str">
        <f t="shared" si="14"/>
        <v/>
      </c>
      <c r="X72" s="76" t="str">
        <f t="shared" si="15"/>
        <v/>
      </c>
      <c r="Y72" s="76" t="str">
        <f t="shared" si="16"/>
        <v/>
      </c>
      <c r="Z72" s="76" t="str">
        <f t="shared" si="17"/>
        <v/>
      </c>
      <c r="AA72" s="76" t="str">
        <f t="shared" si="18"/>
        <v/>
      </c>
      <c r="AB72" s="76" t="str">
        <f t="shared" si="19"/>
        <v/>
      </c>
      <c r="AC72" s="76" t="str">
        <f t="shared" si="20"/>
        <v/>
      </c>
      <c r="AD72" s="76" t="str">
        <f t="shared" si="21"/>
        <v/>
      </c>
      <c r="AE72" s="76" t="str">
        <f t="shared" si="22"/>
        <v/>
      </c>
      <c r="AF72" s="76" t="str">
        <f t="shared" si="23"/>
        <v/>
      </c>
      <c r="AG72" s="76" t="str">
        <f t="shared" si="24"/>
        <v/>
      </c>
      <c r="AH72" s="76" t="str">
        <f t="shared" si="25"/>
        <v/>
      </c>
      <c r="AI72" s="76" t="str">
        <f t="shared" si="26"/>
        <v/>
      </c>
      <c r="AJ72" s="76" t="str">
        <f t="shared" si="27"/>
        <v/>
      </c>
      <c r="AK72" s="76" t="str">
        <f t="shared" si="28"/>
        <v/>
      </c>
      <c r="AL72" s="76" t="str">
        <f t="shared" si="29"/>
        <v/>
      </c>
      <c r="AM72" s="76" t="str">
        <f t="shared" si="30"/>
        <v/>
      </c>
      <c r="AN72" s="76" t="str">
        <f t="shared" si="31"/>
        <v/>
      </c>
      <c r="AO72" s="76" t="str">
        <f t="shared" si="32"/>
        <v/>
      </c>
      <c r="AP72" s="76" t="str">
        <f t="shared" si="33"/>
        <v/>
      </c>
    </row>
    <row r="73" ht="15.75" customHeight="1">
      <c r="A73" s="76" t="str">
        <f>IF('Manual Entry'!A45="","",'Manual Entry'!A45)</f>
        <v/>
      </c>
      <c r="B73" s="76" t="str">
        <f t="shared" si="3"/>
        <v/>
      </c>
      <c r="C73" s="76" t="str">
        <f t="shared" si="4"/>
        <v/>
      </c>
      <c r="D73" s="76" t="str">
        <f>'Manual Entry'!D45</f>
        <v/>
      </c>
      <c r="E73" s="76" t="str">
        <f>'Manual Entry'!B45</f>
        <v/>
      </c>
      <c r="F73" s="76" t="str">
        <f>'Manual Entry'!F45</f>
        <v/>
      </c>
      <c r="G73" s="76" t="str">
        <f>'Manual Entry'!G45</f>
        <v/>
      </c>
      <c r="H73" s="76" t="str">
        <f>'Manual Entry'!H45</f>
        <v/>
      </c>
      <c r="I73" s="78" t="str">
        <f>'Manual Entry'!I45</f>
        <v/>
      </c>
      <c r="J73" s="78" t="str">
        <f>'Manual Entry'!J45</f>
        <v/>
      </c>
      <c r="K73" s="78" t="str">
        <f>'Manual Entry'!K45</f>
        <v/>
      </c>
      <c r="L73" s="78" t="str">
        <f>'Manual Entry'!L45</f>
        <v/>
      </c>
      <c r="M73" s="78" t="str">
        <f>'Manual Entry'!M45</f>
        <v/>
      </c>
      <c r="N73" s="78" t="str">
        <f>'Manual Entry'!N45</f>
        <v/>
      </c>
      <c r="O73" s="76">
        <f t="shared" si="6"/>
        <v>0</v>
      </c>
      <c r="P73" s="76">
        <f t="shared" si="7"/>
        <v>0</v>
      </c>
      <c r="Q73" s="76">
        <f t="shared" si="8"/>
        <v>0</v>
      </c>
      <c r="R73" s="76">
        <f t="shared" si="9"/>
        <v>0</v>
      </c>
      <c r="S73" s="76" t="str">
        <f t="shared" si="10"/>
        <v/>
      </c>
      <c r="T73" s="76" t="str">
        <f t="shared" si="11"/>
        <v/>
      </c>
      <c r="U73" s="76" t="str">
        <f t="shared" si="12"/>
        <v/>
      </c>
      <c r="V73" s="76" t="str">
        <f t="shared" si="13"/>
        <v/>
      </c>
      <c r="W73" s="76" t="str">
        <f t="shared" si="14"/>
        <v/>
      </c>
      <c r="X73" s="76" t="str">
        <f t="shared" si="15"/>
        <v/>
      </c>
      <c r="Y73" s="76" t="str">
        <f t="shared" si="16"/>
        <v/>
      </c>
      <c r="Z73" s="76" t="str">
        <f t="shared" si="17"/>
        <v/>
      </c>
      <c r="AA73" s="76" t="str">
        <f t="shared" si="18"/>
        <v/>
      </c>
      <c r="AB73" s="76" t="str">
        <f t="shared" si="19"/>
        <v/>
      </c>
      <c r="AC73" s="76" t="str">
        <f t="shared" si="20"/>
        <v/>
      </c>
      <c r="AD73" s="76" t="str">
        <f t="shared" si="21"/>
        <v/>
      </c>
      <c r="AE73" s="76" t="str">
        <f t="shared" si="22"/>
        <v/>
      </c>
      <c r="AF73" s="76" t="str">
        <f t="shared" si="23"/>
        <v/>
      </c>
      <c r="AG73" s="76" t="str">
        <f t="shared" si="24"/>
        <v/>
      </c>
      <c r="AH73" s="76" t="str">
        <f t="shared" si="25"/>
        <v/>
      </c>
      <c r="AI73" s="76" t="str">
        <f t="shared" si="26"/>
        <v/>
      </c>
      <c r="AJ73" s="76" t="str">
        <f t="shared" si="27"/>
        <v/>
      </c>
      <c r="AK73" s="76" t="str">
        <f t="shared" si="28"/>
        <v/>
      </c>
      <c r="AL73" s="76" t="str">
        <f t="shared" si="29"/>
        <v/>
      </c>
      <c r="AM73" s="76" t="str">
        <f t="shared" si="30"/>
        <v/>
      </c>
      <c r="AN73" s="76" t="str">
        <f t="shared" si="31"/>
        <v/>
      </c>
      <c r="AO73" s="76" t="str">
        <f t="shared" si="32"/>
        <v/>
      </c>
      <c r="AP73" s="76" t="str">
        <f t="shared" si="33"/>
        <v/>
      </c>
    </row>
    <row r="74" ht="15.75" customHeight="1">
      <c r="A74" s="76" t="str">
        <f>IF('Manual Entry'!A46="","",'Manual Entry'!A46)</f>
        <v/>
      </c>
      <c r="B74" s="76" t="str">
        <f t="shared" si="3"/>
        <v/>
      </c>
      <c r="C74" s="76" t="str">
        <f t="shared" si="4"/>
        <v/>
      </c>
      <c r="D74" s="76" t="str">
        <f>'Manual Entry'!D46</f>
        <v/>
      </c>
      <c r="E74" s="76" t="str">
        <f>'Manual Entry'!B46</f>
        <v/>
      </c>
      <c r="F74" s="76" t="str">
        <f>'Manual Entry'!F46</f>
        <v/>
      </c>
      <c r="G74" s="76" t="str">
        <f>'Manual Entry'!G46</f>
        <v/>
      </c>
      <c r="H74" s="76" t="str">
        <f>'Manual Entry'!H46</f>
        <v/>
      </c>
      <c r="I74" s="78" t="str">
        <f>'Manual Entry'!I46</f>
        <v/>
      </c>
      <c r="J74" s="78" t="str">
        <f>'Manual Entry'!J46</f>
        <v/>
      </c>
      <c r="K74" s="78" t="str">
        <f>'Manual Entry'!K46</f>
        <v/>
      </c>
      <c r="L74" s="78" t="str">
        <f>'Manual Entry'!L46</f>
        <v/>
      </c>
      <c r="M74" s="78" t="str">
        <f>'Manual Entry'!M46</f>
        <v/>
      </c>
      <c r="N74" s="78" t="str">
        <f>'Manual Entry'!N46</f>
        <v/>
      </c>
      <c r="O74" s="76">
        <f t="shared" si="6"/>
        <v>0</v>
      </c>
      <c r="P74" s="76">
        <f t="shared" si="7"/>
        <v>0</v>
      </c>
      <c r="Q74" s="76">
        <f t="shared" si="8"/>
        <v>0</v>
      </c>
      <c r="R74" s="76">
        <f t="shared" si="9"/>
        <v>0</v>
      </c>
      <c r="S74" s="76" t="str">
        <f t="shared" si="10"/>
        <v/>
      </c>
      <c r="T74" s="76" t="str">
        <f t="shared" si="11"/>
        <v/>
      </c>
      <c r="U74" s="76" t="str">
        <f t="shared" si="12"/>
        <v/>
      </c>
      <c r="V74" s="76" t="str">
        <f t="shared" si="13"/>
        <v/>
      </c>
      <c r="W74" s="76" t="str">
        <f t="shared" si="14"/>
        <v/>
      </c>
      <c r="X74" s="76" t="str">
        <f t="shared" si="15"/>
        <v/>
      </c>
      <c r="Y74" s="76" t="str">
        <f t="shared" si="16"/>
        <v/>
      </c>
      <c r="Z74" s="76" t="str">
        <f t="shared" si="17"/>
        <v/>
      </c>
      <c r="AA74" s="76" t="str">
        <f t="shared" si="18"/>
        <v/>
      </c>
      <c r="AB74" s="76" t="str">
        <f t="shared" si="19"/>
        <v/>
      </c>
      <c r="AC74" s="76" t="str">
        <f t="shared" si="20"/>
        <v/>
      </c>
      <c r="AD74" s="76" t="str">
        <f t="shared" si="21"/>
        <v/>
      </c>
      <c r="AE74" s="76" t="str">
        <f t="shared" si="22"/>
        <v/>
      </c>
      <c r="AF74" s="76" t="str">
        <f t="shared" si="23"/>
        <v/>
      </c>
      <c r="AG74" s="76" t="str">
        <f t="shared" si="24"/>
        <v/>
      </c>
      <c r="AH74" s="76" t="str">
        <f t="shared" si="25"/>
        <v/>
      </c>
      <c r="AI74" s="76" t="str">
        <f t="shared" si="26"/>
        <v/>
      </c>
      <c r="AJ74" s="76" t="str">
        <f t="shared" si="27"/>
        <v/>
      </c>
      <c r="AK74" s="76" t="str">
        <f t="shared" si="28"/>
        <v/>
      </c>
      <c r="AL74" s="76" t="str">
        <f t="shared" si="29"/>
        <v/>
      </c>
      <c r="AM74" s="76" t="str">
        <f t="shared" si="30"/>
        <v/>
      </c>
      <c r="AN74" s="76" t="str">
        <f t="shared" si="31"/>
        <v/>
      </c>
      <c r="AO74" s="76" t="str">
        <f t="shared" si="32"/>
        <v/>
      </c>
      <c r="AP74" s="76" t="str">
        <f t="shared" si="33"/>
        <v/>
      </c>
    </row>
    <row r="75" ht="15.75" customHeight="1">
      <c r="A75" s="76" t="str">
        <f>IF('Manual Entry'!A47="","",'Manual Entry'!A47)</f>
        <v/>
      </c>
      <c r="B75" s="76" t="str">
        <f t="shared" si="3"/>
        <v/>
      </c>
      <c r="C75" s="76" t="str">
        <f t="shared" si="4"/>
        <v/>
      </c>
      <c r="D75" s="76" t="str">
        <f>'Manual Entry'!D47</f>
        <v/>
      </c>
      <c r="E75" s="76" t="str">
        <f>'Manual Entry'!B47</f>
        <v/>
      </c>
      <c r="F75" s="76" t="str">
        <f>'Manual Entry'!F47</f>
        <v/>
      </c>
      <c r="G75" s="76" t="str">
        <f>'Manual Entry'!G47</f>
        <v/>
      </c>
      <c r="H75" s="76" t="str">
        <f>'Manual Entry'!H47</f>
        <v/>
      </c>
      <c r="I75" s="78" t="str">
        <f>'Manual Entry'!I47</f>
        <v/>
      </c>
      <c r="J75" s="78" t="str">
        <f>'Manual Entry'!J47</f>
        <v/>
      </c>
      <c r="K75" s="78" t="str">
        <f>'Manual Entry'!K47</f>
        <v/>
      </c>
      <c r="L75" s="78" t="str">
        <f>'Manual Entry'!L47</f>
        <v/>
      </c>
      <c r="M75" s="78" t="str">
        <f>'Manual Entry'!M47</f>
        <v/>
      </c>
      <c r="N75" s="78" t="str">
        <f>'Manual Entry'!N47</f>
        <v/>
      </c>
      <c r="O75" s="76">
        <f t="shared" si="6"/>
        <v>0</v>
      </c>
      <c r="P75" s="76">
        <f t="shared" si="7"/>
        <v>0</v>
      </c>
      <c r="Q75" s="76">
        <f t="shared" si="8"/>
        <v>0</v>
      </c>
      <c r="R75" s="76">
        <f t="shared" si="9"/>
        <v>0</v>
      </c>
      <c r="S75" s="76" t="str">
        <f t="shared" si="10"/>
        <v/>
      </c>
      <c r="T75" s="76" t="str">
        <f t="shared" si="11"/>
        <v/>
      </c>
      <c r="U75" s="76" t="str">
        <f t="shared" si="12"/>
        <v/>
      </c>
      <c r="V75" s="76" t="str">
        <f t="shared" si="13"/>
        <v/>
      </c>
      <c r="W75" s="76" t="str">
        <f t="shared" si="14"/>
        <v/>
      </c>
      <c r="X75" s="76" t="str">
        <f t="shared" si="15"/>
        <v/>
      </c>
      <c r="Y75" s="76" t="str">
        <f t="shared" si="16"/>
        <v/>
      </c>
      <c r="Z75" s="76" t="str">
        <f t="shared" si="17"/>
        <v/>
      </c>
      <c r="AA75" s="76" t="str">
        <f t="shared" si="18"/>
        <v/>
      </c>
      <c r="AB75" s="76" t="str">
        <f t="shared" si="19"/>
        <v/>
      </c>
      <c r="AC75" s="76" t="str">
        <f t="shared" si="20"/>
        <v/>
      </c>
      <c r="AD75" s="76" t="str">
        <f t="shared" si="21"/>
        <v/>
      </c>
      <c r="AE75" s="76" t="str">
        <f t="shared" si="22"/>
        <v/>
      </c>
      <c r="AF75" s="76" t="str">
        <f t="shared" si="23"/>
        <v/>
      </c>
      <c r="AG75" s="76" t="str">
        <f t="shared" si="24"/>
        <v/>
      </c>
      <c r="AH75" s="76" t="str">
        <f t="shared" si="25"/>
        <v/>
      </c>
      <c r="AI75" s="76" t="str">
        <f t="shared" si="26"/>
        <v/>
      </c>
      <c r="AJ75" s="76" t="str">
        <f t="shared" si="27"/>
        <v/>
      </c>
      <c r="AK75" s="76" t="str">
        <f t="shared" si="28"/>
        <v/>
      </c>
      <c r="AL75" s="76" t="str">
        <f t="shared" si="29"/>
        <v/>
      </c>
      <c r="AM75" s="76" t="str">
        <f t="shared" si="30"/>
        <v/>
      </c>
      <c r="AN75" s="76" t="str">
        <f t="shared" si="31"/>
        <v/>
      </c>
      <c r="AO75" s="76" t="str">
        <f t="shared" si="32"/>
        <v/>
      </c>
      <c r="AP75" s="76" t="str">
        <f t="shared" si="33"/>
        <v/>
      </c>
    </row>
    <row r="76" ht="15.75" customHeight="1">
      <c r="A76" s="76" t="str">
        <f>IF('Manual Entry'!A48="","",'Manual Entry'!A48)</f>
        <v/>
      </c>
      <c r="B76" s="76" t="str">
        <f t="shared" si="3"/>
        <v/>
      </c>
      <c r="C76" s="76" t="str">
        <f t="shared" si="4"/>
        <v/>
      </c>
      <c r="D76" s="76" t="str">
        <f>'Manual Entry'!D48</f>
        <v/>
      </c>
      <c r="E76" s="76" t="str">
        <f>'Manual Entry'!B48</f>
        <v/>
      </c>
      <c r="F76" s="76" t="str">
        <f>'Manual Entry'!F48</f>
        <v/>
      </c>
      <c r="G76" s="76" t="str">
        <f>'Manual Entry'!G48</f>
        <v/>
      </c>
      <c r="H76" s="76" t="str">
        <f>'Manual Entry'!H48</f>
        <v/>
      </c>
      <c r="I76" s="78" t="str">
        <f>'Manual Entry'!I48</f>
        <v/>
      </c>
      <c r="J76" s="78" t="str">
        <f>'Manual Entry'!J48</f>
        <v/>
      </c>
      <c r="K76" s="78" t="str">
        <f>'Manual Entry'!K48</f>
        <v/>
      </c>
      <c r="L76" s="78" t="str">
        <f>'Manual Entry'!L48</f>
        <v/>
      </c>
      <c r="M76" s="78" t="str">
        <f>'Manual Entry'!M48</f>
        <v/>
      </c>
      <c r="N76" s="78" t="str">
        <f>'Manual Entry'!N48</f>
        <v/>
      </c>
      <c r="O76" s="76">
        <f t="shared" si="6"/>
        <v>0</v>
      </c>
      <c r="P76" s="76">
        <f t="shared" si="7"/>
        <v>0</v>
      </c>
      <c r="Q76" s="76">
        <f t="shared" si="8"/>
        <v>0</v>
      </c>
      <c r="R76" s="76">
        <f t="shared" si="9"/>
        <v>0</v>
      </c>
      <c r="S76" s="76" t="str">
        <f t="shared" si="10"/>
        <v/>
      </c>
      <c r="T76" s="76" t="str">
        <f t="shared" si="11"/>
        <v/>
      </c>
      <c r="U76" s="76" t="str">
        <f t="shared" si="12"/>
        <v/>
      </c>
      <c r="V76" s="76" t="str">
        <f t="shared" si="13"/>
        <v/>
      </c>
      <c r="W76" s="76" t="str">
        <f t="shared" si="14"/>
        <v/>
      </c>
      <c r="X76" s="76" t="str">
        <f t="shared" si="15"/>
        <v/>
      </c>
      <c r="Y76" s="76" t="str">
        <f t="shared" si="16"/>
        <v/>
      </c>
      <c r="Z76" s="76" t="str">
        <f t="shared" si="17"/>
        <v/>
      </c>
      <c r="AA76" s="76" t="str">
        <f t="shared" si="18"/>
        <v/>
      </c>
      <c r="AB76" s="76" t="str">
        <f t="shared" si="19"/>
        <v/>
      </c>
      <c r="AC76" s="76" t="str">
        <f t="shared" si="20"/>
        <v/>
      </c>
      <c r="AD76" s="76" t="str">
        <f t="shared" si="21"/>
        <v/>
      </c>
      <c r="AE76" s="76" t="str">
        <f t="shared" si="22"/>
        <v/>
      </c>
      <c r="AF76" s="76" t="str">
        <f t="shared" si="23"/>
        <v/>
      </c>
      <c r="AG76" s="76" t="str">
        <f t="shared" si="24"/>
        <v/>
      </c>
      <c r="AH76" s="76" t="str">
        <f t="shared" si="25"/>
        <v/>
      </c>
      <c r="AI76" s="76" t="str">
        <f t="shared" si="26"/>
        <v/>
      </c>
      <c r="AJ76" s="76" t="str">
        <f t="shared" si="27"/>
        <v/>
      </c>
      <c r="AK76" s="76" t="str">
        <f t="shared" si="28"/>
        <v/>
      </c>
      <c r="AL76" s="76" t="str">
        <f t="shared" si="29"/>
        <v/>
      </c>
      <c r="AM76" s="76" t="str">
        <f t="shared" si="30"/>
        <v/>
      </c>
      <c r="AN76" s="76" t="str">
        <f t="shared" si="31"/>
        <v/>
      </c>
      <c r="AO76" s="76" t="str">
        <f t="shared" si="32"/>
        <v/>
      </c>
      <c r="AP76" s="76" t="str">
        <f t="shared" si="33"/>
        <v/>
      </c>
    </row>
    <row r="77" ht="15.75" customHeight="1">
      <c r="A77" s="76" t="str">
        <f>IF('Manual Entry'!A49="","",'Manual Entry'!A49)</f>
        <v/>
      </c>
      <c r="B77" s="76" t="str">
        <f t="shared" si="3"/>
        <v/>
      </c>
      <c r="C77" s="76" t="str">
        <f t="shared" si="4"/>
        <v/>
      </c>
      <c r="D77" s="76" t="str">
        <f>'Manual Entry'!D49</f>
        <v/>
      </c>
      <c r="E77" s="76" t="str">
        <f>'Manual Entry'!B49</f>
        <v/>
      </c>
      <c r="F77" s="76" t="str">
        <f>'Manual Entry'!F49</f>
        <v/>
      </c>
      <c r="G77" s="76" t="str">
        <f>'Manual Entry'!G49</f>
        <v/>
      </c>
      <c r="H77" s="76" t="str">
        <f>'Manual Entry'!H49</f>
        <v/>
      </c>
      <c r="I77" s="78" t="str">
        <f>'Manual Entry'!I49</f>
        <v/>
      </c>
      <c r="J77" s="78" t="str">
        <f>'Manual Entry'!J49</f>
        <v/>
      </c>
      <c r="K77" s="78" t="str">
        <f>'Manual Entry'!K49</f>
        <v/>
      </c>
      <c r="L77" s="78" t="str">
        <f>'Manual Entry'!L49</f>
        <v/>
      </c>
      <c r="M77" s="78" t="str">
        <f>'Manual Entry'!M49</f>
        <v/>
      </c>
      <c r="N77" s="78" t="str">
        <f>'Manual Entry'!N49</f>
        <v/>
      </c>
      <c r="O77" s="76">
        <f t="shared" si="6"/>
        <v>0</v>
      </c>
      <c r="P77" s="76">
        <f t="shared" si="7"/>
        <v>0</v>
      </c>
      <c r="Q77" s="76">
        <f t="shared" si="8"/>
        <v>0</v>
      </c>
      <c r="R77" s="76">
        <f t="shared" si="9"/>
        <v>0</v>
      </c>
      <c r="S77" s="76" t="str">
        <f t="shared" si="10"/>
        <v/>
      </c>
      <c r="T77" s="76" t="str">
        <f t="shared" si="11"/>
        <v/>
      </c>
      <c r="U77" s="76" t="str">
        <f t="shared" si="12"/>
        <v/>
      </c>
      <c r="V77" s="76" t="str">
        <f t="shared" si="13"/>
        <v/>
      </c>
      <c r="W77" s="76" t="str">
        <f t="shared" si="14"/>
        <v/>
      </c>
      <c r="X77" s="76" t="str">
        <f t="shared" si="15"/>
        <v/>
      </c>
      <c r="Y77" s="76" t="str">
        <f t="shared" si="16"/>
        <v/>
      </c>
      <c r="Z77" s="76" t="str">
        <f t="shared" si="17"/>
        <v/>
      </c>
      <c r="AA77" s="76" t="str">
        <f t="shared" si="18"/>
        <v/>
      </c>
      <c r="AB77" s="76" t="str">
        <f t="shared" si="19"/>
        <v/>
      </c>
      <c r="AC77" s="76" t="str">
        <f t="shared" si="20"/>
        <v/>
      </c>
      <c r="AD77" s="76" t="str">
        <f t="shared" si="21"/>
        <v/>
      </c>
      <c r="AE77" s="76" t="str">
        <f t="shared" si="22"/>
        <v/>
      </c>
      <c r="AF77" s="76" t="str">
        <f t="shared" si="23"/>
        <v/>
      </c>
      <c r="AG77" s="76" t="str">
        <f t="shared" si="24"/>
        <v/>
      </c>
      <c r="AH77" s="76" t="str">
        <f t="shared" si="25"/>
        <v/>
      </c>
      <c r="AI77" s="76" t="str">
        <f t="shared" si="26"/>
        <v/>
      </c>
      <c r="AJ77" s="76" t="str">
        <f t="shared" si="27"/>
        <v/>
      </c>
      <c r="AK77" s="76" t="str">
        <f t="shared" si="28"/>
        <v/>
      </c>
      <c r="AL77" s="76" t="str">
        <f t="shared" si="29"/>
        <v/>
      </c>
      <c r="AM77" s="76" t="str">
        <f t="shared" si="30"/>
        <v/>
      </c>
      <c r="AN77" s="76" t="str">
        <f t="shared" si="31"/>
        <v/>
      </c>
      <c r="AO77" s="76" t="str">
        <f t="shared" si="32"/>
        <v/>
      </c>
      <c r="AP77" s="76" t="str">
        <f t="shared" si="33"/>
        <v/>
      </c>
    </row>
    <row r="78" ht="15.75" customHeight="1">
      <c r="A78" s="76" t="str">
        <f>IF('Manual Entry'!A50="","",'Manual Entry'!A50)</f>
        <v/>
      </c>
      <c r="B78" s="76" t="str">
        <f t="shared" si="3"/>
        <v/>
      </c>
      <c r="C78" s="76" t="str">
        <f t="shared" si="4"/>
        <v/>
      </c>
      <c r="D78" s="76" t="str">
        <f>'Manual Entry'!D50</f>
        <v/>
      </c>
      <c r="E78" s="76" t="str">
        <f>'Manual Entry'!B50</f>
        <v/>
      </c>
      <c r="F78" s="76" t="str">
        <f>'Manual Entry'!F50</f>
        <v/>
      </c>
      <c r="G78" s="76" t="str">
        <f>'Manual Entry'!G50</f>
        <v/>
      </c>
      <c r="H78" s="76" t="str">
        <f>'Manual Entry'!H50</f>
        <v/>
      </c>
      <c r="I78" s="78" t="str">
        <f>'Manual Entry'!I50</f>
        <v/>
      </c>
      <c r="J78" s="78" t="str">
        <f>'Manual Entry'!J50</f>
        <v/>
      </c>
      <c r="K78" s="78" t="str">
        <f>'Manual Entry'!K50</f>
        <v/>
      </c>
      <c r="L78" s="78" t="str">
        <f>'Manual Entry'!L50</f>
        <v/>
      </c>
      <c r="M78" s="78" t="str">
        <f>'Manual Entry'!M50</f>
        <v/>
      </c>
      <c r="N78" s="78" t="str">
        <f>'Manual Entry'!N50</f>
        <v/>
      </c>
      <c r="O78" s="76">
        <f t="shared" si="6"/>
        <v>0</v>
      </c>
      <c r="P78" s="76">
        <f t="shared" si="7"/>
        <v>0</v>
      </c>
      <c r="Q78" s="76">
        <f t="shared" si="8"/>
        <v>0</v>
      </c>
      <c r="R78" s="76">
        <f t="shared" si="9"/>
        <v>0</v>
      </c>
      <c r="S78" s="76" t="str">
        <f t="shared" si="10"/>
        <v/>
      </c>
      <c r="T78" s="76" t="str">
        <f t="shared" si="11"/>
        <v/>
      </c>
      <c r="U78" s="76" t="str">
        <f t="shared" si="12"/>
        <v/>
      </c>
      <c r="V78" s="76" t="str">
        <f t="shared" si="13"/>
        <v/>
      </c>
      <c r="W78" s="76" t="str">
        <f t="shared" si="14"/>
        <v/>
      </c>
      <c r="X78" s="76" t="str">
        <f t="shared" si="15"/>
        <v/>
      </c>
      <c r="Y78" s="76" t="str">
        <f t="shared" si="16"/>
        <v/>
      </c>
      <c r="Z78" s="76" t="str">
        <f t="shared" si="17"/>
        <v/>
      </c>
      <c r="AA78" s="76" t="str">
        <f t="shared" si="18"/>
        <v/>
      </c>
      <c r="AB78" s="76" t="str">
        <f t="shared" si="19"/>
        <v/>
      </c>
      <c r="AC78" s="76" t="str">
        <f t="shared" si="20"/>
        <v/>
      </c>
      <c r="AD78" s="76" t="str">
        <f t="shared" si="21"/>
        <v/>
      </c>
      <c r="AE78" s="76" t="str">
        <f t="shared" si="22"/>
        <v/>
      </c>
      <c r="AF78" s="76" t="str">
        <f t="shared" si="23"/>
        <v/>
      </c>
      <c r="AG78" s="76" t="str">
        <f t="shared" si="24"/>
        <v/>
      </c>
      <c r="AH78" s="76" t="str">
        <f t="shared" si="25"/>
        <v/>
      </c>
      <c r="AI78" s="76" t="str">
        <f t="shared" si="26"/>
        <v/>
      </c>
      <c r="AJ78" s="76" t="str">
        <f t="shared" si="27"/>
        <v/>
      </c>
      <c r="AK78" s="76" t="str">
        <f t="shared" si="28"/>
        <v/>
      </c>
      <c r="AL78" s="76" t="str">
        <f t="shared" si="29"/>
        <v/>
      </c>
      <c r="AM78" s="76" t="str">
        <f t="shared" si="30"/>
        <v/>
      </c>
      <c r="AN78" s="76" t="str">
        <f t="shared" si="31"/>
        <v/>
      </c>
      <c r="AO78" s="76" t="str">
        <f t="shared" si="32"/>
        <v/>
      </c>
      <c r="AP78" s="76" t="str">
        <f t="shared" si="33"/>
        <v/>
      </c>
    </row>
    <row r="79" ht="15.75" customHeight="1">
      <c r="A79" s="76" t="str">
        <f>IF('Manual Entry'!A51="","",'Manual Entry'!A51)</f>
        <v/>
      </c>
      <c r="B79" s="76" t="str">
        <f t="shared" si="3"/>
        <v/>
      </c>
      <c r="C79" s="76" t="str">
        <f t="shared" si="4"/>
        <v/>
      </c>
      <c r="D79" s="76" t="str">
        <f>'Manual Entry'!D51</f>
        <v/>
      </c>
      <c r="E79" s="76" t="str">
        <f>'Manual Entry'!B51</f>
        <v/>
      </c>
      <c r="F79" s="76" t="str">
        <f>'Manual Entry'!F51</f>
        <v/>
      </c>
      <c r="G79" s="76" t="str">
        <f>'Manual Entry'!G51</f>
        <v/>
      </c>
      <c r="H79" s="76" t="str">
        <f>'Manual Entry'!H51</f>
        <v/>
      </c>
      <c r="I79" s="78" t="str">
        <f>'Manual Entry'!I51</f>
        <v/>
      </c>
      <c r="J79" s="78" t="str">
        <f>'Manual Entry'!J51</f>
        <v/>
      </c>
      <c r="K79" s="78" t="str">
        <f>'Manual Entry'!K51</f>
        <v/>
      </c>
      <c r="L79" s="78" t="str">
        <f>'Manual Entry'!L51</f>
        <v/>
      </c>
      <c r="M79" s="78" t="str">
        <f>'Manual Entry'!M51</f>
        <v/>
      </c>
      <c r="N79" s="78" t="str">
        <f>'Manual Entry'!N51</f>
        <v/>
      </c>
      <c r="O79" s="76">
        <f t="shared" si="6"/>
        <v>0</v>
      </c>
      <c r="P79" s="76">
        <f t="shared" si="7"/>
        <v>0</v>
      </c>
      <c r="Q79" s="76">
        <f t="shared" si="8"/>
        <v>0</v>
      </c>
      <c r="R79" s="76">
        <f t="shared" si="9"/>
        <v>0</v>
      </c>
      <c r="S79" s="76" t="str">
        <f t="shared" si="10"/>
        <v/>
      </c>
      <c r="T79" s="76" t="str">
        <f t="shared" si="11"/>
        <v/>
      </c>
      <c r="U79" s="76" t="str">
        <f t="shared" si="12"/>
        <v/>
      </c>
      <c r="V79" s="76" t="str">
        <f t="shared" si="13"/>
        <v/>
      </c>
      <c r="W79" s="76" t="str">
        <f t="shared" si="14"/>
        <v/>
      </c>
      <c r="X79" s="76" t="str">
        <f t="shared" si="15"/>
        <v/>
      </c>
      <c r="Y79" s="76" t="str">
        <f t="shared" si="16"/>
        <v/>
      </c>
      <c r="Z79" s="76" t="str">
        <f t="shared" si="17"/>
        <v/>
      </c>
      <c r="AA79" s="76" t="str">
        <f t="shared" si="18"/>
        <v/>
      </c>
      <c r="AB79" s="76" t="str">
        <f t="shared" si="19"/>
        <v/>
      </c>
      <c r="AC79" s="76" t="str">
        <f t="shared" si="20"/>
        <v/>
      </c>
      <c r="AD79" s="76" t="str">
        <f t="shared" si="21"/>
        <v/>
      </c>
      <c r="AE79" s="76" t="str">
        <f t="shared" si="22"/>
        <v/>
      </c>
      <c r="AF79" s="76" t="str">
        <f t="shared" si="23"/>
        <v/>
      </c>
      <c r="AG79" s="76" t="str">
        <f t="shared" si="24"/>
        <v/>
      </c>
      <c r="AH79" s="76" t="str">
        <f t="shared" si="25"/>
        <v/>
      </c>
      <c r="AI79" s="76" t="str">
        <f t="shared" si="26"/>
        <v/>
      </c>
      <c r="AJ79" s="76" t="str">
        <f t="shared" si="27"/>
        <v/>
      </c>
      <c r="AK79" s="76" t="str">
        <f t="shared" si="28"/>
        <v/>
      </c>
      <c r="AL79" s="76" t="str">
        <f t="shared" si="29"/>
        <v/>
      </c>
      <c r="AM79" s="76" t="str">
        <f t="shared" si="30"/>
        <v/>
      </c>
      <c r="AN79" s="76" t="str">
        <f t="shared" si="31"/>
        <v/>
      </c>
      <c r="AO79" s="76" t="str">
        <f t="shared" si="32"/>
        <v/>
      </c>
      <c r="AP79" s="76" t="str">
        <f t="shared" si="33"/>
        <v/>
      </c>
    </row>
    <row r="80" ht="15.75" customHeight="1">
      <c r="A80" s="76" t="str">
        <f>IF('Manual Entry'!A52="","",'Manual Entry'!A52)</f>
        <v/>
      </c>
      <c r="B80" s="76" t="str">
        <f t="shared" si="3"/>
        <v/>
      </c>
      <c r="C80" s="76" t="str">
        <f t="shared" si="4"/>
        <v/>
      </c>
      <c r="D80" s="76" t="str">
        <f>'Manual Entry'!D52</f>
        <v/>
      </c>
      <c r="E80" s="76" t="str">
        <f>'Manual Entry'!B52</f>
        <v/>
      </c>
      <c r="F80" s="76" t="str">
        <f>'Manual Entry'!F52</f>
        <v/>
      </c>
      <c r="G80" s="76" t="str">
        <f>'Manual Entry'!G52</f>
        <v/>
      </c>
      <c r="H80" s="76" t="str">
        <f>'Manual Entry'!H52</f>
        <v/>
      </c>
      <c r="I80" s="78" t="str">
        <f>'Manual Entry'!I52</f>
        <v/>
      </c>
      <c r="J80" s="78" t="str">
        <f>'Manual Entry'!J52</f>
        <v/>
      </c>
      <c r="K80" s="78" t="str">
        <f>'Manual Entry'!K52</f>
        <v/>
      </c>
      <c r="L80" s="78" t="str">
        <f>'Manual Entry'!L52</f>
        <v/>
      </c>
      <c r="M80" s="78" t="str">
        <f>'Manual Entry'!M52</f>
        <v/>
      </c>
      <c r="N80" s="78" t="str">
        <f>'Manual Entry'!N52</f>
        <v/>
      </c>
      <c r="O80" s="76">
        <f t="shared" si="6"/>
        <v>0</v>
      </c>
      <c r="P80" s="76">
        <f t="shared" si="7"/>
        <v>0</v>
      </c>
      <c r="Q80" s="76">
        <f t="shared" si="8"/>
        <v>0</v>
      </c>
      <c r="R80" s="76">
        <f t="shared" si="9"/>
        <v>0</v>
      </c>
      <c r="S80" s="76" t="str">
        <f t="shared" si="10"/>
        <v/>
      </c>
      <c r="T80" s="76" t="str">
        <f t="shared" si="11"/>
        <v/>
      </c>
      <c r="U80" s="76" t="str">
        <f t="shared" si="12"/>
        <v/>
      </c>
      <c r="V80" s="76" t="str">
        <f t="shared" si="13"/>
        <v/>
      </c>
      <c r="W80" s="76" t="str">
        <f t="shared" si="14"/>
        <v/>
      </c>
      <c r="X80" s="76" t="str">
        <f t="shared" si="15"/>
        <v/>
      </c>
      <c r="Y80" s="76" t="str">
        <f t="shared" si="16"/>
        <v/>
      </c>
      <c r="Z80" s="76" t="str">
        <f t="shared" si="17"/>
        <v/>
      </c>
      <c r="AA80" s="76" t="str">
        <f t="shared" si="18"/>
        <v/>
      </c>
      <c r="AB80" s="76" t="str">
        <f t="shared" si="19"/>
        <v/>
      </c>
      <c r="AC80" s="76" t="str">
        <f t="shared" si="20"/>
        <v/>
      </c>
      <c r="AD80" s="76" t="str">
        <f t="shared" si="21"/>
        <v/>
      </c>
      <c r="AE80" s="76" t="str">
        <f t="shared" si="22"/>
        <v/>
      </c>
      <c r="AF80" s="76" t="str">
        <f t="shared" si="23"/>
        <v/>
      </c>
      <c r="AG80" s="76" t="str">
        <f t="shared" si="24"/>
        <v/>
      </c>
      <c r="AH80" s="76" t="str">
        <f t="shared" si="25"/>
        <v/>
      </c>
      <c r="AI80" s="76" t="str">
        <f t="shared" si="26"/>
        <v/>
      </c>
      <c r="AJ80" s="76" t="str">
        <f t="shared" si="27"/>
        <v/>
      </c>
      <c r="AK80" s="76" t="str">
        <f t="shared" si="28"/>
        <v/>
      </c>
      <c r="AL80" s="76" t="str">
        <f t="shared" si="29"/>
        <v/>
      </c>
      <c r="AM80" s="76" t="str">
        <f t="shared" si="30"/>
        <v/>
      </c>
      <c r="AN80" s="76" t="str">
        <f t="shared" si="31"/>
        <v/>
      </c>
      <c r="AO80" s="76" t="str">
        <f t="shared" si="32"/>
        <v/>
      </c>
      <c r="AP80" s="76" t="str">
        <f t="shared" si="33"/>
        <v/>
      </c>
    </row>
    <row r="81" ht="15.75" customHeight="1">
      <c r="A81" s="76" t="str">
        <f>IF('Manual Entry'!A53="","",'Manual Entry'!A53)</f>
        <v/>
      </c>
      <c r="B81" s="76" t="str">
        <f t="shared" si="3"/>
        <v/>
      </c>
      <c r="C81" s="76" t="str">
        <f t="shared" si="4"/>
        <v/>
      </c>
      <c r="D81" s="76" t="str">
        <f>'Manual Entry'!D53</f>
        <v/>
      </c>
      <c r="E81" s="76" t="str">
        <f>'Manual Entry'!B53</f>
        <v/>
      </c>
      <c r="F81" s="76" t="str">
        <f>'Manual Entry'!F53</f>
        <v/>
      </c>
      <c r="G81" s="76" t="str">
        <f>'Manual Entry'!G53</f>
        <v/>
      </c>
      <c r="H81" s="76" t="str">
        <f>'Manual Entry'!H53</f>
        <v/>
      </c>
      <c r="I81" s="78" t="str">
        <f>'Manual Entry'!I53</f>
        <v/>
      </c>
      <c r="J81" s="78" t="str">
        <f>'Manual Entry'!J53</f>
        <v/>
      </c>
      <c r="K81" s="78" t="str">
        <f>'Manual Entry'!K53</f>
        <v/>
      </c>
      <c r="L81" s="78" t="str">
        <f>'Manual Entry'!L53</f>
        <v/>
      </c>
      <c r="M81" s="78" t="str">
        <f>'Manual Entry'!M53</f>
        <v/>
      </c>
      <c r="N81" s="78" t="str">
        <f>'Manual Entry'!N53</f>
        <v/>
      </c>
      <c r="O81" s="76">
        <f t="shared" si="6"/>
        <v>0</v>
      </c>
      <c r="P81" s="76">
        <f t="shared" si="7"/>
        <v>0</v>
      </c>
      <c r="Q81" s="76">
        <f t="shared" si="8"/>
        <v>0</v>
      </c>
      <c r="R81" s="76">
        <f t="shared" si="9"/>
        <v>0</v>
      </c>
      <c r="S81" s="76" t="str">
        <f t="shared" si="10"/>
        <v/>
      </c>
      <c r="T81" s="76" t="str">
        <f t="shared" si="11"/>
        <v/>
      </c>
      <c r="U81" s="76" t="str">
        <f t="shared" si="12"/>
        <v/>
      </c>
      <c r="V81" s="76" t="str">
        <f t="shared" si="13"/>
        <v/>
      </c>
      <c r="W81" s="76" t="str">
        <f t="shared" si="14"/>
        <v/>
      </c>
      <c r="X81" s="76" t="str">
        <f t="shared" si="15"/>
        <v/>
      </c>
      <c r="Y81" s="76" t="str">
        <f t="shared" si="16"/>
        <v/>
      </c>
      <c r="Z81" s="76" t="str">
        <f t="shared" si="17"/>
        <v/>
      </c>
      <c r="AA81" s="76" t="str">
        <f t="shared" si="18"/>
        <v/>
      </c>
      <c r="AB81" s="76" t="str">
        <f t="shared" si="19"/>
        <v/>
      </c>
      <c r="AC81" s="76" t="str">
        <f t="shared" si="20"/>
        <v/>
      </c>
      <c r="AD81" s="76" t="str">
        <f t="shared" si="21"/>
        <v/>
      </c>
      <c r="AE81" s="76" t="str">
        <f t="shared" si="22"/>
        <v/>
      </c>
      <c r="AF81" s="76" t="str">
        <f t="shared" si="23"/>
        <v/>
      </c>
      <c r="AG81" s="76" t="str">
        <f t="shared" si="24"/>
        <v/>
      </c>
      <c r="AH81" s="76" t="str">
        <f t="shared" si="25"/>
        <v/>
      </c>
      <c r="AI81" s="76" t="str">
        <f t="shared" si="26"/>
        <v/>
      </c>
      <c r="AJ81" s="76" t="str">
        <f t="shared" si="27"/>
        <v/>
      </c>
      <c r="AK81" s="76" t="str">
        <f t="shared" si="28"/>
        <v/>
      </c>
      <c r="AL81" s="76" t="str">
        <f t="shared" si="29"/>
        <v/>
      </c>
      <c r="AM81" s="76" t="str">
        <f t="shared" si="30"/>
        <v/>
      </c>
      <c r="AN81" s="76" t="str">
        <f t="shared" si="31"/>
        <v/>
      </c>
      <c r="AO81" s="76" t="str">
        <f t="shared" si="32"/>
        <v/>
      </c>
      <c r="AP81" s="76" t="str">
        <f t="shared" si="33"/>
        <v/>
      </c>
    </row>
    <row r="82" ht="15.75" customHeight="1">
      <c r="A82" s="76" t="str">
        <f>IF('Manual Entry'!A54="","",'Manual Entry'!A54)</f>
        <v/>
      </c>
      <c r="B82" s="76" t="str">
        <f t="shared" si="3"/>
        <v/>
      </c>
      <c r="C82" s="76" t="str">
        <f t="shared" si="4"/>
        <v/>
      </c>
      <c r="D82" s="76" t="str">
        <f>'Manual Entry'!D54</f>
        <v/>
      </c>
      <c r="E82" s="76" t="str">
        <f>'Manual Entry'!B54</f>
        <v/>
      </c>
      <c r="F82" s="76" t="str">
        <f>'Manual Entry'!F54</f>
        <v/>
      </c>
      <c r="G82" s="76" t="str">
        <f>'Manual Entry'!G54</f>
        <v/>
      </c>
      <c r="H82" s="76" t="str">
        <f>'Manual Entry'!H54</f>
        <v/>
      </c>
      <c r="I82" s="78" t="str">
        <f>'Manual Entry'!I54</f>
        <v/>
      </c>
      <c r="J82" s="78" t="str">
        <f>'Manual Entry'!J54</f>
        <v/>
      </c>
      <c r="K82" s="78" t="str">
        <f>'Manual Entry'!K54</f>
        <v/>
      </c>
      <c r="L82" s="78" t="str">
        <f>'Manual Entry'!L54</f>
        <v/>
      </c>
      <c r="M82" s="78" t="str">
        <f>'Manual Entry'!M54</f>
        <v/>
      </c>
      <c r="N82" s="78" t="str">
        <f>'Manual Entry'!N54</f>
        <v/>
      </c>
      <c r="O82" s="76">
        <f t="shared" si="6"/>
        <v>0</v>
      </c>
      <c r="P82" s="76">
        <f t="shared" si="7"/>
        <v>0</v>
      </c>
      <c r="Q82" s="76">
        <f t="shared" si="8"/>
        <v>0</v>
      </c>
      <c r="R82" s="76">
        <f t="shared" si="9"/>
        <v>0</v>
      </c>
      <c r="S82" s="76" t="str">
        <f t="shared" si="10"/>
        <v/>
      </c>
      <c r="T82" s="76" t="str">
        <f t="shared" si="11"/>
        <v/>
      </c>
      <c r="U82" s="76" t="str">
        <f t="shared" si="12"/>
        <v/>
      </c>
      <c r="V82" s="76" t="str">
        <f t="shared" si="13"/>
        <v/>
      </c>
      <c r="W82" s="76" t="str">
        <f t="shared" si="14"/>
        <v/>
      </c>
      <c r="X82" s="76" t="str">
        <f t="shared" si="15"/>
        <v/>
      </c>
      <c r="Y82" s="76" t="str">
        <f t="shared" si="16"/>
        <v/>
      </c>
      <c r="Z82" s="76" t="str">
        <f t="shared" si="17"/>
        <v/>
      </c>
      <c r="AA82" s="76" t="str">
        <f t="shared" si="18"/>
        <v/>
      </c>
      <c r="AB82" s="76" t="str">
        <f t="shared" si="19"/>
        <v/>
      </c>
      <c r="AC82" s="76" t="str">
        <f t="shared" si="20"/>
        <v/>
      </c>
      <c r="AD82" s="76" t="str">
        <f t="shared" si="21"/>
        <v/>
      </c>
      <c r="AE82" s="76" t="str">
        <f t="shared" si="22"/>
        <v/>
      </c>
      <c r="AF82" s="76" t="str">
        <f t="shared" si="23"/>
        <v/>
      </c>
      <c r="AG82" s="76" t="str">
        <f t="shared" si="24"/>
        <v/>
      </c>
      <c r="AH82" s="76" t="str">
        <f t="shared" si="25"/>
        <v/>
      </c>
      <c r="AI82" s="76" t="str">
        <f t="shared" si="26"/>
        <v/>
      </c>
      <c r="AJ82" s="76" t="str">
        <f t="shared" si="27"/>
        <v/>
      </c>
      <c r="AK82" s="76" t="str">
        <f t="shared" si="28"/>
        <v/>
      </c>
      <c r="AL82" s="76" t="str">
        <f t="shared" si="29"/>
        <v/>
      </c>
      <c r="AM82" s="76" t="str">
        <f t="shared" si="30"/>
        <v/>
      </c>
      <c r="AN82" s="76" t="str">
        <f t="shared" si="31"/>
        <v/>
      </c>
      <c r="AO82" s="76" t="str">
        <f t="shared" si="32"/>
        <v/>
      </c>
      <c r="AP82" s="76" t="str">
        <f t="shared" si="33"/>
        <v/>
      </c>
    </row>
    <row r="83" ht="15.75" customHeight="1">
      <c r="A83" s="76" t="str">
        <f>IF('Manual Entry'!A55="","",'Manual Entry'!A55)</f>
        <v/>
      </c>
      <c r="B83" s="76" t="str">
        <f t="shared" si="3"/>
        <v/>
      </c>
      <c r="C83" s="76" t="str">
        <f t="shared" si="4"/>
        <v/>
      </c>
      <c r="D83" s="76" t="str">
        <f>'Manual Entry'!D55</f>
        <v/>
      </c>
      <c r="E83" s="76" t="str">
        <f>'Manual Entry'!B55</f>
        <v/>
      </c>
      <c r="F83" s="76" t="str">
        <f>'Manual Entry'!F55</f>
        <v/>
      </c>
      <c r="G83" s="76" t="str">
        <f>'Manual Entry'!G55</f>
        <v/>
      </c>
      <c r="H83" s="76" t="str">
        <f>'Manual Entry'!H55</f>
        <v/>
      </c>
      <c r="I83" s="78" t="str">
        <f>'Manual Entry'!I55</f>
        <v/>
      </c>
      <c r="J83" s="78" t="str">
        <f>'Manual Entry'!J55</f>
        <v/>
      </c>
      <c r="K83" s="78" t="str">
        <f>'Manual Entry'!K55</f>
        <v/>
      </c>
      <c r="L83" s="78" t="str">
        <f>'Manual Entry'!L55</f>
        <v/>
      </c>
      <c r="M83" s="78" t="str">
        <f>'Manual Entry'!M55</f>
        <v/>
      </c>
      <c r="N83" s="78" t="str">
        <f>'Manual Entry'!N55</f>
        <v/>
      </c>
      <c r="O83" s="76">
        <f t="shared" si="6"/>
        <v>0</v>
      </c>
      <c r="P83" s="76">
        <f t="shared" si="7"/>
        <v>0</v>
      </c>
      <c r="Q83" s="76">
        <f t="shared" si="8"/>
        <v>0</v>
      </c>
      <c r="R83" s="76">
        <f t="shared" si="9"/>
        <v>0</v>
      </c>
      <c r="S83" s="76" t="str">
        <f t="shared" si="10"/>
        <v/>
      </c>
      <c r="T83" s="76" t="str">
        <f t="shared" si="11"/>
        <v/>
      </c>
      <c r="U83" s="76" t="str">
        <f t="shared" si="12"/>
        <v/>
      </c>
      <c r="V83" s="76" t="str">
        <f t="shared" si="13"/>
        <v/>
      </c>
      <c r="W83" s="76" t="str">
        <f t="shared" si="14"/>
        <v/>
      </c>
      <c r="X83" s="76" t="str">
        <f t="shared" si="15"/>
        <v/>
      </c>
      <c r="Y83" s="76" t="str">
        <f t="shared" si="16"/>
        <v/>
      </c>
      <c r="Z83" s="76" t="str">
        <f t="shared" si="17"/>
        <v/>
      </c>
      <c r="AA83" s="76" t="str">
        <f t="shared" si="18"/>
        <v/>
      </c>
      <c r="AB83" s="76" t="str">
        <f t="shared" si="19"/>
        <v/>
      </c>
      <c r="AC83" s="76" t="str">
        <f t="shared" si="20"/>
        <v/>
      </c>
      <c r="AD83" s="76" t="str">
        <f t="shared" si="21"/>
        <v/>
      </c>
      <c r="AE83" s="76" t="str">
        <f t="shared" si="22"/>
        <v/>
      </c>
      <c r="AF83" s="76" t="str">
        <f t="shared" si="23"/>
        <v/>
      </c>
      <c r="AG83" s="76" t="str">
        <f t="shared" si="24"/>
        <v/>
      </c>
      <c r="AH83" s="76" t="str">
        <f t="shared" si="25"/>
        <v/>
      </c>
      <c r="AI83" s="76" t="str">
        <f t="shared" si="26"/>
        <v/>
      </c>
      <c r="AJ83" s="76" t="str">
        <f t="shared" si="27"/>
        <v/>
      </c>
      <c r="AK83" s="76" t="str">
        <f t="shared" si="28"/>
        <v/>
      </c>
      <c r="AL83" s="76" t="str">
        <f t="shared" si="29"/>
        <v/>
      </c>
      <c r="AM83" s="76" t="str">
        <f t="shared" si="30"/>
        <v/>
      </c>
      <c r="AN83" s="76" t="str">
        <f t="shared" si="31"/>
        <v/>
      </c>
      <c r="AO83" s="76" t="str">
        <f t="shared" si="32"/>
        <v/>
      </c>
      <c r="AP83" s="76" t="str">
        <f t="shared" si="33"/>
        <v/>
      </c>
    </row>
    <row r="84" ht="15.75" customHeight="1">
      <c r="A84" s="76" t="str">
        <f>IF('Manual Entry'!A56="","",'Manual Entry'!A56)</f>
        <v/>
      </c>
      <c r="B84" s="76" t="str">
        <f t="shared" si="3"/>
        <v/>
      </c>
      <c r="C84" s="76" t="str">
        <f t="shared" si="4"/>
        <v/>
      </c>
      <c r="D84" s="76" t="str">
        <f>'Manual Entry'!D56</f>
        <v/>
      </c>
      <c r="E84" s="76" t="str">
        <f>'Manual Entry'!B56</f>
        <v/>
      </c>
      <c r="F84" s="76" t="str">
        <f>'Manual Entry'!F56</f>
        <v/>
      </c>
      <c r="G84" s="76" t="str">
        <f>'Manual Entry'!G56</f>
        <v/>
      </c>
      <c r="H84" s="76" t="str">
        <f>'Manual Entry'!H56</f>
        <v/>
      </c>
      <c r="I84" s="78" t="str">
        <f>'Manual Entry'!I56</f>
        <v/>
      </c>
      <c r="J84" s="78" t="str">
        <f>'Manual Entry'!J56</f>
        <v/>
      </c>
      <c r="K84" s="78" t="str">
        <f>'Manual Entry'!K56</f>
        <v/>
      </c>
      <c r="L84" s="78" t="str">
        <f>'Manual Entry'!L56</f>
        <v/>
      </c>
      <c r="M84" s="78" t="str">
        <f>'Manual Entry'!M56</f>
        <v/>
      </c>
      <c r="N84" s="78" t="str">
        <f>'Manual Entry'!N56</f>
        <v/>
      </c>
      <c r="O84" s="76">
        <f t="shared" si="6"/>
        <v>0</v>
      </c>
      <c r="P84" s="76">
        <f t="shared" si="7"/>
        <v>0</v>
      </c>
      <c r="Q84" s="76">
        <f t="shared" si="8"/>
        <v>0</v>
      </c>
      <c r="R84" s="76">
        <f t="shared" si="9"/>
        <v>0</v>
      </c>
      <c r="S84" s="76" t="str">
        <f t="shared" si="10"/>
        <v/>
      </c>
      <c r="T84" s="76" t="str">
        <f t="shared" si="11"/>
        <v/>
      </c>
      <c r="U84" s="76" t="str">
        <f t="shared" si="12"/>
        <v/>
      </c>
      <c r="V84" s="76" t="str">
        <f t="shared" si="13"/>
        <v/>
      </c>
      <c r="W84" s="76" t="str">
        <f t="shared" si="14"/>
        <v/>
      </c>
      <c r="X84" s="76" t="str">
        <f t="shared" si="15"/>
        <v/>
      </c>
      <c r="Y84" s="76" t="str">
        <f t="shared" si="16"/>
        <v/>
      </c>
      <c r="Z84" s="76" t="str">
        <f t="shared" si="17"/>
        <v/>
      </c>
      <c r="AA84" s="76" t="str">
        <f t="shared" si="18"/>
        <v/>
      </c>
      <c r="AB84" s="76" t="str">
        <f t="shared" si="19"/>
        <v/>
      </c>
      <c r="AC84" s="76" t="str">
        <f t="shared" si="20"/>
        <v/>
      </c>
      <c r="AD84" s="76" t="str">
        <f t="shared" si="21"/>
        <v/>
      </c>
      <c r="AE84" s="76" t="str">
        <f t="shared" si="22"/>
        <v/>
      </c>
      <c r="AF84" s="76" t="str">
        <f t="shared" si="23"/>
        <v/>
      </c>
      <c r="AG84" s="76" t="str">
        <f t="shared" si="24"/>
        <v/>
      </c>
      <c r="AH84" s="76" t="str">
        <f t="shared" si="25"/>
        <v/>
      </c>
      <c r="AI84" s="76" t="str">
        <f t="shared" si="26"/>
        <v/>
      </c>
      <c r="AJ84" s="76" t="str">
        <f t="shared" si="27"/>
        <v/>
      </c>
      <c r="AK84" s="76" t="str">
        <f t="shared" si="28"/>
        <v/>
      </c>
      <c r="AL84" s="76" t="str">
        <f t="shared" si="29"/>
        <v/>
      </c>
      <c r="AM84" s="76" t="str">
        <f t="shared" si="30"/>
        <v/>
      </c>
      <c r="AN84" s="76" t="str">
        <f t="shared" si="31"/>
        <v/>
      </c>
      <c r="AO84" s="76" t="str">
        <f t="shared" si="32"/>
        <v/>
      </c>
      <c r="AP84" s="76" t="str">
        <f t="shared" si="33"/>
        <v/>
      </c>
    </row>
    <row r="85" ht="15.75" customHeight="1">
      <c r="A85" s="76" t="str">
        <f>IF('Manual Entry'!A57="","",'Manual Entry'!A57)</f>
        <v/>
      </c>
      <c r="B85" s="76" t="str">
        <f t="shared" si="3"/>
        <v/>
      </c>
      <c r="C85" s="76" t="str">
        <f t="shared" si="4"/>
        <v/>
      </c>
      <c r="D85" s="76" t="str">
        <f>'Manual Entry'!D57</f>
        <v/>
      </c>
      <c r="E85" s="76" t="str">
        <f>'Manual Entry'!B57</f>
        <v/>
      </c>
      <c r="F85" s="76" t="str">
        <f>'Manual Entry'!F57</f>
        <v/>
      </c>
      <c r="G85" s="76" t="str">
        <f>'Manual Entry'!G57</f>
        <v/>
      </c>
      <c r="H85" s="76" t="str">
        <f>'Manual Entry'!H57</f>
        <v/>
      </c>
      <c r="I85" s="78" t="str">
        <f>'Manual Entry'!I57</f>
        <v/>
      </c>
      <c r="J85" s="78" t="str">
        <f>'Manual Entry'!J57</f>
        <v/>
      </c>
      <c r="K85" s="78" t="str">
        <f>'Manual Entry'!K57</f>
        <v/>
      </c>
      <c r="L85" s="78" t="str">
        <f>'Manual Entry'!L57</f>
        <v/>
      </c>
      <c r="M85" s="78" t="str">
        <f>'Manual Entry'!M57</f>
        <v/>
      </c>
      <c r="N85" s="78" t="str">
        <f>'Manual Entry'!N57</f>
        <v/>
      </c>
      <c r="O85" s="76">
        <f t="shared" si="6"/>
        <v>0</v>
      </c>
      <c r="P85" s="76">
        <f t="shared" si="7"/>
        <v>0</v>
      </c>
      <c r="Q85" s="76">
        <f t="shared" si="8"/>
        <v>0</v>
      </c>
      <c r="R85" s="76">
        <f t="shared" si="9"/>
        <v>0</v>
      </c>
      <c r="S85" s="76" t="str">
        <f t="shared" si="10"/>
        <v/>
      </c>
      <c r="T85" s="76" t="str">
        <f t="shared" si="11"/>
        <v/>
      </c>
      <c r="U85" s="76" t="str">
        <f t="shared" si="12"/>
        <v/>
      </c>
      <c r="V85" s="76" t="str">
        <f t="shared" si="13"/>
        <v/>
      </c>
      <c r="W85" s="76" t="str">
        <f t="shared" si="14"/>
        <v/>
      </c>
      <c r="X85" s="76" t="str">
        <f t="shared" si="15"/>
        <v/>
      </c>
      <c r="Y85" s="76" t="str">
        <f t="shared" si="16"/>
        <v/>
      </c>
      <c r="Z85" s="76" t="str">
        <f t="shared" si="17"/>
        <v/>
      </c>
      <c r="AA85" s="76" t="str">
        <f t="shared" si="18"/>
        <v/>
      </c>
      <c r="AB85" s="76" t="str">
        <f t="shared" si="19"/>
        <v/>
      </c>
      <c r="AC85" s="76" t="str">
        <f t="shared" si="20"/>
        <v/>
      </c>
      <c r="AD85" s="76" t="str">
        <f t="shared" si="21"/>
        <v/>
      </c>
      <c r="AE85" s="76" t="str">
        <f t="shared" si="22"/>
        <v/>
      </c>
      <c r="AF85" s="76" t="str">
        <f t="shared" si="23"/>
        <v/>
      </c>
      <c r="AG85" s="76" t="str">
        <f t="shared" si="24"/>
        <v/>
      </c>
      <c r="AH85" s="76" t="str">
        <f t="shared" si="25"/>
        <v/>
      </c>
      <c r="AI85" s="76" t="str">
        <f t="shared" si="26"/>
        <v/>
      </c>
      <c r="AJ85" s="76" t="str">
        <f t="shared" si="27"/>
        <v/>
      </c>
      <c r="AK85" s="76" t="str">
        <f t="shared" si="28"/>
        <v/>
      </c>
      <c r="AL85" s="76" t="str">
        <f t="shared" si="29"/>
        <v/>
      </c>
      <c r="AM85" s="76" t="str">
        <f t="shared" si="30"/>
        <v/>
      </c>
      <c r="AN85" s="76" t="str">
        <f t="shared" si="31"/>
        <v/>
      </c>
      <c r="AO85" s="76" t="str">
        <f t="shared" si="32"/>
        <v/>
      </c>
      <c r="AP85" s="76" t="str">
        <f t="shared" si="33"/>
        <v/>
      </c>
    </row>
    <row r="86" ht="15.75" customHeight="1">
      <c r="A86" s="76" t="str">
        <f>IF('Manual Entry'!A58="","",'Manual Entry'!A58)</f>
        <v/>
      </c>
      <c r="B86" s="76" t="str">
        <f t="shared" si="3"/>
        <v/>
      </c>
      <c r="C86" s="76" t="str">
        <f t="shared" si="4"/>
        <v/>
      </c>
      <c r="D86" s="76" t="str">
        <f>'Manual Entry'!D58</f>
        <v/>
      </c>
      <c r="E86" s="76" t="str">
        <f>'Manual Entry'!B58</f>
        <v/>
      </c>
      <c r="F86" s="76" t="str">
        <f>'Manual Entry'!F58</f>
        <v/>
      </c>
      <c r="G86" s="76" t="str">
        <f>'Manual Entry'!G58</f>
        <v/>
      </c>
      <c r="H86" s="76" t="str">
        <f>'Manual Entry'!H58</f>
        <v/>
      </c>
      <c r="I86" s="78" t="str">
        <f>'Manual Entry'!I58</f>
        <v/>
      </c>
      <c r="J86" s="78" t="str">
        <f>'Manual Entry'!J58</f>
        <v/>
      </c>
      <c r="K86" s="78" t="str">
        <f>'Manual Entry'!K58</f>
        <v/>
      </c>
      <c r="L86" s="78" t="str">
        <f>'Manual Entry'!L58</f>
        <v/>
      </c>
      <c r="M86" s="78" t="str">
        <f>'Manual Entry'!M58</f>
        <v/>
      </c>
      <c r="N86" s="78" t="str">
        <f>'Manual Entry'!N58</f>
        <v/>
      </c>
      <c r="O86" s="76">
        <f t="shared" si="6"/>
        <v>0</v>
      </c>
      <c r="P86" s="76">
        <f t="shared" si="7"/>
        <v>0</v>
      </c>
      <c r="Q86" s="76">
        <f t="shared" si="8"/>
        <v>0</v>
      </c>
      <c r="R86" s="76">
        <f t="shared" si="9"/>
        <v>0</v>
      </c>
      <c r="S86" s="76" t="str">
        <f t="shared" si="10"/>
        <v/>
      </c>
      <c r="T86" s="76" t="str">
        <f t="shared" si="11"/>
        <v/>
      </c>
      <c r="U86" s="76" t="str">
        <f t="shared" si="12"/>
        <v/>
      </c>
      <c r="V86" s="76" t="str">
        <f t="shared" si="13"/>
        <v/>
      </c>
      <c r="W86" s="76" t="str">
        <f t="shared" si="14"/>
        <v/>
      </c>
      <c r="X86" s="76" t="str">
        <f t="shared" si="15"/>
        <v/>
      </c>
      <c r="Y86" s="76" t="str">
        <f t="shared" si="16"/>
        <v/>
      </c>
      <c r="Z86" s="76" t="str">
        <f t="shared" si="17"/>
        <v/>
      </c>
      <c r="AA86" s="76" t="str">
        <f t="shared" si="18"/>
        <v/>
      </c>
      <c r="AB86" s="76" t="str">
        <f t="shared" si="19"/>
        <v/>
      </c>
      <c r="AC86" s="76" t="str">
        <f t="shared" si="20"/>
        <v/>
      </c>
      <c r="AD86" s="76" t="str">
        <f t="shared" si="21"/>
        <v/>
      </c>
      <c r="AE86" s="76" t="str">
        <f t="shared" si="22"/>
        <v/>
      </c>
      <c r="AF86" s="76" t="str">
        <f t="shared" si="23"/>
        <v/>
      </c>
      <c r="AG86" s="76" t="str">
        <f t="shared" si="24"/>
        <v/>
      </c>
      <c r="AH86" s="76" t="str">
        <f t="shared" si="25"/>
        <v/>
      </c>
      <c r="AI86" s="76" t="str">
        <f t="shared" si="26"/>
        <v/>
      </c>
      <c r="AJ86" s="76" t="str">
        <f t="shared" si="27"/>
        <v/>
      </c>
      <c r="AK86" s="76" t="str">
        <f t="shared" si="28"/>
        <v/>
      </c>
      <c r="AL86" s="76" t="str">
        <f t="shared" si="29"/>
        <v/>
      </c>
      <c r="AM86" s="76" t="str">
        <f t="shared" si="30"/>
        <v/>
      </c>
      <c r="AN86" s="76" t="str">
        <f t="shared" si="31"/>
        <v/>
      </c>
      <c r="AO86" s="76" t="str">
        <f t="shared" si="32"/>
        <v/>
      </c>
      <c r="AP86" s="76" t="str">
        <f t="shared" si="33"/>
        <v/>
      </c>
    </row>
    <row r="87" ht="15.75" customHeight="1">
      <c r="A87" s="76" t="str">
        <f>IF('Manual Entry'!A59="","",'Manual Entry'!A59)</f>
        <v/>
      </c>
      <c r="B87" s="76" t="str">
        <f t="shared" si="3"/>
        <v/>
      </c>
      <c r="C87" s="76" t="str">
        <f t="shared" si="4"/>
        <v/>
      </c>
      <c r="D87" s="76" t="str">
        <f>'Manual Entry'!D59</f>
        <v/>
      </c>
      <c r="E87" s="76" t="str">
        <f>'Manual Entry'!B59</f>
        <v/>
      </c>
      <c r="F87" s="76" t="str">
        <f>'Manual Entry'!F59</f>
        <v/>
      </c>
      <c r="G87" s="76" t="str">
        <f>'Manual Entry'!G59</f>
        <v/>
      </c>
      <c r="H87" s="76" t="str">
        <f>'Manual Entry'!H59</f>
        <v/>
      </c>
      <c r="I87" s="78" t="str">
        <f>'Manual Entry'!I59</f>
        <v/>
      </c>
      <c r="J87" s="78" t="str">
        <f>'Manual Entry'!J59</f>
        <v/>
      </c>
      <c r="K87" s="78" t="str">
        <f>'Manual Entry'!K59</f>
        <v/>
      </c>
      <c r="L87" s="78" t="str">
        <f>'Manual Entry'!L59</f>
        <v/>
      </c>
      <c r="M87" s="78" t="str">
        <f>'Manual Entry'!M59</f>
        <v/>
      </c>
      <c r="N87" s="78" t="str">
        <f>'Manual Entry'!N59</f>
        <v/>
      </c>
      <c r="O87" s="76">
        <f t="shared" si="6"/>
        <v>0</v>
      </c>
      <c r="P87" s="76">
        <f t="shared" si="7"/>
        <v>0</v>
      </c>
      <c r="Q87" s="76">
        <f t="shared" si="8"/>
        <v>0</v>
      </c>
      <c r="R87" s="76">
        <f t="shared" si="9"/>
        <v>0</v>
      </c>
      <c r="S87" s="76" t="str">
        <f t="shared" si="10"/>
        <v/>
      </c>
      <c r="T87" s="76" t="str">
        <f t="shared" si="11"/>
        <v/>
      </c>
      <c r="U87" s="76" t="str">
        <f t="shared" si="12"/>
        <v/>
      </c>
      <c r="V87" s="76" t="str">
        <f t="shared" si="13"/>
        <v/>
      </c>
      <c r="W87" s="76" t="str">
        <f t="shared" si="14"/>
        <v/>
      </c>
      <c r="X87" s="76" t="str">
        <f t="shared" si="15"/>
        <v/>
      </c>
      <c r="Y87" s="76" t="str">
        <f t="shared" si="16"/>
        <v/>
      </c>
      <c r="Z87" s="76" t="str">
        <f t="shared" si="17"/>
        <v/>
      </c>
      <c r="AA87" s="76" t="str">
        <f t="shared" si="18"/>
        <v/>
      </c>
      <c r="AB87" s="76" t="str">
        <f t="shared" si="19"/>
        <v/>
      </c>
      <c r="AC87" s="76" t="str">
        <f t="shared" si="20"/>
        <v/>
      </c>
      <c r="AD87" s="76" t="str">
        <f t="shared" si="21"/>
        <v/>
      </c>
      <c r="AE87" s="76" t="str">
        <f t="shared" si="22"/>
        <v/>
      </c>
      <c r="AF87" s="76" t="str">
        <f t="shared" si="23"/>
        <v/>
      </c>
      <c r="AG87" s="76" t="str">
        <f t="shared" si="24"/>
        <v/>
      </c>
      <c r="AH87" s="76" t="str">
        <f t="shared" si="25"/>
        <v/>
      </c>
      <c r="AI87" s="76" t="str">
        <f t="shared" si="26"/>
        <v/>
      </c>
      <c r="AJ87" s="76" t="str">
        <f t="shared" si="27"/>
        <v/>
      </c>
      <c r="AK87" s="76" t="str">
        <f t="shared" si="28"/>
        <v/>
      </c>
      <c r="AL87" s="76" t="str">
        <f t="shared" si="29"/>
        <v/>
      </c>
      <c r="AM87" s="76" t="str">
        <f t="shared" si="30"/>
        <v/>
      </c>
      <c r="AN87" s="76" t="str">
        <f t="shared" si="31"/>
        <v/>
      </c>
      <c r="AO87" s="76" t="str">
        <f t="shared" si="32"/>
        <v/>
      </c>
      <c r="AP87" s="76" t="str">
        <f t="shared" si="33"/>
        <v/>
      </c>
    </row>
    <row r="88" ht="15.75" customHeight="1">
      <c r="A88" s="76" t="str">
        <f>IF('Manual Entry'!A60="","",'Manual Entry'!A60)</f>
        <v/>
      </c>
      <c r="B88" s="76" t="str">
        <f t="shared" si="3"/>
        <v/>
      </c>
      <c r="C88" s="76" t="str">
        <f t="shared" si="4"/>
        <v/>
      </c>
      <c r="D88" s="76" t="str">
        <f>'Manual Entry'!D60</f>
        <v/>
      </c>
      <c r="E88" s="76" t="str">
        <f>'Manual Entry'!B60</f>
        <v/>
      </c>
      <c r="F88" s="76" t="str">
        <f>'Manual Entry'!F60</f>
        <v/>
      </c>
      <c r="G88" s="76" t="str">
        <f>'Manual Entry'!G60</f>
        <v/>
      </c>
      <c r="H88" s="76" t="str">
        <f>'Manual Entry'!H60</f>
        <v/>
      </c>
      <c r="I88" s="78" t="str">
        <f>'Manual Entry'!I60</f>
        <v/>
      </c>
      <c r="J88" s="78" t="str">
        <f>'Manual Entry'!J60</f>
        <v/>
      </c>
      <c r="K88" s="78" t="str">
        <f>'Manual Entry'!K60</f>
        <v/>
      </c>
      <c r="L88" s="78" t="str">
        <f>'Manual Entry'!L60</f>
        <v/>
      </c>
      <c r="M88" s="78" t="str">
        <f>'Manual Entry'!M60</f>
        <v/>
      </c>
      <c r="N88" s="78" t="str">
        <f>'Manual Entry'!N60</f>
        <v/>
      </c>
      <c r="O88" s="76">
        <f t="shared" si="6"/>
        <v>0</v>
      </c>
      <c r="P88" s="76">
        <f t="shared" si="7"/>
        <v>0</v>
      </c>
      <c r="Q88" s="76">
        <f t="shared" si="8"/>
        <v>0</v>
      </c>
      <c r="R88" s="76">
        <f t="shared" si="9"/>
        <v>0</v>
      </c>
      <c r="S88" s="76" t="str">
        <f t="shared" si="10"/>
        <v/>
      </c>
      <c r="T88" s="76" t="str">
        <f t="shared" si="11"/>
        <v/>
      </c>
      <c r="U88" s="76" t="str">
        <f t="shared" si="12"/>
        <v/>
      </c>
      <c r="V88" s="76" t="str">
        <f t="shared" si="13"/>
        <v/>
      </c>
      <c r="W88" s="76" t="str">
        <f t="shared" si="14"/>
        <v/>
      </c>
      <c r="X88" s="76" t="str">
        <f t="shared" si="15"/>
        <v/>
      </c>
      <c r="Y88" s="76" t="str">
        <f t="shared" si="16"/>
        <v/>
      </c>
      <c r="Z88" s="76" t="str">
        <f t="shared" si="17"/>
        <v/>
      </c>
      <c r="AA88" s="76" t="str">
        <f t="shared" si="18"/>
        <v/>
      </c>
      <c r="AB88" s="76" t="str">
        <f t="shared" si="19"/>
        <v/>
      </c>
      <c r="AC88" s="76" t="str">
        <f t="shared" si="20"/>
        <v/>
      </c>
      <c r="AD88" s="76" t="str">
        <f t="shared" si="21"/>
        <v/>
      </c>
      <c r="AE88" s="76" t="str">
        <f t="shared" si="22"/>
        <v/>
      </c>
      <c r="AF88" s="76" t="str">
        <f t="shared" si="23"/>
        <v/>
      </c>
      <c r="AG88" s="76" t="str">
        <f t="shared" si="24"/>
        <v/>
      </c>
      <c r="AH88" s="76" t="str">
        <f t="shared" si="25"/>
        <v/>
      </c>
      <c r="AI88" s="76" t="str">
        <f t="shared" si="26"/>
        <v/>
      </c>
      <c r="AJ88" s="76" t="str">
        <f t="shared" si="27"/>
        <v/>
      </c>
      <c r="AK88" s="76" t="str">
        <f t="shared" si="28"/>
        <v/>
      </c>
      <c r="AL88" s="76" t="str">
        <f t="shared" si="29"/>
        <v/>
      </c>
      <c r="AM88" s="76" t="str">
        <f t="shared" si="30"/>
        <v/>
      </c>
      <c r="AN88" s="76" t="str">
        <f t="shared" si="31"/>
        <v/>
      </c>
      <c r="AO88" s="76" t="str">
        <f t="shared" si="32"/>
        <v/>
      </c>
      <c r="AP88" s="76" t="str">
        <f t="shared" si="33"/>
        <v/>
      </c>
    </row>
    <row r="89" ht="15.75" customHeight="1">
      <c r="A89" s="76" t="str">
        <f>IF('Manual Entry'!A61="","",'Manual Entry'!A61)</f>
        <v/>
      </c>
      <c r="B89" s="76" t="str">
        <f t="shared" si="3"/>
        <v/>
      </c>
      <c r="C89" s="76" t="str">
        <f t="shared" si="4"/>
        <v/>
      </c>
      <c r="D89" s="76" t="str">
        <f>'Manual Entry'!D61</f>
        <v/>
      </c>
      <c r="E89" s="76" t="str">
        <f>'Manual Entry'!B61</f>
        <v/>
      </c>
      <c r="F89" s="76" t="str">
        <f>'Manual Entry'!F61</f>
        <v/>
      </c>
      <c r="G89" s="76" t="str">
        <f>'Manual Entry'!G61</f>
        <v/>
      </c>
      <c r="H89" s="76" t="str">
        <f>'Manual Entry'!H61</f>
        <v/>
      </c>
      <c r="I89" s="78" t="str">
        <f>'Manual Entry'!I61</f>
        <v/>
      </c>
      <c r="J89" s="78" t="str">
        <f>'Manual Entry'!J61</f>
        <v/>
      </c>
      <c r="K89" s="78" t="str">
        <f>'Manual Entry'!K61</f>
        <v/>
      </c>
      <c r="L89" s="78" t="str">
        <f>'Manual Entry'!L61</f>
        <v/>
      </c>
      <c r="M89" s="78" t="str">
        <f>'Manual Entry'!M61</f>
        <v/>
      </c>
      <c r="N89" s="78" t="str">
        <f>'Manual Entry'!N61</f>
        <v/>
      </c>
      <c r="O89" s="76">
        <f t="shared" si="6"/>
        <v>0</v>
      </c>
      <c r="P89" s="76">
        <f t="shared" si="7"/>
        <v>0</v>
      </c>
      <c r="Q89" s="76">
        <f t="shared" si="8"/>
        <v>0</v>
      </c>
      <c r="R89" s="76">
        <f t="shared" si="9"/>
        <v>0</v>
      </c>
      <c r="S89" s="76" t="str">
        <f t="shared" si="10"/>
        <v/>
      </c>
      <c r="T89" s="76" t="str">
        <f t="shared" si="11"/>
        <v/>
      </c>
      <c r="U89" s="76" t="str">
        <f t="shared" si="12"/>
        <v/>
      </c>
      <c r="V89" s="76" t="str">
        <f t="shared" si="13"/>
        <v/>
      </c>
      <c r="W89" s="76" t="str">
        <f t="shared" si="14"/>
        <v/>
      </c>
      <c r="X89" s="76" t="str">
        <f t="shared" si="15"/>
        <v/>
      </c>
      <c r="Y89" s="76" t="str">
        <f t="shared" si="16"/>
        <v/>
      </c>
      <c r="Z89" s="76" t="str">
        <f t="shared" si="17"/>
        <v/>
      </c>
      <c r="AA89" s="76" t="str">
        <f t="shared" si="18"/>
        <v/>
      </c>
      <c r="AB89" s="76" t="str">
        <f t="shared" si="19"/>
        <v/>
      </c>
      <c r="AC89" s="76" t="str">
        <f t="shared" si="20"/>
        <v/>
      </c>
      <c r="AD89" s="76" t="str">
        <f t="shared" si="21"/>
        <v/>
      </c>
      <c r="AE89" s="76" t="str">
        <f t="shared" si="22"/>
        <v/>
      </c>
      <c r="AF89" s="76" t="str">
        <f t="shared" si="23"/>
        <v/>
      </c>
      <c r="AG89" s="76" t="str">
        <f t="shared" si="24"/>
        <v/>
      </c>
      <c r="AH89" s="76" t="str">
        <f t="shared" si="25"/>
        <v/>
      </c>
      <c r="AI89" s="76" t="str">
        <f t="shared" si="26"/>
        <v/>
      </c>
      <c r="AJ89" s="76" t="str">
        <f t="shared" si="27"/>
        <v/>
      </c>
      <c r="AK89" s="76" t="str">
        <f t="shared" si="28"/>
        <v/>
      </c>
      <c r="AL89" s="76" t="str">
        <f t="shared" si="29"/>
        <v/>
      </c>
      <c r="AM89" s="76" t="str">
        <f t="shared" si="30"/>
        <v/>
      </c>
      <c r="AN89" s="76" t="str">
        <f t="shared" si="31"/>
        <v/>
      </c>
      <c r="AO89" s="76" t="str">
        <f t="shared" si="32"/>
        <v/>
      </c>
      <c r="AP89" s="76" t="str">
        <f t="shared" si="33"/>
        <v/>
      </c>
    </row>
    <row r="90" ht="15.75" customHeight="1">
      <c r="A90" s="76" t="str">
        <f>IF('Manual Entry'!A62="","",'Manual Entry'!A62)</f>
        <v/>
      </c>
      <c r="B90" s="76" t="str">
        <f t="shared" si="3"/>
        <v/>
      </c>
      <c r="C90" s="76" t="str">
        <f t="shared" si="4"/>
        <v/>
      </c>
      <c r="D90" s="76" t="str">
        <f>'Manual Entry'!D62</f>
        <v/>
      </c>
      <c r="E90" s="76" t="str">
        <f>'Manual Entry'!B62</f>
        <v/>
      </c>
      <c r="F90" s="76" t="str">
        <f>'Manual Entry'!F62</f>
        <v/>
      </c>
      <c r="G90" s="76" t="str">
        <f>'Manual Entry'!G62</f>
        <v/>
      </c>
      <c r="H90" s="76" t="str">
        <f>'Manual Entry'!H62</f>
        <v/>
      </c>
      <c r="I90" s="78" t="str">
        <f>'Manual Entry'!I62</f>
        <v/>
      </c>
      <c r="J90" s="78" t="str">
        <f>'Manual Entry'!J62</f>
        <v/>
      </c>
      <c r="K90" s="78" t="str">
        <f>'Manual Entry'!K62</f>
        <v/>
      </c>
      <c r="L90" s="78" t="str">
        <f>'Manual Entry'!L62</f>
        <v/>
      </c>
      <c r="M90" s="78" t="str">
        <f>'Manual Entry'!M62</f>
        <v/>
      </c>
      <c r="N90" s="78" t="str">
        <f>'Manual Entry'!N62</f>
        <v/>
      </c>
      <c r="O90" s="76">
        <f t="shared" si="6"/>
        <v>0</v>
      </c>
      <c r="P90" s="76">
        <f t="shared" si="7"/>
        <v>0</v>
      </c>
      <c r="Q90" s="76">
        <f t="shared" si="8"/>
        <v>0</v>
      </c>
      <c r="R90" s="76">
        <f t="shared" si="9"/>
        <v>0</v>
      </c>
      <c r="S90" s="76" t="str">
        <f t="shared" si="10"/>
        <v/>
      </c>
      <c r="T90" s="76" t="str">
        <f t="shared" si="11"/>
        <v/>
      </c>
      <c r="U90" s="76" t="str">
        <f t="shared" si="12"/>
        <v/>
      </c>
      <c r="V90" s="76" t="str">
        <f t="shared" si="13"/>
        <v/>
      </c>
      <c r="W90" s="76" t="str">
        <f t="shared" si="14"/>
        <v/>
      </c>
      <c r="X90" s="76" t="str">
        <f t="shared" si="15"/>
        <v/>
      </c>
      <c r="Y90" s="76" t="str">
        <f t="shared" si="16"/>
        <v/>
      </c>
      <c r="Z90" s="76" t="str">
        <f t="shared" si="17"/>
        <v/>
      </c>
      <c r="AA90" s="76" t="str">
        <f t="shared" si="18"/>
        <v/>
      </c>
      <c r="AB90" s="76" t="str">
        <f t="shared" si="19"/>
        <v/>
      </c>
      <c r="AC90" s="76" t="str">
        <f t="shared" si="20"/>
        <v/>
      </c>
      <c r="AD90" s="76" t="str">
        <f t="shared" si="21"/>
        <v/>
      </c>
      <c r="AE90" s="76" t="str">
        <f t="shared" si="22"/>
        <v/>
      </c>
      <c r="AF90" s="76" t="str">
        <f t="shared" si="23"/>
        <v/>
      </c>
      <c r="AG90" s="76" t="str">
        <f t="shared" si="24"/>
        <v/>
      </c>
      <c r="AH90" s="76" t="str">
        <f t="shared" si="25"/>
        <v/>
      </c>
      <c r="AI90" s="76" t="str">
        <f t="shared" si="26"/>
        <v/>
      </c>
      <c r="AJ90" s="76" t="str">
        <f t="shared" si="27"/>
        <v/>
      </c>
      <c r="AK90" s="76" t="str">
        <f t="shared" si="28"/>
        <v/>
      </c>
      <c r="AL90" s="76" t="str">
        <f t="shared" si="29"/>
        <v/>
      </c>
      <c r="AM90" s="76" t="str">
        <f t="shared" si="30"/>
        <v/>
      </c>
      <c r="AN90" s="76" t="str">
        <f t="shared" si="31"/>
        <v/>
      </c>
      <c r="AO90" s="76" t="str">
        <f t="shared" si="32"/>
        <v/>
      </c>
      <c r="AP90" s="76" t="str">
        <f t="shared" si="33"/>
        <v/>
      </c>
    </row>
    <row r="91" ht="15.75" customHeight="1">
      <c r="A91" s="76" t="str">
        <f>IF('Manual Entry'!A63="","",'Manual Entry'!A63)</f>
        <v/>
      </c>
      <c r="B91" s="76" t="str">
        <f t="shared" si="3"/>
        <v/>
      </c>
      <c r="C91" s="76" t="str">
        <f t="shared" si="4"/>
        <v/>
      </c>
      <c r="D91" s="76" t="str">
        <f>'Manual Entry'!D63</f>
        <v/>
      </c>
      <c r="E91" s="76" t="str">
        <f>'Manual Entry'!B63</f>
        <v/>
      </c>
      <c r="F91" s="76" t="str">
        <f>'Manual Entry'!F63</f>
        <v/>
      </c>
      <c r="G91" s="76" t="str">
        <f>'Manual Entry'!G63</f>
        <v/>
      </c>
      <c r="H91" s="76" t="str">
        <f>'Manual Entry'!H63</f>
        <v/>
      </c>
      <c r="I91" s="78" t="str">
        <f>'Manual Entry'!I63</f>
        <v/>
      </c>
      <c r="J91" s="78" t="str">
        <f>'Manual Entry'!J63</f>
        <v/>
      </c>
      <c r="K91" s="78" t="str">
        <f>'Manual Entry'!K63</f>
        <v/>
      </c>
      <c r="L91" s="78" t="str">
        <f>'Manual Entry'!L63</f>
        <v/>
      </c>
      <c r="M91" s="78" t="str">
        <f>'Manual Entry'!M63</f>
        <v/>
      </c>
      <c r="N91" s="78" t="str">
        <f>'Manual Entry'!N63</f>
        <v/>
      </c>
      <c r="O91" s="76">
        <f t="shared" si="6"/>
        <v>0</v>
      </c>
      <c r="P91" s="76">
        <f t="shared" si="7"/>
        <v>0</v>
      </c>
      <c r="Q91" s="76">
        <f t="shared" si="8"/>
        <v>0</v>
      </c>
      <c r="R91" s="76">
        <f t="shared" si="9"/>
        <v>0</v>
      </c>
      <c r="S91" s="76" t="str">
        <f t="shared" si="10"/>
        <v/>
      </c>
      <c r="T91" s="76" t="str">
        <f t="shared" si="11"/>
        <v/>
      </c>
      <c r="U91" s="76" t="str">
        <f t="shared" si="12"/>
        <v/>
      </c>
      <c r="V91" s="76" t="str">
        <f t="shared" si="13"/>
        <v/>
      </c>
      <c r="W91" s="76" t="str">
        <f t="shared" si="14"/>
        <v/>
      </c>
      <c r="X91" s="76" t="str">
        <f t="shared" si="15"/>
        <v/>
      </c>
      <c r="Y91" s="76" t="str">
        <f t="shared" si="16"/>
        <v/>
      </c>
      <c r="Z91" s="76" t="str">
        <f t="shared" si="17"/>
        <v/>
      </c>
      <c r="AA91" s="76" t="str">
        <f t="shared" si="18"/>
        <v/>
      </c>
      <c r="AB91" s="76" t="str">
        <f t="shared" si="19"/>
        <v/>
      </c>
      <c r="AC91" s="76" t="str">
        <f t="shared" si="20"/>
        <v/>
      </c>
      <c r="AD91" s="76" t="str">
        <f t="shared" si="21"/>
        <v/>
      </c>
      <c r="AE91" s="76" t="str">
        <f t="shared" si="22"/>
        <v/>
      </c>
      <c r="AF91" s="76" t="str">
        <f t="shared" si="23"/>
        <v/>
      </c>
      <c r="AG91" s="76" t="str">
        <f t="shared" si="24"/>
        <v/>
      </c>
      <c r="AH91" s="76" t="str">
        <f t="shared" si="25"/>
        <v/>
      </c>
      <c r="AI91" s="76" t="str">
        <f t="shared" si="26"/>
        <v/>
      </c>
      <c r="AJ91" s="76" t="str">
        <f t="shared" si="27"/>
        <v/>
      </c>
      <c r="AK91" s="76" t="str">
        <f t="shared" si="28"/>
        <v/>
      </c>
      <c r="AL91" s="76" t="str">
        <f t="shared" si="29"/>
        <v/>
      </c>
      <c r="AM91" s="76" t="str">
        <f t="shared" si="30"/>
        <v/>
      </c>
      <c r="AN91" s="76" t="str">
        <f t="shared" si="31"/>
        <v/>
      </c>
      <c r="AO91" s="76" t="str">
        <f t="shared" si="32"/>
        <v/>
      </c>
      <c r="AP91" s="76" t="str">
        <f t="shared" si="33"/>
        <v/>
      </c>
    </row>
    <row r="92" ht="15.75" customHeight="1">
      <c r="A92" s="76" t="str">
        <f>IF('Manual Entry'!A64="","",'Manual Entry'!A64)</f>
        <v/>
      </c>
      <c r="B92" s="76" t="str">
        <f t="shared" si="3"/>
        <v/>
      </c>
      <c r="C92" s="76" t="str">
        <f t="shared" si="4"/>
        <v/>
      </c>
      <c r="D92" s="76" t="str">
        <f>'Manual Entry'!D64</f>
        <v/>
      </c>
      <c r="E92" s="76" t="str">
        <f>'Manual Entry'!B64</f>
        <v/>
      </c>
      <c r="F92" s="76" t="str">
        <f>'Manual Entry'!F64</f>
        <v/>
      </c>
      <c r="G92" s="76" t="str">
        <f>'Manual Entry'!G64</f>
        <v/>
      </c>
      <c r="H92" s="76" t="str">
        <f>'Manual Entry'!H64</f>
        <v/>
      </c>
      <c r="I92" s="78" t="str">
        <f>'Manual Entry'!I64</f>
        <v/>
      </c>
      <c r="J92" s="78" t="str">
        <f>'Manual Entry'!J64</f>
        <v/>
      </c>
      <c r="K92" s="78" t="str">
        <f>'Manual Entry'!K64</f>
        <v/>
      </c>
      <c r="L92" s="78" t="str">
        <f>'Manual Entry'!L64</f>
        <v/>
      </c>
      <c r="M92" s="78" t="str">
        <f>'Manual Entry'!M64</f>
        <v/>
      </c>
      <c r="N92" s="78" t="str">
        <f>'Manual Entry'!N64</f>
        <v/>
      </c>
      <c r="O92" s="76">
        <f t="shared" si="6"/>
        <v>0</v>
      </c>
      <c r="P92" s="76">
        <f t="shared" si="7"/>
        <v>0</v>
      </c>
      <c r="Q92" s="76">
        <f t="shared" si="8"/>
        <v>0</v>
      </c>
      <c r="R92" s="76">
        <f t="shared" si="9"/>
        <v>0</v>
      </c>
      <c r="S92" s="76" t="str">
        <f t="shared" si="10"/>
        <v/>
      </c>
      <c r="T92" s="76" t="str">
        <f t="shared" si="11"/>
        <v/>
      </c>
      <c r="U92" s="76" t="str">
        <f t="shared" si="12"/>
        <v/>
      </c>
      <c r="V92" s="76" t="str">
        <f t="shared" si="13"/>
        <v/>
      </c>
      <c r="W92" s="76" t="str">
        <f t="shared" si="14"/>
        <v/>
      </c>
      <c r="X92" s="76" t="str">
        <f t="shared" si="15"/>
        <v/>
      </c>
      <c r="Y92" s="76" t="str">
        <f t="shared" si="16"/>
        <v/>
      </c>
      <c r="Z92" s="76" t="str">
        <f t="shared" si="17"/>
        <v/>
      </c>
      <c r="AA92" s="76" t="str">
        <f t="shared" si="18"/>
        <v/>
      </c>
      <c r="AB92" s="76" t="str">
        <f t="shared" si="19"/>
        <v/>
      </c>
      <c r="AC92" s="76" t="str">
        <f t="shared" si="20"/>
        <v/>
      </c>
      <c r="AD92" s="76" t="str">
        <f t="shared" si="21"/>
        <v/>
      </c>
      <c r="AE92" s="76" t="str">
        <f t="shared" si="22"/>
        <v/>
      </c>
      <c r="AF92" s="76" t="str">
        <f t="shared" si="23"/>
        <v/>
      </c>
      <c r="AG92" s="76" t="str">
        <f t="shared" si="24"/>
        <v/>
      </c>
      <c r="AH92" s="76" t="str">
        <f t="shared" si="25"/>
        <v/>
      </c>
      <c r="AI92" s="76" t="str">
        <f t="shared" si="26"/>
        <v/>
      </c>
      <c r="AJ92" s="76" t="str">
        <f t="shared" si="27"/>
        <v/>
      </c>
      <c r="AK92" s="76" t="str">
        <f t="shared" si="28"/>
        <v/>
      </c>
      <c r="AL92" s="76" t="str">
        <f t="shared" si="29"/>
        <v/>
      </c>
      <c r="AM92" s="76" t="str">
        <f t="shared" si="30"/>
        <v/>
      </c>
      <c r="AN92" s="76" t="str">
        <f t="shared" si="31"/>
        <v/>
      </c>
      <c r="AO92" s="76" t="str">
        <f t="shared" si="32"/>
        <v/>
      </c>
      <c r="AP92" s="76" t="str">
        <f t="shared" si="33"/>
        <v/>
      </c>
    </row>
    <row r="93" ht="15.75" customHeight="1">
      <c r="A93" s="76" t="str">
        <f>IF('Manual Entry'!A65="","",'Manual Entry'!A65)</f>
        <v/>
      </c>
      <c r="B93" s="76" t="str">
        <f t="shared" si="3"/>
        <v/>
      </c>
      <c r="C93" s="76" t="str">
        <f t="shared" si="4"/>
        <v/>
      </c>
      <c r="D93" s="76" t="str">
        <f>'Manual Entry'!D65</f>
        <v/>
      </c>
      <c r="E93" s="76" t="str">
        <f>'Manual Entry'!B65</f>
        <v/>
      </c>
      <c r="F93" s="76" t="str">
        <f>'Manual Entry'!F65</f>
        <v/>
      </c>
      <c r="G93" s="76" t="str">
        <f>'Manual Entry'!G65</f>
        <v/>
      </c>
      <c r="H93" s="76" t="str">
        <f>'Manual Entry'!H65</f>
        <v/>
      </c>
      <c r="I93" s="78" t="str">
        <f>'Manual Entry'!I65</f>
        <v/>
      </c>
      <c r="J93" s="78" t="str">
        <f>'Manual Entry'!J65</f>
        <v/>
      </c>
      <c r="K93" s="78" t="str">
        <f>'Manual Entry'!K65</f>
        <v/>
      </c>
      <c r="L93" s="78" t="str">
        <f>'Manual Entry'!L65</f>
        <v/>
      </c>
      <c r="M93" s="78" t="str">
        <f>'Manual Entry'!M65</f>
        <v/>
      </c>
      <c r="N93" s="78" t="str">
        <f>'Manual Entry'!N65</f>
        <v/>
      </c>
      <c r="O93" s="76">
        <f t="shared" si="6"/>
        <v>0</v>
      </c>
      <c r="P93" s="76">
        <f t="shared" si="7"/>
        <v>0</v>
      </c>
      <c r="Q93" s="76">
        <f t="shared" si="8"/>
        <v>0</v>
      </c>
      <c r="R93" s="76">
        <f t="shared" si="9"/>
        <v>0</v>
      </c>
      <c r="S93" s="76" t="str">
        <f t="shared" si="10"/>
        <v/>
      </c>
      <c r="T93" s="76" t="str">
        <f t="shared" si="11"/>
        <v/>
      </c>
      <c r="U93" s="76" t="str">
        <f t="shared" si="12"/>
        <v/>
      </c>
      <c r="V93" s="76" t="str">
        <f t="shared" si="13"/>
        <v/>
      </c>
      <c r="W93" s="76" t="str">
        <f t="shared" si="14"/>
        <v/>
      </c>
      <c r="X93" s="76" t="str">
        <f t="shared" si="15"/>
        <v/>
      </c>
      <c r="Y93" s="76" t="str">
        <f t="shared" si="16"/>
        <v/>
      </c>
      <c r="Z93" s="76" t="str">
        <f t="shared" si="17"/>
        <v/>
      </c>
      <c r="AA93" s="76" t="str">
        <f t="shared" si="18"/>
        <v/>
      </c>
      <c r="AB93" s="76" t="str">
        <f t="shared" si="19"/>
        <v/>
      </c>
      <c r="AC93" s="76" t="str">
        <f t="shared" si="20"/>
        <v/>
      </c>
      <c r="AD93" s="76" t="str">
        <f t="shared" si="21"/>
        <v/>
      </c>
      <c r="AE93" s="76" t="str">
        <f t="shared" si="22"/>
        <v/>
      </c>
      <c r="AF93" s="76" t="str">
        <f t="shared" si="23"/>
        <v/>
      </c>
      <c r="AG93" s="76" t="str">
        <f t="shared" si="24"/>
        <v/>
      </c>
      <c r="AH93" s="76" t="str">
        <f t="shared" si="25"/>
        <v/>
      </c>
      <c r="AI93" s="76" t="str">
        <f t="shared" si="26"/>
        <v/>
      </c>
      <c r="AJ93" s="76" t="str">
        <f t="shared" si="27"/>
        <v/>
      </c>
      <c r="AK93" s="76" t="str">
        <f t="shared" si="28"/>
        <v/>
      </c>
      <c r="AL93" s="76" t="str">
        <f t="shared" si="29"/>
        <v/>
      </c>
      <c r="AM93" s="76" t="str">
        <f t="shared" si="30"/>
        <v/>
      </c>
      <c r="AN93" s="76" t="str">
        <f t="shared" si="31"/>
        <v/>
      </c>
      <c r="AO93" s="76" t="str">
        <f t="shared" si="32"/>
        <v/>
      </c>
      <c r="AP93" s="76" t="str">
        <f t="shared" si="33"/>
        <v/>
      </c>
    </row>
    <row r="94" ht="15.75" customHeight="1">
      <c r="A94" s="76" t="str">
        <f>IF('Manual Entry'!A66="","",'Manual Entry'!A66)</f>
        <v/>
      </c>
      <c r="B94" s="76" t="str">
        <f t="shared" si="3"/>
        <v/>
      </c>
      <c r="C94" s="76" t="str">
        <f t="shared" si="4"/>
        <v/>
      </c>
      <c r="D94" s="76" t="str">
        <f>'Manual Entry'!D66</f>
        <v/>
      </c>
      <c r="E94" s="76" t="str">
        <f>'Manual Entry'!B66</f>
        <v/>
      </c>
      <c r="F94" s="76" t="str">
        <f>'Manual Entry'!F66</f>
        <v/>
      </c>
      <c r="G94" s="76" t="str">
        <f>'Manual Entry'!G66</f>
        <v/>
      </c>
      <c r="H94" s="76" t="str">
        <f>'Manual Entry'!H66</f>
        <v/>
      </c>
      <c r="I94" s="78" t="str">
        <f>'Manual Entry'!I66</f>
        <v/>
      </c>
      <c r="J94" s="78" t="str">
        <f>'Manual Entry'!J66</f>
        <v/>
      </c>
      <c r="K94" s="78" t="str">
        <f>'Manual Entry'!K66</f>
        <v/>
      </c>
      <c r="L94" s="78" t="str">
        <f>'Manual Entry'!L66</f>
        <v/>
      </c>
      <c r="M94" s="78" t="str">
        <f>'Manual Entry'!M66</f>
        <v/>
      </c>
      <c r="N94" s="78" t="str">
        <f>'Manual Entry'!N66</f>
        <v/>
      </c>
      <c r="O94" s="76">
        <f t="shared" si="6"/>
        <v>0</v>
      </c>
      <c r="P94" s="76">
        <f t="shared" si="7"/>
        <v>0</v>
      </c>
      <c r="Q94" s="76">
        <f t="shared" si="8"/>
        <v>0</v>
      </c>
      <c r="R94" s="76">
        <f t="shared" si="9"/>
        <v>0</v>
      </c>
      <c r="S94" s="76" t="str">
        <f t="shared" si="10"/>
        <v/>
      </c>
      <c r="T94" s="76" t="str">
        <f t="shared" si="11"/>
        <v/>
      </c>
      <c r="U94" s="76" t="str">
        <f t="shared" si="12"/>
        <v/>
      </c>
      <c r="V94" s="76" t="str">
        <f t="shared" si="13"/>
        <v/>
      </c>
      <c r="W94" s="76" t="str">
        <f t="shared" si="14"/>
        <v/>
      </c>
      <c r="X94" s="76" t="str">
        <f t="shared" si="15"/>
        <v/>
      </c>
      <c r="Y94" s="76" t="str">
        <f t="shared" si="16"/>
        <v/>
      </c>
      <c r="Z94" s="76" t="str">
        <f t="shared" si="17"/>
        <v/>
      </c>
      <c r="AA94" s="76" t="str">
        <f t="shared" si="18"/>
        <v/>
      </c>
      <c r="AB94" s="76" t="str">
        <f t="shared" si="19"/>
        <v/>
      </c>
      <c r="AC94" s="76" t="str">
        <f t="shared" si="20"/>
        <v/>
      </c>
      <c r="AD94" s="76" t="str">
        <f t="shared" si="21"/>
        <v/>
      </c>
      <c r="AE94" s="76" t="str">
        <f t="shared" si="22"/>
        <v/>
      </c>
      <c r="AF94" s="76" t="str">
        <f t="shared" si="23"/>
        <v/>
      </c>
      <c r="AG94" s="76" t="str">
        <f t="shared" si="24"/>
        <v/>
      </c>
      <c r="AH94" s="76" t="str">
        <f t="shared" si="25"/>
        <v/>
      </c>
      <c r="AI94" s="76" t="str">
        <f t="shared" si="26"/>
        <v/>
      </c>
      <c r="AJ94" s="76" t="str">
        <f t="shared" si="27"/>
        <v/>
      </c>
      <c r="AK94" s="76" t="str">
        <f t="shared" si="28"/>
        <v/>
      </c>
      <c r="AL94" s="76" t="str">
        <f t="shared" si="29"/>
        <v/>
      </c>
      <c r="AM94" s="76" t="str">
        <f t="shared" si="30"/>
        <v/>
      </c>
      <c r="AN94" s="76" t="str">
        <f t="shared" si="31"/>
        <v/>
      </c>
      <c r="AO94" s="76" t="str">
        <f t="shared" si="32"/>
        <v/>
      </c>
      <c r="AP94" s="76" t="str">
        <f t="shared" si="33"/>
        <v/>
      </c>
    </row>
    <row r="95" ht="15.75" customHeight="1">
      <c r="A95" s="76" t="str">
        <f>IF('Manual Entry'!A67="","",'Manual Entry'!A67)</f>
        <v/>
      </c>
      <c r="B95" s="76" t="str">
        <f t="shared" si="3"/>
        <v/>
      </c>
      <c r="C95" s="76" t="str">
        <f t="shared" si="4"/>
        <v/>
      </c>
      <c r="D95" s="76" t="str">
        <f>'Manual Entry'!D67</f>
        <v/>
      </c>
      <c r="E95" s="76" t="str">
        <f>'Manual Entry'!B67</f>
        <v/>
      </c>
      <c r="F95" s="76" t="str">
        <f>'Manual Entry'!F67</f>
        <v/>
      </c>
      <c r="G95" s="76" t="str">
        <f>'Manual Entry'!G67</f>
        <v/>
      </c>
      <c r="H95" s="76" t="str">
        <f>'Manual Entry'!H67</f>
        <v/>
      </c>
      <c r="I95" s="78" t="str">
        <f>'Manual Entry'!I67</f>
        <v/>
      </c>
      <c r="J95" s="78" t="str">
        <f>'Manual Entry'!J67</f>
        <v/>
      </c>
      <c r="K95" s="78" t="str">
        <f>'Manual Entry'!K67</f>
        <v/>
      </c>
      <c r="L95" s="78" t="str">
        <f>'Manual Entry'!L67</f>
        <v/>
      </c>
      <c r="M95" s="78" t="str">
        <f>'Manual Entry'!M67</f>
        <v/>
      </c>
      <c r="N95" s="78" t="str">
        <f>'Manual Entry'!N67</f>
        <v/>
      </c>
      <c r="O95" s="76">
        <f t="shared" si="6"/>
        <v>0</v>
      </c>
      <c r="P95" s="76">
        <f t="shared" si="7"/>
        <v>0</v>
      </c>
      <c r="Q95" s="76">
        <f t="shared" si="8"/>
        <v>0</v>
      </c>
      <c r="R95" s="76">
        <f t="shared" si="9"/>
        <v>0</v>
      </c>
      <c r="S95" s="76" t="str">
        <f t="shared" si="10"/>
        <v/>
      </c>
      <c r="T95" s="76" t="str">
        <f t="shared" si="11"/>
        <v/>
      </c>
      <c r="U95" s="76" t="str">
        <f t="shared" si="12"/>
        <v/>
      </c>
      <c r="V95" s="76" t="str">
        <f t="shared" si="13"/>
        <v/>
      </c>
      <c r="W95" s="76" t="str">
        <f t="shared" si="14"/>
        <v/>
      </c>
      <c r="X95" s="76" t="str">
        <f t="shared" si="15"/>
        <v/>
      </c>
      <c r="Y95" s="76" t="str">
        <f t="shared" si="16"/>
        <v/>
      </c>
      <c r="Z95" s="76" t="str">
        <f t="shared" si="17"/>
        <v/>
      </c>
      <c r="AA95" s="76" t="str">
        <f t="shared" si="18"/>
        <v/>
      </c>
      <c r="AB95" s="76" t="str">
        <f t="shared" si="19"/>
        <v/>
      </c>
      <c r="AC95" s="76" t="str">
        <f t="shared" si="20"/>
        <v/>
      </c>
      <c r="AD95" s="76" t="str">
        <f t="shared" si="21"/>
        <v/>
      </c>
      <c r="AE95" s="76" t="str">
        <f t="shared" si="22"/>
        <v/>
      </c>
      <c r="AF95" s="76" t="str">
        <f t="shared" si="23"/>
        <v/>
      </c>
      <c r="AG95" s="76" t="str">
        <f t="shared" si="24"/>
        <v/>
      </c>
      <c r="AH95" s="76" t="str">
        <f t="shared" si="25"/>
        <v/>
      </c>
      <c r="AI95" s="76" t="str">
        <f t="shared" si="26"/>
        <v/>
      </c>
      <c r="AJ95" s="76" t="str">
        <f t="shared" si="27"/>
        <v/>
      </c>
      <c r="AK95" s="76" t="str">
        <f t="shared" si="28"/>
        <v/>
      </c>
      <c r="AL95" s="76" t="str">
        <f t="shared" si="29"/>
        <v/>
      </c>
      <c r="AM95" s="76" t="str">
        <f t="shared" si="30"/>
        <v/>
      </c>
      <c r="AN95" s="76" t="str">
        <f t="shared" si="31"/>
        <v/>
      </c>
      <c r="AO95" s="76" t="str">
        <f t="shared" si="32"/>
        <v/>
      </c>
      <c r="AP95" s="76" t="str">
        <f t="shared" si="33"/>
        <v/>
      </c>
    </row>
    <row r="96" ht="15.75" customHeight="1">
      <c r="A96" s="76" t="str">
        <f>IF('Manual Entry'!A68="","",'Manual Entry'!A68)</f>
        <v/>
      </c>
      <c r="B96" s="76" t="str">
        <f t="shared" si="3"/>
        <v/>
      </c>
      <c r="C96" s="76" t="str">
        <f t="shared" si="4"/>
        <v/>
      </c>
      <c r="D96" s="76" t="str">
        <f>'Manual Entry'!D68</f>
        <v/>
      </c>
      <c r="E96" s="76" t="str">
        <f>'Manual Entry'!B68</f>
        <v/>
      </c>
      <c r="F96" s="76" t="str">
        <f>'Manual Entry'!F68</f>
        <v/>
      </c>
      <c r="G96" s="76" t="str">
        <f>'Manual Entry'!G68</f>
        <v/>
      </c>
      <c r="H96" s="76" t="str">
        <f>'Manual Entry'!H68</f>
        <v/>
      </c>
      <c r="I96" s="78" t="str">
        <f>'Manual Entry'!I68</f>
        <v/>
      </c>
      <c r="J96" s="78" t="str">
        <f>'Manual Entry'!J68</f>
        <v/>
      </c>
      <c r="K96" s="78" t="str">
        <f>'Manual Entry'!K68</f>
        <v/>
      </c>
      <c r="L96" s="78" t="str">
        <f>'Manual Entry'!L68</f>
        <v/>
      </c>
      <c r="M96" s="78" t="str">
        <f>'Manual Entry'!M68</f>
        <v/>
      </c>
      <c r="N96" s="78" t="str">
        <f>'Manual Entry'!N68</f>
        <v/>
      </c>
      <c r="O96" s="76">
        <f t="shared" si="6"/>
        <v>0</v>
      </c>
      <c r="P96" s="76">
        <f t="shared" si="7"/>
        <v>0</v>
      </c>
      <c r="Q96" s="76">
        <f t="shared" si="8"/>
        <v>0</v>
      </c>
      <c r="R96" s="76">
        <f t="shared" si="9"/>
        <v>0</v>
      </c>
      <c r="S96" s="76" t="str">
        <f t="shared" si="10"/>
        <v/>
      </c>
      <c r="T96" s="76" t="str">
        <f t="shared" si="11"/>
        <v/>
      </c>
      <c r="U96" s="76" t="str">
        <f t="shared" si="12"/>
        <v/>
      </c>
      <c r="V96" s="76" t="str">
        <f t="shared" si="13"/>
        <v/>
      </c>
      <c r="W96" s="76" t="str">
        <f t="shared" si="14"/>
        <v/>
      </c>
      <c r="X96" s="76" t="str">
        <f t="shared" si="15"/>
        <v/>
      </c>
      <c r="Y96" s="76" t="str">
        <f t="shared" si="16"/>
        <v/>
      </c>
      <c r="Z96" s="76" t="str">
        <f t="shared" si="17"/>
        <v/>
      </c>
      <c r="AA96" s="76" t="str">
        <f t="shared" si="18"/>
        <v/>
      </c>
      <c r="AB96" s="76" t="str">
        <f t="shared" si="19"/>
        <v/>
      </c>
      <c r="AC96" s="76" t="str">
        <f t="shared" si="20"/>
        <v/>
      </c>
      <c r="AD96" s="76" t="str">
        <f t="shared" si="21"/>
        <v/>
      </c>
      <c r="AE96" s="76" t="str">
        <f t="shared" si="22"/>
        <v/>
      </c>
      <c r="AF96" s="76" t="str">
        <f t="shared" si="23"/>
        <v/>
      </c>
      <c r="AG96" s="76" t="str">
        <f t="shared" si="24"/>
        <v/>
      </c>
      <c r="AH96" s="76" t="str">
        <f t="shared" si="25"/>
        <v/>
      </c>
      <c r="AI96" s="76" t="str">
        <f t="shared" si="26"/>
        <v/>
      </c>
      <c r="AJ96" s="76" t="str">
        <f t="shared" si="27"/>
        <v/>
      </c>
      <c r="AK96" s="76" t="str">
        <f t="shared" si="28"/>
        <v/>
      </c>
      <c r="AL96" s="76" t="str">
        <f t="shared" si="29"/>
        <v/>
      </c>
      <c r="AM96" s="76" t="str">
        <f t="shared" si="30"/>
        <v/>
      </c>
      <c r="AN96" s="76" t="str">
        <f t="shared" si="31"/>
        <v/>
      </c>
      <c r="AO96" s="76" t="str">
        <f t="shared" si="32"/>
        <v/>
      </c>
      <c r="AP96" s="76" t="str">
        <f t="shared" si="33"/>
        <v/>
      </c>
    </row>
    <row r="97" ht="15.75" customHeight="1">
      <c r="A97" s="76" t="str">
        <f>IF('Manual Entry'!A69="","",'Manual Entry'!A69)</f>
        <v/>
      </c>
      <c r="B97" s="76" t="str">
        <f t="shared" si="3"/>
        <v/>
      </c>
      <c r="C97" s="76" t="str">
        <f t="shared" si="4"/>
        <v/>
      </c>
      <c r="D97" s="76" t="str">
        <f>'Manual Entry'!D69</f>
        <v/>
      </c>
      <c r="E97" s="76" t="str">
        <f>'Manual Entry'!B69</f>
        <v/>
      </c>
      <c r="F97" s="76" t="str">
        <f>'Manual Entry'!F69</f>
        <v/>
      </c>
      <c r="G97" s="76" t="str">
        <f>'Manual Entry'!G69</f>
        <v/>
      </c>
      <c r="H97" s="76" t="str">
        <f>'Manual Entry'!H69</f>
        <v/>
      </c>
      <c r="I97" s="78" t="str">
        <f>'Manual Entry'!I69</f>
        <v/>
      </c>
      <c r="J97" s="78" t="str">
        <f>'Manual Entry'!J69</f>
        <v/>
      </c>
      <c r="K97" s="78" t="str">
        <f>'Manual Entry'!K69</f>
        <v/>
      </c>
      <c r="L97" s="78" t="str">
        <f>'Manual Entry'!L69</f>
        <v/>
      </c>
      <c r="M97" s="78" t="str">
        <f>'Manual Entry'!M69</f>
        <v/>
      </c>
      <c r="N97" s="78" t="str">
        <f>'Manual Entry'!N69</f>
        <v/>
      </c>
      <c r="O97" s="76">
        <f t="shared" si="6"/>
        <v>0</v>
      </c>
      <c r="P97" s="76">
        <f t="shared" si="7"/>
        <v>0</v>
      </c>
      <c r="Q97" s="76">
        <f t="shared" si="8"/>
        <v>0</v>
      </c>
      <c r="R97" s="76">
        <f t="shared" si="9"/>
        <v>0</v>
      </c>
      <c r="S97" s="76" t="str">
        <f t="shared" si="10"/>
        <v/>
      </c>
      <c r="T97" s="76" t="str">
        <f t="shared" si="11"/>
        <v/>
      </c>
      <c r="U97" s="76" t="str">
        <f t="shared" si="12"/>
        <v/>
      </c>
      <c r="V97" s="76" t="str">
        <f t="shared" si="13"/>
        <v/>
      </c>
      <c r="W97" s="76" t="str">
        <f t="shared" si="14"/>
        <v/>
      </c>
      <c r="X97" s="76" t="str">
        <f t="shared" si="15"/>
        <v/>
      </c>
      <c r="Y97" s="76" t="str">
        <f t="shared" si="16"/>
        <v/>
      </c>
      <c r="Z97" s="76" t="str">
        <f t="shared" si="17"/>
        <v/>
      </c>
      <c r="AA97" s="76" t="str">
        <f t="shared" si="18"/>
        <v/>
      </c>
      <c r="AB97" s="76" t="str">
        <f t="shared" si="19"/>
        <v/>
      </c>
      <c r="AC97" s="76" t="str">
        <f t="shared" si="20"/>
        <v/>
      </c>
      <c r="AD97" s="76" t="str">
        <f t="shared" si="21"/>
        <v/>
      </c>
      <c r="AE97" s="76" t="str">
        <f t="shared" si="22"/>
        <v/>
      </c>
      <c r="AF97" s="76" t="str">
        <f t="shared" si="23"/>
        <v/>
      </c>
      <c r="AG97" s="76" t="str">
        <f t="shared" si="24"/>
        <v/>
      </c>
      <c r="AH97" s="76" t="str">
        <f t="shared" si="25"/>
        <v/>
      </c>
      <c r="AI97" s="76" t="str">
        <f t="shared" si="26"/>
        <v/>
      </c>
      <c r="AJ97" s="76" t="str">
        <f t="shared" si="27"/>
        <v/>
      </c>
      <c r="AK97" s="76" t="str">
        <f t="shared" si="28"/>
        <v/>
      </c>
      <c r="AL97" s="76" t="str">
        <f t="shared" si="29"/>
        <v/>
      </c>
      <c r="AM97" s="76" t="str">
        <f t="shared" si="30"/>
        <v/>
      </c>
      <c r="AN97" s="76" t="str">
        <f t="shared" si="31"/>
        <v/>
      </c>
      <c r="AO97" s="76" t="str">
        <f t="shared" si="32"/>
        <v/>
      </c>
      <c r="AP97" s="76" t="str">
        <f t="shared" si="33"/>
        <v/>
      </c>
    </row>
    <row r="98" ht="15.75" customHeight="1">
      <c r="A98" s="76" t="str">
        <f>IF('Manual Entry'!A70="","",'Manual Entry'!A70)</f>
        <v/>
      </c>
      <c r="B98" s="76" t="str">
        <f t="shared" si="3"/>
        <v/>
      </c>
      <c r="C98" s="76" t="str">
        <f t="shared" si="4"/>
        <v/>
      </c>
      <c r="D98" s="76" t="str">
        <f>'Manual Entry'!D70</f>
        <v/>
      </c>
      <c r="E98" s="76" t="str">
        <f>'Manual Entry'!B70</f>
        <v/>
      </c>
      <c r="F98" s="76" t="str">
        <f>'Manual Entry'!F70</f>
        <v/>
      </c>
      <c r="G98" s="76" t="str">
        <f>'Manual Entry'!G70</f>
        <v/>
      </c>
      <c r="H98" s="76" t="str">
        <f>'Manual Entry'!H70</f>
        <v/>
      </c>
      <c r="I98" s="78" t="str">
        <f>'Manual Entry'!I70</f>
        <v/>
      </c>
      <c r="J98" s="78" t="str">
        <f>'Manual Entry'!J70</f>
        <v/>
      </c>
      <c r="K98" s="78" t="str">
        <f>'Manual Entry'!K70</f>
        <v/>
      </c>
      <c r="L98" s="78" t="str">
        <f>'Manual Entry'!L70</f>
        <v/>
      </c>
      <c r="M98" s="78" t="str">
        <f>'Manual Entry'!M70</f>
        <v/>
      </c>
      <c r="N98" s="78" t="str">
        <f>'Manual Entry'!N70</f>
        <v/>
      </c>
      <c r="O98" s="76">
        <f t="shared" si="6"/>
        <v>0</v>
      </c>
      <c r="P98" s="76">
        <f t="shared" si="7"/>
        <v>0</v>
      </c>
      <c r="Q98" s="76">
        <f t="shared" si="8"/>
        <v>0</v>
      </c>
      <c r="R98" s="76">
        <f t="shared" si="9"/>
        <v>0</v>
      </c>
      <c r="S98" s="76" t="str">
        <f t="shared" si="10"/>
        <v/>
      </c>
      <c r="T98" s="76" t="str">
        <f t="shared" si="11"/>
        <v/>
      </c>
      <c r="U98" s="76" t="str">
        <f t="shared" si="12"/>
        <v/>
      </c>
      <c r="V98" s="76" t="str">
        <f t="shared" si="13"/>
        <v/>
      </c>
      <c r="W98" s="76" t="str">
        <f t="shared" si="14"/>
        <v/>
      </c>
      <c r="X98" s="76" t="str">
        <f t="shared" si="15"/>
        <v/>
      </c>
      <c r="Y98" s="76" t="str">
        <f t="shared" si="16"/>
        <v/>
      </c>
      <c r="Z98" s="76" t="str">
        <f t="shared" si="17"/>
        <v/>
      </c>
      <c r="AA98" s="76" t="str">
        <f t="shared" si="18"/>
        <v/>
      </c>
      <c r="AB98" s="76" t="str">
        <f t="shared" si="19"/>
        <v/>
      </c>
      <c r="AC98" s="76" t="str">
        <f t="shared" si="20"/>
        <v/>
      </c>
      <c r="AD98" s="76" t="str">
        <f t="shared" si="21"/>
        <v/>
      </c>
      <c r="AE98" s="76" t="str">
        <f t="shared" si="22"/>
        <v/>
      </c>
      <c r="AF98" s="76" t="str">
        <f t="shared" si="23"/>
        <v/>
      </c>
      <c r="AG98" s="76" t="str">
        <f t="shared" si="24"/>
        <v/>
      </c>
      <c r="AH98" s="76" t="str">
        <f t="shared" si="25"/>
        <v/>
      </c>
      <c r="AI98" s="76" t="str">
        <f t="shared" si="26"/>
        <v/>
      </c>
      <c r="AJ98" s="76" t="str">
        <f t="shared" si="27"/>
        <v/>
      </c>
      <c r="AK98" s="76" t="str">
        <f t="shared" si="28"/>
        <v/>
      </c>
      <c r="AL98" s="76" t="str">
        <f t="shared" si="29"/>
        <v/>
      </c>
      <c r="AM98" s="76" t="str">
        <f t="shared" si="30"/>
        <v/>
      </c>
      <c r="AN98" s="76" t="str">
        <f t="shared" si="31"/>
        <v/>
      </c>
      <c r="AO98" s="76" t="str">
        <f t="shared" si="32"/>
        <v/>
      </c>
      <c r="AP98" s="76" t="str">
        <f t="shared" si="33"/>
        <v/>
      </c>
    </row>
    <row r="99" ht="15.75" customHeight="1">
      <c r="A99" s="76" t="str">
        <f>IF('Manual Entry'!A71="","",'Manual Entry'!A71)</f>
        <v/>
      </c>
      <c r="B99" s="76" t="str">
        <f t="shared" si="3"/>
        <v/>
      </c>
      <c r="C99" s="76" t="str">
        <f t="shared" si="4"/>
        <v/>
      </c>
      <c r="D99" s="76" t="str">
        <f>'Manual Entry'!D71</f>
        <v/>
      </c>
      <c r="E99" s="76" t="str">
        <f>'Manual Entry'!B71</f>
        <v/>
      </c>
      <c r="F99" s="76" t="str">
        <f>'Manual Entry'!F71</f>
        <v/>
      </c>
      <c r="G99" s="76" t="str">
        <f>'Manual Entry'!G71</f>
        <v/>
      </c>
      <c r="H99" s="76" t="str">
        <f>'Manual Entry'!H71</f>
        <v/>
      </c>
      <c r="I99" s="78" t="str">
        <f>'Manual Entry'!I71</f>
        <v/>
      </c>
      <c r="J99" s="78" t="str">
        <f>'Manual Entry'!J71</f>
        <v/>
      </c>
      <c r="K99" s="78" t="str">
        <f>'Manual Entry'!K71</f>
        <v/>
      </c>
      <c r="L99" s="78" t="str">
        <f>'Manual Entry'!L71</f>
        <v/>
      </c>
      <c r="M99" s="78" t="str">
        <f>'Manual Entry'!M71</f>
        <v/>
      </c>
      <c r="N99" s="78" t="str">
        <f>'Manual Entry'!N71</f>
        <v/>
      </c>
      <c r="O99" s="76">
        <f t="shared" si="6"/>
        <v>0</v>
      </c>
      <c r="P99" s="76">
        <f t="shared" si="7"/>
        <v>0</v>
      </c>
      <c r="Q99" s="76">
        <f t="shared" si="8"/>
        <v>0</v>
      </c>
      <c r="R99" s="76">
        <f t="shared" si="9"/>
        <v>0</v>
      </c>
      <c r="S99" s="76" t="str">
        <f t="shared" si="10"/>
        <v/>
      </c>
      <c r="T99" s="76" t="str">
        <f t="shared" si="11"/>
        <v/>
      </c>
      <c r="U99" s="76" t="str">
        <f t="shared" si="12"/>
        <v/>
      </c>
      <c r="V99" s="76" t="str">
        <f t="shared" si="13"/>
        <v/>
      </c>
      <c r="W99" s="76" t="str">
        <f t="shared" si="14"/>
        <v/>
      </c>
      <c r="X99" s="76" t="str">
        <f t="shared" si="15"/>
        <v/>
      </c>
      <c r="Y99" s="76" t="str">
        <f t="shared" si="16"/>
        <v/>
      </c>
      <c r="Z99" s="76" t="str">
        <f t="shared" si="17"/>
        <v/>
      </c>
      <c r="AA99" s="76" t="str">
        <f t="shared" si="18"/>
        <v/>
      </c>
      <c r="AB99" s="76" t="str">
        <f t="shared" si="19"/>
        <v/>
      </c>
      <c r="AC99" s="76" t="str">
        <f t="shared" si="20"/>
        <v/>
      </c>
      <c r="AD99" s="76" t="str">
        <f t="shared" si="21"/>
        <v/>
      </c>
      <c r="AE99" s="76" t="str">
        <f t="shared" si="22"/>
        <v/>
      </c>
      <c r="AF99" s="76" t="str">
        <f t="shared" si="23"/>
        <v/>
      </c>
      <c r="AG99" s="76" t="str">
        <f t="shared" si="24"/>
        <v/>
      </c>
      <c r="AH99" s="76" t="str">
        <f t="shared" si="25"/>
        <v/>
      </c>
      <c r="AI99" s="76" t="str">
        <f t="shared" si="26"/>
        <v/>
      </c>
      <c r="AJ99" s="76" t="str">
        <f t="shared" si="27"/>
        <v/>
      </c>
      <c r="AK99" s="76" t="str">
        <f t="shared" si="28"/>
        <v/>
      </c>
      <c r="AL99" s="76" t="str">
        <f t="shared" si="29"/>
        <v/>
      </c>
      <c r="AM99" s="76" t="str">
        <f t="shared" si="30"/>
        <v/>
      </c>
      <c r="AN99" s="76" t="str">
        <f t="shared" si="31"/>
        <v/>
      </c>
      <c r="AO99" s="76" t="str">
        <f t="shared" si="32"/>
        <v/>
      </c>
      <c r="AP99" s="76" t="str">
        <f t="shared" si="33"/>
        <v/>
      </c>
    </row>
    <row r="100" ht="15.75" customHeight="1">
      <c r="A100" s="76" t="str">
        <f>IF('Manual Entry'!A72="","",'Manual Entry'!A72)</f>
        <v/>
      </c>
      <c r="B100" s="76" t="str">
        <f t="shared" si="3"/>
        <v/>
      </c>
      <c r="C100" s="76" t="str">
        <f t="shared" si="4"/>
        <v/>
      </c>
      <c r="D100" s="76" t="str">
        <f>'Manual Entry'!D72</f>
        <v/>
      </c>
      <c r="E100" s="76" t="str">
        <f>'Manual Entry'!B72</f>
        <v/>
      </c>
      <c r="F100" s="76" t="str">
        <f>'Manual Entry'!F72</f>
        <v/>
      </c>
      <c r="G100" s="76" t="str">
        <f>'Manual Entry'!G72</f>
        <v/>
      </c>
      <c r="H100" s="76" t="str">
        <f>'Manual Entry'!H72</f>
        <v/>
      </c>
      <c r="I100" s="78" t="str">
        <f>'Manual Entry'!I72</f>
        <v/>
      </c>
      <c r="J100" s="78" t="str">
        <f>'Manual Entry'!J72</f>
        <v/>
      </c>
      <c r="K100" s="78" t="str">
        <f>'Manual Entry'!K72</f>
        <v/>
      </c>
      <c r="L100" s="78" t="str">
        <f>'Manual Entry'!L72</f>
        <v/>
      </c>
      <c r="M100" s="78" t="str">
        <f>'Manual Entry'!M72</f>
        <v/>
      </c>
      <c r="N100" s="78" t="str">
        <f>'Manual Entry'!N72</f>
        <v/>
      </c>
      <c r="O100" s="76">
        <f t="shared" si="6"/>
        <v>0</v>
      </c>
      <c r="P100" s="76">
        <f t="shared" si="7"/>
        <v>0</v>
      </c>
      <c r="Q100" s="76">
        <f t="shared" si="8"/>
        <v>0</v>
      </c>
      <c r="R100" s="76">
        <f t="shared" si="9"/>
        <v>0</v>
      </c>
      <c r="S100" s="76" t="str">
        <f t="shared" si="10"/>
        <v/>
      </c>
      <c r="T100" s="76" t="str">
        <f t="shared" si="11"/>
        <v/>
      </c>
      <c r="U100" s="76" t="str">
        <f t="shared" si="12"/>
        <v/>
      </c>
      <c r="V100" s="76" t="str">
        <f t="shared" si="13"/>
        <v/>
      </c>
      <c r="W100" s="76" t="str">
        <f t="shared" si="14"/>
        <v/>
      </c>
      <c r="X100" s="76" t="str">
        <f t="shared" si="15"/>
        <v/>
      </c>
      <c r="Y100" s="76" t="str">
        <f t="shared" si="16"/>
        <v/>
      </c>
      <c r="Z100" s="76" t="str">
        <f t="shared" si="17"/>
        <v/>
      </c>
      <c r="AA100" s="76" t="str">
        <f t="shared" si="18"/>
        <v/>
      </c>
      <c r="AB100" s="76" t="str">
        <f t="shared" si="19"/>
        <v/>
      </c>
      <c r="AC100" s="76" t="str">
        <f t="shared" si="20"/>
        <v/>
      </c>
      <c r="AD100" s="76" t="str">
        <f t="shared" si="21"/>
        <v/>
      </c>
      <c r="AE100" s="76" t="str">
        <f t="shared" si="22"/>
        <v/>
      </c>
      <c r="AF100" s="76" t="str">
        <f t="shared" si="23"/>
        <v/>
      </c>
      <c r="AG100" s="76" t="str">
        <f t="shared" si="24"/>
        <v/>
      </c>
      <c r="AH100" s="76" t="str">
        <f t="shared" si="25"/>
        <v/>
      </c>
      <c r="AI100" s="76" t="str">
        <f t="shared" si="26"/>
        <v/>
      </c>
      <c r="AJ100" s="76" t="str">
        <f t="shared" si="27"/>
        <v/>
      </c>
      <c r="AK100" s="76" t="str">
        <f t="shared" si="28"/>
        <v/>
      </c>
      <c r="AL100" s="76" t="str">
        <f t="shared" si="29"/>
        <v/>
      </c>
      <c r="AM100" s="76" t="str">
        <f t="shared" si="30"/>
        <v/>
      </c>
      <c r="AN100" s="76" t="str">
        <f t="shared" si="31"/>
        <v/>
      </c>
      <c r="AO100" s="76" t="str">
        <f t="shared" si="32"/>
        <v/>
      </c>
      <c r="AP100" s="76" t="str">
        <f t="shared" si="33"/>
        <v/>
      </c>
    </row>
    <row r="101" ht="15.75" customHeight="1">
      <c r="A101" s="76" t="str">
        <f>IF('Manual Entry'!A73="","",'Manual Entry'!A73)</f>
        <v/>
      </c>
      <c r="B101" s="76" t="str">
        <f t="shared" si="3"/>
        <v/>
      </c>
      <c r="C101" s="76" t="str">
        <f t="shared" si="4"/>
        <v/>
      </c>
      <c r="D101" s="76" t="str">
        <f>'Manual Entry'!D73</f>
        <v/>
      </c>
      <c r="E101" s="76" t="str">
        <f>'Manual Entry'!B73</f>
        <v/>
      </c>
      <c r="F101" s="76" t="str">
        <f>'Manual Entry'!F73</f>
        <v/>
      </c>
      <c r="G101" s="76" t="str">
        <f>'Manual Entry'!G73</f>
        <v/>
      </c>
      <c r="H101" s="76" t="str">
        <f>'Manual Entry'!H73</f>
        <v/>
      </c>
      <c r="I101" s="78" t="str">
        <f>'Manual Entry'!I73</f>
        <v/>
      </c>
      <c r="J101" s="78" t="str">
        <f>'Manual Entry'!J73</f>
        <v/>
      </c>
      <c r="K101" s="78" t="str">
        <f>'Manual Entry'!K73</f>
        <v/>
      </c>
      <c r="L101" s="78" t="str">
        <f>'Manual Entry'!L73</f>
        <v/>
      </c>
      <c r="M101" s="78" t="str">
        <f>'Manual Entry'!M73</f>
        <v/>
      </c>
      <c r="N101" s="78" t="str">
        <f>'Manual Entry'!N73</f>
        <v/>
      </c>
      <c r="O101" s="76">
        <f t="shared" si="6"/>
        <v>0</v>
      </c>
      <c r="P101" s="76">
        <f t="shared" si="7"/>
        <v>0</v>
      </c>
      <c r="Q101" s="76">
        <f t="shared" si="8"/>
        <v>0</v>
      </c>
      <c r="R101" s="76">
        <f t="shared" si="9"/>
        <v>0</v>
      </c>
      <c r="S101" s="76" t="str">
        <f t="shared" si="10"/>
        <v/>
      </c>
      <c r="T101" s="76" t="str">
        <f t="shared" si="11"/>
        <v/>
      </c>
      <c r="U101" s="76" t="str">
        <f t="shared" si="12"/>
        <v/>
      </c>
      <c r="V101" s="76" t="str">
        <f t="shared" si="13"/>
        <v/>
      </c>
      <c r="W101" s="76" t="str">
        <f t="shared" si="14"/>
        <v/>
      </c>
      <c r="X101" s="76" t="str">
        <f t="shared" si="15"/>
        <v/>
      </c>
      <c r="Y101" s="76" t="str">
        <f t="shared" si="16"/>
        <v/>
      </c>
      <c r="Z101" s="76" t="str">
        <f t="shared" si="17"/>
        <v/>
      </c>
      <c r="AA101" s="76" t="str">
        <f t="shared" si="18"/>
        <v/>
      </c>
      <c r="AB101" s="76" t="str">
        <f t="shared" si="19"/>
        <v/>
      </c>
      <c r="AC101" s="76" t="str">
        <f t="shared" si="20"/>
        <v/>
      </c>
      <c r="AD101" s="76" t="str">
        <f t="shared" si="21"/>
        <v/>
      </c>
      <c r="AE101" s="76" t="str">
        <f t="shared" si="22"/>
        <v/>
      </c>
      <c r="AF101" s="76" t="str">
        <f t="shared" si="23"/>
        <v/>
      </c>
      <c r="AG101" s="76" t="str">
        <f t="shared" si="24"/>
        <v/>
      </c>
      <c r="AH101" s="76" t="str">
        <f t="shared" si="25"/>
        <v/>
      </c>
      <c r="AI101" s="76" t="str">
        <f t="shared" si="26"/>
        <v/>
      </c>
      <c r="AJ101" s="76" t="str">
        <f t="shared" si="27"/>
        <v/>
      </c>
      <c r="AK101" s="76" t="str">
        <f t="shared" si="28"/>
        <v/>
      </c>
      <c r="AL101" s="76" t="str">
        <f t="shared" si="29"/>
        <v/>
      </c>
      <c r="AM101" s="76" t="str">
        <f t="shared" si="30"/>
        <v/>
      </c>
      <c r="AN101" s="76" t="str">
        <f t="shared" si="31"/>
        <v/>
      </c>
      <c r="AO101" s="76" t="str">
        <f t="shared" si="32"/>
        <v/>
      </c>
      <c r="AP101" s="76" t="str">
        <f t="shared" si="33"/>
        <v/>
      </c>
    </row>
    <row r="102" ht="15.75" customHeight="1">
      <c r="A102" s="76" t="str">
        <f>IF('Manual Entry'!A74="","",'Manual Entry'!A74)</f>
        <v/>
      </c>
      <c r="B102" s="76" t="str">
        <f t="shared" si="3"/>
        <v/>
      </c>
      <c r="C102" s="76" t="str">
        <f t="shared" si="4"/>
        <v/>
      </c>
      <c r="D102" s="76" t="str">
        <f>'Manual Entry'!D74</f>
        <v/>
      </c>
      <c r="E102" s="76" t="str">
        <f>'Manual Entry'!B74</f>
        <v/>
      </c>
      <c r="F102" s="76" t="str">
        <f>'Manual Entry'!F74</f>
        <v/>
      </c>
      <c r="G102" s="76" t="str">
        <f>'Manual Entry'!G74</f>
        <v/>
      </c>
      <c r="H102" s="76" t="str">
        <f>'Manual Entry'!H74</f>
        <v/>
      </c>
      <c r="I102" s="78" t="str">
        <f>'Manual Entry'!I74</f>
        <v/>
      </c>
      <c r="J102" s="78" t="str">
        <f>'Manual Entry'!J74</f>
        <v/>
      </c>
      <c r="K102" s="78" t="str">
        <f>'Manual Entry'!K74</f>
        <v/>
      </c>
      <c r="L102" s="78" t="str">
        <f>'Manual Entry'!L74</f>
        <v/>
      </c>
      <c r="M102" s="78" t="str">
        <f>'Manual Entry'!M74</f>
        <v/>
      </c>
      <c r="N102" s="78" t="str">
        <f>'Manual Entry'!N74</f>
        <v/>
      </c>
      <c r="O102" s="76">
        <f t="shared" si="6"/>
        <v>0</v>
      </c>
      <c r="P102" s="76">
        <f t="shared" si="7"/>
        <v>0</v>
      </c>
      <c r="Q102" s="76">
        <f t="shared" si="8"/>
        <v>0</v>
      </c>
      <c r="R102" s="76">
        <f t="shared" si="9"/>
        <v>0</v>
      </c>
      <c r="S102" s="76" t="str">
        <f t="shared" si="10"/>
        <v/>
      </c>
      <c r="T102" s="76" t="str">
        <f t="shared" si="11"/>
        <v/>
      </c>
      <c r="U102" s="76" t="str">
        <f t="shared" si="12"/>
        <v/>
      </c>
      <c r="V102" s="76" t="str">
        <f t="shared" si="13"/>
        <v/>
      </c>
      <c r="W102" s="76" t="str">
        <f t="shared" si="14"/>
        <v/>
      </c>
      <c r="X102" s="76" t="str">
        <f t="shared" si="15"/>
        <v/>
      </c>
      <c r="Y102" s="76" t="str">
        <f t="shared" si="16"/>
        <v/>
      </c>
      <c r="Z102" s="76" t="str">
        <f t="shared" si="17"/>
        <v/>
      </c>
      <c r="AA102" s="76" t="str">
        <f t="shared" si="18"/>
        <v/>
      </c>
      <c r="AB102" s="76" t="str">
        <f t="shared" si="19"/>
        <v/>
      </c>
      <c r="AC102" s="76" t="str">
        <f t="shared" si="20"/>
        <v/>
      </c>
      <c r="AD102" s="76" t="str">
        <f t="shared" si="21"/>
        <v/>
      </c>
      <c r="AE102" s="76" t="str">
        <f t="shared" si="22"/>
        <v/>
      </c>
      <c r="AF102" s="76" t="str">
        <f t="shared" si="23"/>
        <v/>
      </c>
      <c r="AG102" s="76" t="str">
        <f t="shared" si="24"/>
        <v/>
      </c>
      <c r="AH102" s="76" t="str">
        <f t="shared" si="25"/>
        <v/>
      </c>
      <c r="AI102" s="76" t="str">
        <f t="shared" si="26"/>
        <v/>
      </c>
      <c r="AJ102" s="76" t="str">
        <f t="shared" si="27"/>
        <v/>
      </c>
      <c r="AK102" s="76" t="str">
        <f t="shared" si="28"/>
        <v/>
      </c>
      <c r="AL102" s="76" t="str">
        <f t="shared" si="29"/>
        <v/>
      </c>
      <c r="AM102" s="76" t="str">
        <f t="shared" si="30"/>
        <v/>
      </c>
      <c r="AN102" s="76" t="str">
        <f t="shared" si="31"/>
        <v/>
      </c>
      <c r="AO102" s="76" t="str">
        <f t="shared" si="32"/>
        <v/>
      </c>
      <c r="AP102" s="76" t="str">
        <f t="shared" si="33"/>
        <v/>
      </c>
    </row>
    <row r="103" ht="15.75" customHeight="1">
      <c r="A103" s="76" t="str">
        <f>IF('Manual Entry'!A75="","",'Manual Entry'!A75)</f>
        <v/>
      </c>
      <c r="B103" s="76" t="str">
        <f t="shared" si="3"/>
        <v/>
      </c>
      <c r="C103" s="76" t="str">
        <f t="shared" si="4"/>
        <v/>
      </c>
      <c r="D103" s="76" t="str">
        <f>'Manual Entry'!D75</f>
        <v/>
      </c>
      <c r="E103" s="76" t="str">
        <f>'Manual Entry'!B75</f>
        <v/>
      </c>
      <c r="F103" s="76" t="str">
        <f>'Manual Entry'!F75</f>
        <v/>
      </c>
      <c r="G103" s="76" t="str">
        <f>'Manual Entry'!G75</f>
        <v/>
      </c>
      <c r="H103" s="76" t="str">
        <f>'Manual Entry'!H75</f>
        <v/>
      </c>
      <c r="I103" s="78" t="str">
        <f>'Manual Entry'!I75</f>
        <v/>
      </c>
      <c r="J103" s="78" t="str">
        <f>'Manual Entry'!J75</f>
        <v/>
      </c>
      <c r="K103" s="78" t="str">
        <f>'Manual Entry'!K75</f>
        <v/>
      </c>
      <c r="L103" s="78" t="str">
        <f>'Manual Entry'!L75</f>
        <v/>
      </c>
      <c r="M103" s="78" t="str">
        <f>'Manual Entry'!M75</f>
        <v/>
      </c>
      <c r="N103" s="78" t="str">
        <f>'Manual Entry'!N75</f>
        <v/>
      </c>
      <c r="O103" s="76">
        <f t="shared" si="6"/>
        <v>0</v>
      </c>
      <c r="P103" s="76">
        <f t="shared" si="7"/>
        <v>0</v>
      </c>
      <c r="Q103" s="76">
        <f t="shared" si="8"/>
        <v>0</v>
      </c>
      <c r="R103" s="76">
        <f t="shared" si="9"/>
        <v>0</v>
      </c>
      <c r="S103" s="76" t="str">
        <f t="shared" si="10"/>
        <v/>
      </c>
      <c r="T103" s="76" t="str">
        <f t="shared" si="11"/>
        <v/>
      </c>
      <c r="U103" s="76" t="str">
        <f t="shared" si="12"/>
        <v/>
      </c>
      <c r="V103" s="76" t="str">
        <f t="shared" si="13"/>
        <v/>
      </c>
      <c r="W103" s="76" t="str">
        <f t="shared" si="14"/>
        <v/>
      </c>
      <c r="X103" s="76" t="str">
        <f t="shared" si="15"/>
        <v/>
      </c>
      <c r="Y103" s="76" t="str">
        <f t="shared" si="16"/>
        <v/>
      </c>
      <c r="Z103" s="76" t="str">
        <f t="shared" si="17"/>
        <v/>
      </c>
      <c r="AA103" s="76" t="str">
        <f t="shared" si="18"/>
        <v/>
      </c>
      <c r="AB103" s="76" t="str">
        <f t="shared" si="19"/>
        <v/>
      </c>
      <c r="AC103" s="76" t="str">
        <f t="shared" si="20"/>
        <v/>
      </c>
      <c r="AD103" s="76" t="str">
        <f t="shared" si="21"/>
        <v/>
      </c>
      <c r="AE103" s="76" t="str">
        <f t="shared" si="22"/>
        <v/>
      </c>
      <c r="AF103" s="76" t="str">
        <f t="shared" si="23"/>
        <v/>
      </c>
      <c r="AG103" s="76" t="str">
        <f t="shared" si="24"/>
        <v/>
      </c>
      <c r="AH103" s="76" t="str">
        <f t="shared" si="25"/>
        <v/>
      </c>
      <c r="AI103" s="76" t="str">
        <f t="shared" si="26"/>
        <v/>
      </c>
      <c r="AJ103" s="76" t="str">
        <f t="shared" si="27"/>
        <v/>
      </c>
      <c r="AK103" s="76" t="str">
        <f t="shared" si="28"/>
        <v/>
      </c>
      <c r="AL103" s="76" t="str">
        <f t="shared" si="29"/>
        <v/>
      </c>
      <c r="AM103" s="76" t="str">
        <f t="shared" si="30"/>
        <v/>
      </c>
      <c r="AN103" s="76" t="str">
        <f t="shared" si="31"/>
        <v/>
      </c>
      <c r="AO103" s="76" t="str">
        <f t="shared" si="32"/>
        <v/>
      </c>
      <c r="AP103" s="76" t="str">
        <f t="shared" si="33"/>
        <v/>
      </c>
    </row>
    <row r="104" ht="15.75" customHeight="1">
      <c r="A104" s="76" t="str">
        <f>IF('Manual Entry'!A76="","",'Manual Entry'!A76)</f>
        <v/>
      </c>
      <c r="B104" s="76" t="str">
        <f t="shared" si="3"/>
        <v/>
      </c>
      <c r="C104" s="76" t="str">
        <f t="shared" si="4"/>
        <v/>
      </c>
      <c r="D104" s="76" t="str">
        <f>'Manual Entry'!D76</f>
        <v/>
      </c>
      <c r="E104" s="76" t="str">
        <f>'Manual Entry'!B76</f>
        <v/>
      </c>
      <c r="F104" s="76" t="str">
        <f>'Manual Entry'!F76</f>
        <v/>
      </c>
      <c r="G104" s="76" t="str">
        <f>'Manual Entry'!G76</f>
        <v/>
      </c>
      <c r="H104" s="76" t="str">
        <f>'Manual Entry'!H76</f>
        <v/>
      </c>
      <c r="I104" s="78" t="str">
        <f>'Manual Entry'!I76</f>
        <v/>
      </c>
      <c r="J104" s="78" t="str">
        <f>'Manual Entry'!J76</f>
        <v/>
      </c>
      <c r="K104" s="78" t="str">
        <f>'Manual Entry'!K76</f>
        <v/>
      </c>
      <c r="L104" s="78" t="str">
        <f>'Manual Entry'!L76</f>
        <v/>
      </c>
      <c r="M104" s="78" t="str">
        <f>'Manual Entry'!M76</f>
        <v/>
      </c>
      <c r="N104" s="78" t="str">
        <f>'Manual Entry'!N76</f>
        <v/>
      </c>
      <c r="O104" s="76">
        <f t="shared" si="6"/>
        <v>0</v>
      </c>
      <c r="P104" s="76">
        <f t="shared" si="7"/>
        <v>0</v>
      </c>
      <c r="Q104" s="76">
        <f t="shared" si="8"/>
        <v>0</v>
      </c>
      <c r="R104" s="76">
        <f t="shared" si="9"/>
        <v>0</v>
      </c>
      <c r="S104" s="76" t="str">
        <f t="shared" si="10"/>
        <v/>
      </c>
      <c r="T104" s="76" t="str">
        <f t="shared" si="11"/>
        <v/>
      </c>
      <c r="U104" s="76" t="str">
        <f t="shared" si="12"/>
        <v/>
      </c>
      <c r="V104" s="76" t="str">
        <f t="shared" si="13"/>
        <v/>
      </c>
      <c r="W104" s="76" t="str">
        <f t="shared" si="14"/>
        <v/>
      </c>
      <c r="X104" s="76" t="str">
        <f t="shared" si="15"/>
        <v/>
      </c>
      <c r="Y104" s="76" t="str">
        <f t="shared" si="16"/>
        <v/>
      </c>
      <c r="Z104" s="76" t="str">
        <f t="shared" si="17"/>
        <v/>
      </c>
      <c r="AA104" s="76" t="str">
        <f t="shared" si="18"/>
        <v/>
      </c>
      <c r="AB104" s="76" t="str">
        <f t="shared" si="19"/>
        <v/>
      </c>
      <c r="AC104" s="76" t="str">
        <f t="shared" si="20"/>
        <v/>
      </c>
      <c r="AD104" s="76" t="str">
        <f t="shared" si="21"/>
        <v/>
      </c>
      <c r="AE104" s="76" t="str">
        <f t="shared" si="22"/>
        <v/>
      </c>
      <c r="AF104" s="76" t="str">
        <f t="shared" si="23"/>
        <v/>
      </c>
      <c r="AG104" s="76" t="str">
        <f t="shared" si="24"/>
        <v/>
      </c>
      <c r="AH104" s="76" t="str">
        <f t="shared" si="25"/>
        <v/>
      </c>
      <c r="AI104" s="76" t="str">
        <f t="shared" si="26"/>
        <v/>
      </c>
      <c r="AJ104" s="76" t="str">
        <f t="shared" si="27"/>
        <v/>
      </c>
      <c r="AK104" s="76" t="str">
        <f t="shared" si="28"/>
        <v/>
      </c>
      <c r="AL104" s="76" t="str">
        <f t="shared" si="29"/>
        <v/>
      </c>
      <c r="AM104" s="76" t="str">
        <f t="shared" si="30"/>
        <v/>
      </c>
      <c r="AN104" s="76" t="str">
        <f t="shared" si="31"/>
        <v/>
      </c>
      <c r="AO104" s="76" t="str">
        <f t="shared" si="32"/>
        <v/>
      </c>
      <c r="AP104" s="76" t="str">
        <f t="shared" si="33"/>
        <v/>
      </c>
    </row>
    <row r="105" ht="15.75" customHeight="1">
      <c r="A105" s="76" t="str">
        <f>IF('Manual Entry'!A77="","",'Manual Entry'!A77)</f>
        <v/>
      </c>
      <c r="B105" s="76" t="str">
        <f t="shared" si="3"/>
        <v/>
      </c>
      <c r="C105" s="76" t="str">
        <f t="shared" si="4"/>
        <v/>
      </c>
      <c r="D105" s="76" t="str">
        <f>'Manual Entry'!D77</f>
        <v/>
      </c>
      <c r="E105" s="76" t="str">
        <f>'Manual Entry'!B77</f>
        <v/>
      </c>
      <c r="F105" s="76" t="str">
        <f>'Manual Entry'!F77</f>
        <v/>
      </c>
      <c r="G105" s="76" t="str">
        <f>'Manual Entry'!G77</f>
        <v/>
      </c>
      <c r="H105" s="76" t="str">
        <f>'Manual Entry'!H77</f>
        <v/>
      </c>
      <c r="I105" s="78" t="str">
        <f>'Manual Entry'!I77</f>
        <v/>
      </c>
      <c r="J105" s="78" t="str">
        <f>'Manual Entry'!J77</f>
        <v/>
      </c>
      <c r="K105" s="78" t="str">
        <f>'Manual Entry'!K77</f>
        <v/>
      </c>
      <c r="L105" s="78" t="str">
        <f>'Manual Entry'!L77</f>
        <v/>
      </c>
      <c r="M105" s="78" t="str">
        <f>'Manual Entry'!M77</f>
        <v/>
      </c>
      <c r="N105" s="78" t="str">
        <f>'Manual Entry'!N77</f>
        <v/>
      </c>
      <c r="O105" s="76">
        <f t="shared" si="6"/>
        <v>0</v>
      </c>
      <c r="P105" s="76">
        <f t="shared" si="7"/>
        <v>0</v>
      </c>
      <c r="Q105" s="76">
        <f t="shared" si="8"/>
        <v>0</v>
      </c>
      <c r="R105" s="76">
        <f t="shared" si="9"/>
        <v>0</v>
      </c>
      <c r="S105" s="76" t="str">
        <f t="shared" si="10"/>
        <v/>
      </c>
      <c r="T105" s="76" t="str">
        <f t="shared" si="11"/>
        <v/>
      </c>
      <c r="U105" s="76" t="str">
        <f t="shared" si="12"/>
        <v/>
      </c>
      <c r="V105" s="76" t="str">
        <f t="shared" si="13"/>
        <v/>
      </c>
      <c r="W105" s="76" t="str">
        <f t="shared" si="14"/>
        <v/>
      </c>
      <c r="X105" s="76" t="str">
        <f t="shared" si="15"/>
        <v/>
      </c>
      <c r="Y105" s="76" t="str">
        <f t="shared" si="16"/>
        <v/>
      </c>
      <c r="Z105" s="76" t="str">
        <f t="shared" si="17"/>
        <v/>
      </c>
      <c r="AA105" s="76" t="str">
        <f t="shared" si="18"/>
        <v/>
      </c>
      <c r="AB105" s="76" t="str">
        <f t="shared" si="19"/>
        <v/>
      </c>
      <c r="AC105" s="76" t="str">
        <f t="shared" si="20"/>
        <v/>
      </c>
      <c r="AD105" s="76" t="str">
        <f t="shared" si="21"/>
        <v/>
      </c>
      <c r="AE105" s="76" t="str">
        <f t="shared" si="22"/>
        <v/>
      </c>
      <c r="AF105" s="76" t="str">
        <f t="shared" si="23"/>
        <v/>
      </c>
      <c r="AG105" s="76" t="str">
        <f t="shared" si="24"/>
        <v/>
      </c>
      <c r="AH105" s="76" t="str">
        <f t="shared" si="25"/>
        <v/>
      </c>
      <c r="AI105" s="76" t="str">
        <f t="shared" si="26"/>
        <v/>
      </c>
      <c r="AJ105" s="76" t="str">
        <f t="shared" si="27"/>
        <v/>
      </c>
      <c r="AK105" s="76" t="str">
        <f t="shared" si="28"/>
        <v/>
      </c>
      <c r="AL105" s="76" t="str">
        <f t="shared" si="29"/>
        <v/>
      </c>
      <c r="AM105" s="76" t="str">
        <f t="shared" si="30"/>
        <v/>
      </c>
      <c r="AN105" s="76" t="str">
        <f t="shared" si="31"/>
        <v/>
      </c>
      <c r="AO105" s="76" t="str">
        <f t="shared" si="32"/>
        <v/>
      </c>
      <c r="AP105" s="76" t="str">
        <f t="shared" si="33"/>
        <v/>
      </c>
    </row>
    <row r="106" ht="15.75" customHeight="1">
      <c r="A106" s="76" t="str">
        <f>IF('Manual Entry'!A78="","",'Manual Entry'!A78)</f>
        <v/>
      </c>
      <c r="B106" s="76" t="str">
        <f t="shared" si="3"/>
        <v/>
      </c>
      <c r="C106" s="76" t="str">
        <f t="shared" si="4"/>
        <v/>
      </c>
      <c r="D106" s="76" t="str">
        <f>'Manual Entry'!D78</f>
        <v/>
      </c>
      <c r="E106" s="76" t="str">
        <f>'Manual Entry'!B78</f>
        <v/>
      </c>
      <c r="F106" s="76" t="str">
        <f>'Manual Entry'!F78</f>
        <v/>
      </c>
      <c r="G106" s="76" t="str">
        <f>'Manual Entry'!G78</f>
        <v/>
      </c>
      <c r="H106" s="76" t="str">
        <f>'Manual Entry'!H78</f>
        <v/>
      </c>
      <c r="I106" s="78" t="str">
        <f>'Manual Entry'!I78</f>
        <v/>
      </c>
      <c r="J106" s="78" t="str">
        <f>'Manual Entry'!J78</f>
        <v/>
      </c>
      <c r="K106" s="78" t="str">
        <f>'Manual Entry'!K78</f>
        <v/>
      </c>
      <c r="L106" s="78" t="str">
        <f>'Manual Entry'!L78</f>
        <v/>
      </c>
      <c r="M106" s="78" t="str">
        <f>'Manual Entry'!M78</f>
        <v/>
      </c>
      <c r="N106" s="78" t="str">
        <f>'Manual Entry'!N78</f>
        <v/>
      </c>
      <c r="O106" s="76">
        <f t="shared" si="6"/>
        <v>0</v>
      </c>
      <c r="P106" s="76">
        <f t="shared" si="7"/>
        <v>0</v>
      </c>
      <c r="Q106" s="76">
        <f t="shared" si="8"/>
        <v>0</v>
      </c>
      <c r="R106" s="76">
        <f t="shared" si="9"/>
        <v>0</v>
      </c>
      <c r="S106" s="76" t="str">
        <f t="shared" si="10"/>
        <v/>
      </c>
      <c r="T106" s="76" t="str">
        <f t="shared" si="11"/>
        <v/>
      </c>
      <c r="U106" s="76" t="str">
        <f t="shared" si="12"/>
        <v/>
      </c>
      <c r="V106" s="76" t="str">
        <f t="shared" si="13"/>
        <v/>
      </c>
      <c r="W106" s="76" t="str">
        <f t="shared" si="14"/>
        <v/>
      </c>
      <c r="X106" s="76" t="str">
        <f t="shared" si="15"/>
        <v/>
      </c>
      <c r="Y106" s="76" t="str">
        <f t="shared" si="16"/>
        <v/>
      </c>
      <c r="Z106" s="76" t="str">
        <f t="shared" si="17"/>
        <v/>
      </c>
      <c r="AA106" s="76" t="str">
        <f t="shared" si="18"/>
        <v/>
      </c>
      <c r="AB106" s="76" t="str">
        <f t="shared" si="19"/>
        <v/>
      </c>
      <c r="AC106" s="76" t="str">
        <f t="shared" si="20"/>
        <v/>
      </c>
      <c r="AD106" s="76" t="str">
        <f t="shared" si="21"/>
        <v/>
      </c>
      <c r="AE106" s="76" t="str">
        <f t="shared" si="22"/>
        <v/>
      </c>
      <c r="AF106" s="76" t="str">
        <f t="shared" si="23"/>
        <v/>
      </c>
      <c r="AG106" s="76" t="str">
        <f t="shared" si="24"/>
        <v/>
      </c>
      <c r="AH106" s="76" t="str">
        <f t="shared" si="25"/>
        <v/>
      </c>
      <c r="AI106" s="76" t="str">
        <f t="shared" si="26"/>
        <v/>
      </c>
      <c r="AJ106" s="76" t="str">
        <f t="shared" si="27"/>
        <v/>
      </c>
      <c r="AK106" s="76" t="str">
        <f t="shared" si="28"/>
        <v/>
      </c>
      <c r="AL106" s="76" t="str">
        <f t="shared" si="29"/>
        <v/>
      </c>
      <c r="AM106" s="76" t="str">
        <f t="shared" si="30"/>
        <v/>
      </c>
      <c r="AN106" s="76" t="str">
        <f t="shared" si="31"/>
        <v/>
      </c>
      <c r="AO106" s="76" t="str">
        <f t="shared" si="32"/>
        <v/>
      </c>
      <c r="AP106" s="76" t="str">
        <f t="shared" si="33"/>
        <v/>
      </c>
    </row>
    <row r="107" ht="15.75" customHeight="1">
      <c r="A107" s="76" t="str">
        <f>IF('Manual Entry'!A79="","",'Manual Entry'!A79)</f>
        <v/>
      </c>
      <c r="B107" s="76" t="str">
        <f t="shared" si="3"/>
        <v/>
      </c>
      <c r="C107" s="76" t="str">
        <f t="shared" si="4"/>
        <v/>
      </c>
      <c r="D107" s="76" t="str">
        <f>'Manual Entry'!D79</f>
        <v/>
      </c>
      <c r="E107" s="76" t="str">
        <f>'Manual Entry'!B79</f>
        <v/>
      </c>
      <c r="F107" s="76" t="str">
        <f>'Manual Entry'!F79</f>
        <v/>
      </c>
      <c r="G107" s="76" t="str">
        <f>'Manual Entry'!G79</f>
        <v/>
      </c>
      <c r="H107" s="76" t="str">
        <f>'Manual Entry'!H79</f>
        <v/>
      </c>
      <c r="I107" s="78" t="str">
        <f>'Manual Entry'!I79</f>
        <v/>
      </c>
      <c r="J107" s="78" t="str">
        <f>'Manual Entry'!J79</f>
        <v/>
      </c>
      <c r="K107" s="78" t="str">
        <f>'Manual Entry'!K79</f>
        <v/>
      </c>
      <c r="L107" s="78" t="str">
        <f>'Manual Entry'!L79</f>
        <v/>
      </c>
      <c r="M107" s="78" t="str">
        <f>'Manual Entry'!M79</f>
        <v/>
      </c>
      <c r="N107" s="78" t="str">
        <f>'Manual Entry'!N79</f>
        <v/>
      </c>
      <c r="O107" s="76">
        <f t="shared" si="6"/>
        <v>0</v>
      </c>
      <c r="P107" s="76">
        <f t="shared" si="7"/>
        <v>0</v>
      </c>
      <c r="Q107" s="76">
        <f t="shared" si="8"/>
        <v>0</v>
      </c>
      <c r="R107" s="76">
        <f t="shared" si="9"/>
        <v>0</v>
      </c>
      <c r="S107" s="76" t="str">
        <f t="shared" si="10"/>
        <v/>
      </c>
      <c r="T107" s="76" t="str">
        <f t="shared" si="11"/>
        <v/>
      </c>
      <c r="U107" s="76" t="str">
        <f t="shared" si="12"/>
        <v/>
      </c>
      <c r="V107" s="76" t="str">
        <f t="shared" si="13"/>
        <v/>
      </c>
      <c r="W107" s="76" t="str">
        <f t="shared" si="14"/>
        <v/>
      </c>
      <c r="X107" s="76" t="str">
        <f t="shared" si="15"/>
        <v/>
      </c>
      <c r="Y107" s="76" t="str">
        <f t="shared" si="16"/>
        <v/>
      </c>
      <c r="Z107" s="76" t="str">
        <f t="shared" si="17"/>
        <v/>
      </c>
      <c r="AA107" s="76" t="str">
        <f t="shared" si="18"/>
        <v/>
      </c>
      <c r="AB107" s="76" t="str">
        <f t="shared" si="19"/>
        <v/>
      </c>
      <c r="AC107" s="76" t="str">
        <f t="shared" si="20"/>
        <v/>
      </c>
      <c r="AD107" s="76" t="str">
        <f t="shared" si="21"/>
        <v/>
      </c>
      <c r="AE107" s="76" t="str">
        <f t="shared" si="22"/>
        <v/>
      </c>
      <c r="AF107" s="76" t="str">
        <f t="shared" si="23"/>
        <v/>
      </c>
      <c r="AG107" s="76" t="str">
        <f t="shared" si="24"/>
        <v/>
      </c>
      <c r="AH107" s="76" t="str">
        <f t="shared" si="25"/>
        <v/>
      </c>
      <c r="AI107" s="76" t="str">
        <f t="shared" si="26"/>
        <v/>
      </c>
      <c r="AJ107" s="76" t="str">
        <f t="shared" si="27"/>
        <v/>
      </c>
      <c r="AK107" s="76" t="str">
        <f t="shared" si="28"/>
        <v/>
      </c>
      <c r="AL107" s="76" t="str">
        <f t="shared" si="29"/>
        <v/>
      </c>
      <c r="AM107" s="76" t="str">
        <f t="shared" si="30"/>
        <v/>
      </c>
      <c r="AN107" s="76" t="str">
        <f t="shared" si="31"/>
        <v/>
      </c>
      <c r="AO107" s="76" t="str">
        <f t="shared" si="32"/>
        <v/>
      </c>
      <c r="AP107" s="76" t="str">
        <f t="shared" si="33"/>
        <v/>
      </c>
    </row>
    <row r="108" ht="15.75" customHeight="1">
      <c r="A108" s="76" t="str">
        <f>IF('Manual Entry'!A80="","",'Manual Entry'!A80)</f>
        <v/>
      </c>
      <c r="B108" s="76" t="str">
        <f t="shared" si="3"/>
        <v/>
      </c>
      <c r="C108" s="76" t="str">
        <f t="shared" si="4"/>
        <v/>
      </c>
      <c r="D108" s="76" t="str">
        <f>'Manual Entry'!D80</f>
        <v/>
      </c>
      <c r="E108" s="76" t="str">
        <f>'Manual Entry'!B80</f>
        <v/>
      </c>
      <c r="F108" s="76" t="str">
        <f>'Manual Entry'!F80</f>
        <v/>
      </c>
      <c r="G108" s="76" t="str">
        <f>'Manual Entry'!G80</f>
        <v/>
      </c>
      <c r="H108" s="76" t="str">
        <f>'Manual Entry'!H80</f>
        <v/>
      </c>
      <c r="I108" s="78" t="str">
        <f>'Manual Entry'!I80</f>
        <v/>
      </c>
      <c r="J108" s="78" t="str">
        <f>'Manual Entry'!J80</f>
        <v/>
      </c>
      <c r="K108" s="78" t="str">
        <f>'Manual Entry'!K80</f>
        <v/>
      </c>
      <c r="L108" s="78" t="str">
        <f>'Manual Entry'!L80</f>
        <v/>
      </c>
      <c r="M108" s="78" t="str">
        <f>'Manual Entry'!M80</f>
        <v/>
      </c>
      <c r="N108" s="78" t="str">
        <f>'Manual Entry'!N80</f>
        <v/>
      </c>
      <c r="O108" s="76">
        <f t="shared" si="6"/>
        <v>0</v>
      </c>
      <c r="P108" s="76">
        <f t="shared" si="7"/>
        <v>0</v>
      </c>
      <c r="Q108" s="76">
        <f t="shared" si="8"/>
        <v>0</v>
      </c>
      <c r="R108" s="76">
        <f t="shared" si="9"/>
        <v>0</v>
      </c>
      <c r="S108" s="76" t="str">
        <f t="shared" si="10"/>
        <v/>
      </c>
      <c r="T108" s="76" t="str">
        <f t="shared" si="11"/>
        <v/>
      </c>
      <c r="U108" s="76" t="str">
        <f t="shared" si="12"/>
        <v/>
      </c>
      <c r="V108" s="76" t="str">
        <f t="shared" si="13"/>
        <v/>
      </c>
      <c r="W108" s="76" t="str">
        <f t="shared" si="14"/>
        <v/>
      </c>
      <c r="X108" s="76" t="str">
        <f t="shared" si="15"/>
        <v/>
      </c>
      <c r="Y108" s="76" t="str">
        <f t="shared" si="16"/>
        <v/>
      </c>
      <c r="Z108" s="76" t="str">
        <f t="shared" si="17"/>
        <v/>
      </c>
      <c r="AA108" s="76" t="str">
        <f t="shared" si="18"/>
        <v/>
      </c>
      <c r="AB108" s="76" t="str">
        <f t="shared" si="19"/>
        <v/>
      </c>
      <c r="AC108" s="76" t="str">
        <f t="shared" si="20"/>
        <v/>
      </c>
      <c r="AD108" s="76" t="str">
        <f t="shared" si="21"/>
        <v/>
      </c>
      <c r="AE108" s="76" t="str">
        <f t="shared" si="22"/>
        <v/>
      </c>
      <c r="AF108" s="76" t="str">
        <f t="shared" si="23"/>
        <v/>
      </c>
      <c r="AG108" s="76" t="str">
        <f t="shared" si="24"/>
        <v/>
      </c>
      <c r="AH108" s="76" t="str">
        <f t="shared" si="25"/>
        <v/>
      </c>
      <c r="AI108" s="76" t="str">
        <f t="shared" si="26"/>
        <v/>
      </c>
      <c r="AJ108" s="76" t="str">
        <f t="shared" si="27"/>
        <v/>
      </c>
      <c r="AK108" s="76" t="str">
        <f t="shared" si="28"/>
        <v/>
      </c>
      <c r="AL108" s="76" t="str">
        <f t="shared" si="29"/>
        <v/>
      </c>
      <c r="AM108" s="76" t="str">
        <f t="shared" si="30"/>
        <v/>
      </c>
      <c r="AN108" s="76" t="str">
        <f t="shared" si="31"/>
        <v/>
      </c>
      <c r="AO108" s="76" t="str">
        <f t="shared" si="32"/>
        <v/>
      </c>
      <c r="AP108" s="76" t="str">
        <f t="shared" si="33"/>
        <v/>
      </c>
    </row>
    <row r="109" ht="15.75" customHeight="1">
      <c r="A109" s="76" t="str">
        <f>IF('Manual Entry'!A81="","",'Manual Entry'!A81)</f>
        <v/>
      </c>
      <c r="B109" s="76" t="str">
        <f t="shared" si="3"/>
        <v/>
      </c>
      <c r="C109" s="76" t="str">
        <f t="shared" si="4"/>
        <v/>
      </c>
      <c r="D109" s="76" t="str">
        <f>'Manual Entry'!D81</f>
        <v/>
      </c>
      <c r="E109" s="76" t="str">
        <f>'Manual Entry'!B81</f>
        <v/>
      </c>
      <c r="F109" s="76" t="str">
        <f>'Manual Entry'!F81</f>
        <v/>
      </c>
      <c r="G109" s="76" t="str">
        <f>'Manual Entry'!G81</f>
        <v/>
      </c>
      <c r="H109" s="76" t="str">
        <f>'Manual Entry'!H81</f>
        <v/>
      </c>
      <c r="I109" s="78" t="str">
        <f>'Manual Entry'!I81</f>
        <v/>
      </c>
      <c r="J109" s="78" t="str">
        <f>'Manual Entry'!J81</f>
        <v/>
      </c>
      <c r="K109" s="78" t="str">
        <f>'Manual Entry'!K81</f>
        <v/>
      </c>
      <c r="L109" s="78" t="str">
        <f>'Manual Entry'!L81</f>
        <v/>
      </c>
      <c r="M109" s="78" t="str">
        <f>'Manual Entry'!M81</f>
        <v/>
      </c>
      <c r="N109" s="78" t="str">
        <f>'Manual Entry'!N81</f>
        <v/>
      </c>
      <c r="O109" s="76">
        <f t="shared" si="6"/>
        <v>0</v>
      </c>
      <c r="P109" s="76">
        <f t="shared" si="7"/>
        <v>0</v>
      </c>
      <c r="Q109" s="76">
        <f t="shared" si="8"/>
        <v>0</v>
      </c>
      <c r="R109" s="76">
        <f t="shared" si="9"/>
        <v>0</v>
      </c>
      <c r="S109" s="76" t="str">
        <f t="shared" si="10"/>
        <v/>
      </c>
      <c r="T109" s="76" t="str">
        <f t="shared" si="11"/>
        <v/>
      </c>
      <c r="U109" s="76" t="str">
        <f t="shared" si="12"/>
        <v/>
      </c>
      <c r="V109" s="76" t="str">
        <f t="shared" si="13"/>
        <v/>
      </c>
      <c r="W109" s="76" t="str">
        <f t="shared" si="14"/>
        <v/>
      </c>
      <c r="X109" s="76" t="str">
        <f t="shared" si="15"/>
        <v/>
      </c>
      <c r="Y109" s="76" t="str">
        <f t="shared" si="16"/>
        <v/>
      </c>
      <c r="Z109" s="76" t="str">
        <f t="shared" si="17"/>
        <v/>
      </c>
      <c r="AA109" s="76" t="str">
        <f t="shared" si="18"/>
        <v/>
      </c>
      <c r="AB109" s="76" t="str">
        <f t="shared" si="19"/>
        <v/>
      </c>
      <c r="AC109" s="76" t="str">
        <f t="shared" si="20"/>
        <v/>
      </c>
      <c r="AD109" s="76" t="str">
        <f t="shared" si="21"/>
        <v/>
      </c>
      <c r="AE109" s="76" t="str">
        <f t="shared" si="22"/>
        <v/>
      </c>
      <c r="AF109" s="76" t="str">
        <f t="shared" si="23"/>
        <v/>
      </c>
      <c r="AG109" s="76" t="str">
        <f t="shared" si="24"/>
        <v/>
      </c>
      <c r="AH109" s="76" t="str">
        <f t="shared" si="25"/>
        <v/>
      </c>
      <c r="AI109" s="76" t="str">
        <f t="shared" si="26"/>
        <v/>
      </c>
      <c r="AJ109" s="76" t="str">
        <f t="shared" si="27"/>
        <v/>
      </c>
      <c r="AK109" s="76" t="str">
        <f t="shared" si="28"/>
        <v/>
      </c>
      <c r="AL109" s="76" t="str">
        <f t="shared" si="29"/>
        <v/>
      </c>
      <c r="AM109" s="76" t="str">
        <f t="shared" si="30"/>
        <v/>
      </c>
      <c r="AN109" s="76" t="str">
        <f t="shared" si="31"/>
        <v/>
      </c>
      <c r="AO109" s="76" t="str">
        <f t="shared" si="32"/>
        <v/>
      </c>
      <c r="AP109" s="76" t="str">
        <f t="shared" si="33"/>
        <v/>
      </c>
    </row>
    <row r="110" ht="15.75" customHeight="1">
      <c r="A110" s="76" t="str">
        <f>IF('Manual Entry'!A82="","",'Manual Entry'!A82)</f>
        <v/>
      </c>
      <c r="B110" s="76" t="str">
        <f t="shared" si="3"/>
        <v/>
      </c>
      <c r="C110" s="76" t="str">
        <f t="shared" si="4"/>
        <v/>
      </c>
      <c r="D110" s="76" t="str">
        <f>'Manual Entry'!D82</f>
        <v/>
      </c>
      <c r="E110" s="76" t="str">
        <f>'Manual Entry'!B82</f>
        <v/>
      </c>
      <c r="F110" s="76" t="str">
        <f>'Manual Entry'!F82</f>
        <v/>
      </c>
      <c r="G110" s="76" t="str">
        <f>'Manual Entry'!G82</f>
        <v/>
      </c>
      <c r="H110" s="76" t="str">
        <f>'Manual Entry'!H82</f>
        <v/>
      </c>
      <c r="I110" s="78" t="str">
        <f>'Manual Entry'!I82</f>
        <v/>
      </c>
      <c r="J110" s="78" t="str">
        <f>'Manual Entry'!J82</f>
        <v/>
      </c>
      <c r="K110" s="78" t="str">
        <f>'Manual Entry'!K82</f>
        <v/>
      </c>
      <c r="L110" s="78" t="str">
        <f>'Manual Entry'!L82</f>
        <v/>
      </c>
      <c r="M110" s="78" t="str">
        <f>'Manual Entry'!M82</f>
        <v/>
      </c>
      <c r="N110" s="78" t="str">
        <f>'Manual Entry'!N82</f>
        <v/>
      </c>
      <c r="O110" s="76">
        <f t="shared" si="6"/>
        <v>0</v>
      </c>
      <c r="P110" s="76">
        <f t="shared" si="7"/>
        <v>0</v>
      </c>
      <c r="Q110" s="76">
        <f t="shared" si="8"/>
        <v>0</v>
      </c>
      <c r="R110" s="76">
        <f t="shared" si="9"/>
        <v>0</v>
      </c>
      <c r="S110" s="76" t="str">
        <f t="shared" si="10"/>
        <v/>
      </c>
      <c r="T110" s="76" t="str">
        <f t="shared" si="11"/>
        <v/>
      </c>
      <c r="U110" s="76" t="str">
        <f t="shared" si="12"/>
        <v/>
      </c>
      <c r="V110" s="76" t="str">
        <f t="shared" si="13"/>
        <v/>
      </c>
      <c r="W110" s="76" t="str">
        <f t="shared" si="14"/>
        <v/>
      </c>
      <c r="X110" s="76" t="str">
        <f t="shared" si="15"/>
        <v/>
      </c>
      <c r="Y110" s="76" t="str">
        <f t="shared" si="16"/>
        <v/>
      </c>
      <c r="Z110" s="76" t="str">
        <f t="shared" si="17"/>
        <v/>
      </c>
      <c r="AA110" s="76" t="str">
        <f t="shared" si="18"/>
        <v/>
      </c>
      <c r="AB110" s="76" t="str">
        <f t="shared" si="19"/>
        <v/>
      </c>
      <c r="AC110" s="76" t="str">
        <f t="shared" si="20"/>
        <v/>
      </c>
      <c r="AD110" s="76" t="str">
        <f t="shared" si="21"/>
        <v/>
      </c>
      <c r="AE110" s="76" t="str">
        <f t="shared" si="22"/>
        <v/>
      </c>
      <c r="AF110" s="76" t="str">
        <f t="shared" si="23"/>
        <v/>
      </c>
      <c r="AG110" s="76" t="str">
        <f t="shared" si="24"/>
        <v/>
      </c>
      <c r="AH110" s="76" t="str">
        <f t="shared" si="25"/>
        <v/>
      </c>
      <c r="AI110" s="76" t="str">
        <f t="shared" si="26"/>
        <v/>
      </c>
      <c r="AJ110" s="76" t="str">
        <f t="shared" si="27"/>
        <v/>
      </c>
      <c r="AK110" s="76" t="str">
        <f t="shared" si="28"/>
        <v/>
      </c>
      <c r="AL110" s="76" t="str">
        <f t="shared" si="29"/>
        <v/>
      </c>
      <c r="AM110" s="76" t="str">
        <f t="shared" si="30"/>
        <v/>
      </c>
      <c r="AN110" s="76" t="str">
        <f t="shared" si="31"/>
        <v/>
      </c>
      <c r="AO110" s="76" t="str">
        <f t="shared" si="32"/>
        <v/>
      </c>
      <c r="AP110" s="76" t="str">
        <f t="shared" si="33"/>
        <v/>
      </c>
    </row>
    <row r="111" ht="15.75" customHeight="1">
      <c r="A111" s="76" t="str">
        <f>IF('Manual Entry'!A83="","",'Manual Entry'!A83)</f>
        <v/>
      </c>
      <c r="B111" s="76" t="str">
        <f t="shared" si="3"/>
        <v/>
      </c>
      <c r="C111" s="76" t="str">
        <f t="shared" si="4"/>
        <v/>
      </c>
      <c r="D111" s="76" t="str">
        <f>'Manual Entry'!D83</f>
        <v/>
      </c>
      <c r="E111" s="76" t="str">
        <f>'Manual Entry'!B83</f>
        <v/>
      </c>
      <c r="F111" s="76" t="str">
        <f>'Manual Entry'!F83</f>
        <v/>
      </c>
      <c r="G111" s="76" t="str">
        <f>'Manual Entry'!G83</f>
        <v/>
      </c>
      <c r="H111" s="76" t="str">
        <f>'Manual Entry'!H83</f>
        <v/>
      </c>
      <c r="I111" s="78" t="str">
        <f>'Manual Entry'!I83</f>
        <v/>
      </c>
      <c r="J111" s="78" t="str">
        <f>'Manual Entry'!J83</f>
        <v/>
      </c>
      <c r="K111" s="78" t="str">
        <f>'Manual Entry'!K83</f>
        <v/>
      </c>
      <c r="L111" s="78" t="str">
        <f>'Manual Entry'!L83</f>
        <v/>
      </c>
      <c r="M111" s="78" t="str">
        <f>'Manual Entry'!M83</f>
        <v/>
      </c>
      <c r="N111" s="78" t="str">
        <f>'Manual Entry'!N83</f>
        <v/>
      </c>
      <c r="O111" s="76">
        <f t="shared" si="6"/>
        <v>0</v>
      </c>
      <c r="P111" s="76">
        <f t="shared" si="7"/>
        <v>0</v>
      </c>
      <c r="Q111" s="76">
        <f t="shared" si="8"/>
        <v>0</v>
      </c>
      <c r="R111" s="76">
        <f t="shared" si="9"/>
        <v>0</v>
      </c>
      <c r="S111" s="76" t="str">
        <f t="shared" si="10"/>
        <v/>
      </c>
      <c r="T111" s="76" t="str">
        <f t="shared" si="11"/>
        <v/>
      </c>
      <c r="U111" s="76" t="str">
        <f t="shared" si="12"/>
        <v/>
      </c>
      <c r="V111" s="76" t="str">
        <f t="shared" si="13"/>
        <v/>
      </c>
      <c r="W111" s="76" t="str">
        <f t="shared" si="14"/>
        <v/>
      </c>
      <c r="X111" s="76" t="str">
        <f t="shared" si="15"/>
        <v/>
      </c>
      <c r="Y111" s="76" t="str">
        <f t="shared" si="16"/>
        <v/>
      </c>
      <c r="Z111" s="76" t="str">
        <f t="shared" si="17"/>
        <v/>
      </c>
      <c r="AA111" s="76" t="str">
        <f t="shared" si="18"/>
        <v/>
      </c>
      <c r="AB111" s="76" t="str">
        <f t="shared" si="19"/>
        <v/>
      </c>
      <c r="AC111" s="76" t="str">
        <f t="shared" si="20"/>
        <v/>
      </c>
      <c r="AD111" s="76" t="str">
        <f t="shared" si="21"/>
        <v/>
      </c>
      <c r="AE111" s="76" t="str">
        <f t="shared" si="22"/>
        <v/>
      </c>
      <c r="AF111" s="76" t="str">
        <f t="shared" si="23"/>
        <v/>
      </c>
      <c r="AG111" s="76" t="str">
        <f t="shared" si="24"/>
        <v/>
      </c>
      <c r="AH111" s="76" t="str">
        <f t="shared" si="25"/>
        <v/>
      </c>
      <c r="AI111" s="76" t="str">
        <f t="shared" si="26"/>
        <v/>
      </c>
      <c r="AJ111" s="76" t="str">
        <f t="shared" si="27"/>
        <v/>
      </c>
      <c r="AK111" s="76" t="str">
        <f t="shared" si="28"/>
        <v/>
      </c>
      <c r="AL111" s="76" t="str">
        <f t="shared" si="29"/>
        <v/>
      </c>
      <c r="AM111" s="76" t="str">
        <f t="shared" si="30"/>
        <v/>
      </c>
      <c r="AN111" s="76" t="str">
        <f t="shared" si="31"/>
        <v/>
      </c>
      <c r="AO111" s="76" t="str">
        <f t="shared" si="32"/>
        <v/>
      </c>
      <c r="AP111" s="76" t="str">
        <f t="shared" si="33"/>
        <v/>
      </c>
    </row>
    <row r="112" ht="15.75" customHeight="1">
      <c r="A112" s="76" t="str">
        <f>IF('Manual Entry'!A84="","",'Manual Entry'!A84)</f>
        <v/>
      </c>
      <c r="B112" s="76" t="str">
        <f t="shared" si="3"/>
        <v/>
      </c>
      <c r="C112" s="76" t="str">
        <f t="shared" si="4"/>
        <v/>
      </c>
      <c r="D112" s="76" t="str">
        <f>'Manual Entry'!D84</f>
        <v/>
      </c>
      <c r="E112" s="76" t="str">
        <f>'Manual Entry'!B84</f>
        <v/>
      </c>
      <c r="F112" s="76" t="str">
        <f>'Manual Entry'!F84</f>
        <v/>
      </c>
      <c r="G112" s="76" t="str">
        <f>'Manual Entry'!G84</f>
        <v/>
      </c>
      <c r="H112" s="76" t="str">
        <f>'Manual Entry'!H84</f>
        <v/>
      </c>
      <c r="I112" s="78" t="str">
        <f>'Manual Entry'!I84</f>
        <v/>
      </c>
      <c r="J112" s="78" t="str">
        <f>'Manual Entry'!J84</f>
        <v/>
      </c>
      <c r="K112" s="78" t="str">
        <f>'Manual Entry'!K84</f>
        <v/>
      </c>
      <c r="L112" s="78" t="str">
        <f>'Manual Entry'!L84</f>
        <v/>
      </c>
      <c r="M112" s="78" t="str">
        <f>'Manual Entry'!M84</f>
        <v/>
      </c>
      <c r="N112" s="78" t="str">
        <f>'Manual Entry'!N84</f>
        <v/>
      </c>
      <c r="O112" s="76">
        <f t="shared" si="6"/>
        <v>0</v>
      </c>
      <c r="P112" s="76">
        <f t="shared" si="7"/>
        <v>0</v>
      </c>
      <c r="Q112" s="76">
        <f t="shared" si="8"/>
        <v>0</v>
      </c>
      <c r="R112" s="76">
        <f t="shared" si="9"/>
        <v>0</v>
      </c>
      <c r="S112" s="76" t="str">
        <f t="shared" si="10"/>
        <v/>
      </c>
      <c r="T112" s="76" t="str">
        <f t="shared" si="11"/>
        <v/>
      </c>
      <c r="U112" s="76" t="str">
        <f t="shared" si="12"/>
        <v/>
      </c>
      <c r="V112" s="76" t="str">
        <f t="shared" si="13"/>
        <v/>
      </c>
      <c r="W112" s="76" t="str">
        <f t="shared" si="14"/>
        <v/>
      </c>
      <c r="X112" s="76" t="str">
        <f t="shared" si="15"/>
        <v/>
      </c>
      <c r="Y112" s="76" t="str">
        <f t="shared" si="16"/>
        <v/>
      </c>
      <c r="Z112" s="76" t="str">
        <f t="shared" si="17"/>
        <v/>
      </c>
      <c r="AA112" s="76" t="str">
        <f t="shared" si="18"/>
        <v/>
      </c>
      <c r="AB112" s="76" t="str">
        <f t="shared" si="19"/>
        <v/>
      </c>
      <c r="AC112" s="76" t="str">
        <f t="shared" si="20"/>
        <v/>
      </c>
      <c r="AD112" s="76" t="str">
        <f t="shared" si="21"/>
        <v/>
      </c>
      <c r="AE112" s="76" t="str">
        <f t="shared" si="22"/>
        <v/>
      </c>
      <c r="AF112" s="76" t="str">
        <f t="shared" si="23"/>
        <v/>
      </c>
      <c r="AG112" s="76" t="str">
        <f t="shared" si="24"/>
        <v/>
      </c>
      <c r="AH112" s="76" t="str">
        <f t="shared" si="25"/>
        <v/>
      </c>
      <c r="AI112" s="76" t="str">
        <f t="shared" si="26"/>
        <v/>
      </c>
      <c r="AJ112" s="76" t="str">
        <f t="shared" si="27"/>
        <v/>
      </c>
      <c r="AK112" s="76" t="str">
        <f t="shared" si="28"/>
        <v/>
      </c>
      <c r="AL112" s="76" t="str">
        <f t="shared" si="29"/>
        <v/>
      </c>
      <c r="AM112" s="76" t="str">
        <f t="shared" si="30"/>
        <v/>
      </c>
      <c r="AN112" s="76" t="str">
        <f t="shared" si="31"/>
        <v/>
      </c>
      <c r="AO112" s="76" t="str">
        <f t="shared" si="32"/>
        <v/>
      </c>
      <c r="AP112" s="76" t="str">
        <f t="shared" si="33"/>
        <v/>
      </c>
    </row>
    <row r="113" ht="15.75" customHeight="1">
      <c r="A113" s="76" t="str">
        <f>IF('Manual Entry'!A85="","",'Manual Entry'!A85)</f>
        <v/>
      </c>
      <c r="B113" s="76" t="str">
        <f t="shared" si="3"/>
        <v/>
      </c>
      <c r="C113" s="76" t="str">
        <f t="shared" si="4"/>
        <v/>
      </c>
      <c r="D113" s="76" t="str">
        <f>'Manual Entry'!D85</f>
        <v/>
      </c>
      <c r="E113" s="76" t="str">
        <f>'Manual Entry'!B85</f>
        <v/>
      </c>
      <c r="F113" s="76" t="str">
        <f>'Manual Entry'!F85</f>
        <v/>
      </c>
      <c r="G113" s="76" t="str">
        <f>'Manual Entry'!G85</f>
        <v/>
      </c>
      <c r="H113" s="76" t="str">
        <f>'Manual Entry'!H85</f>
        <v/>
      </c>
      <c r="I113" s="78" t="str">
        <f>'Manual Entry'!I85</f>
        <v/>
      </c>
      <c r="J113" s="78" t="str">
        <f>'Manual Entry'!J85</f>
        <v/>
      </c>
      <c r="K113" s="78" t="str">
        <f>'Manual Entry'!K85</f>
        <v/>
      </c>
      <c r="L113" s="78" t="str">
        <f>'Manual Entry'!L85</f>
        <v/>
      </c>
      <c r="M113" s="78" t="str">
        <f>'Manual Entry'!M85</f>
        <v/>
      </c>
      <c r="N113" s="78" t="str">
        <f>'Manual Entry'!N85</f>
        <v/>
      </c>
      <c r="O113" s="76">
        <f t="shared" si="6"/>
        <v>0</v>
      </c>
      <c r="P113" s="76">
        <f t="shared" si="7"/>
        <v>0</v>
      </c>
      <c r="Q113" s="76">
        <f t="shared" si="8"/>
        <v>0</v>
      </c>
      <c r="R113" s="76">
        <f t="shared" si="9"/>
        <v>0</v>
      </c>
      <c r="S113" s="76" t="str">
        <f t="shared" si="10"/>
        <v/>
      </c>
      <c r="T113" s="76" t="str">
        <f t="shared" si="11"/>
        <v/>
      </c>
      <c r="U113" s="76" t="str">
        <f t="shared" si="12"/>
        <v/>
      </c>
      <c r="V113" s="76" t="str">
        <f t="shared" si="13"/>
        <v/>
      </c>
      <c r="W113" s="76" t="str">
        <f t="shared" si="14"/>
        <v/>
      </c>
      <c r="X113" s="76" t="str">
        <f t="shared" si="15"/>
        <v/>
      </c>
      <c r="Y113" s="76" t="str">
        <f t="shared" si="16"/>
        <v/>
      </c>
      <c r="Z113" s="76" t="str">
        <f t="shared" si="17"/>
        <v/>
      </c>
      <c r="AA113" s="76" t="str">
        <f t="shared" si="18"/>
        <v/>
      </c>
      <c r="AB113" s="76" t="str">
        <f t="shared" si="19"/>
        <v/>
      </c>
      <c r="AC113" s="76" t="str">
        <f t="shared" si="20"/>
        <v/>
      </c>
      <c r="AD113" s="76" t="str">
        <f t="shared" si="21"/>
        <v/>
      </c>
      <c r="AE113" s="76" t="str">
        <f t="shared" si="22"/>
        <v/>
      </c>
      <c r="AF113" s="76" t="str">
        <f t="shared" si="23"/>
        <v/>
      </c>
      <c r="AG113" s="76" t="str">
        <f t="shared" si="24"/>
        <v/>
      </c>
      <c r="AH113" s="76" t="str">
        <f t="shared" si="25"/>
        <v/>
      </c>
      <c r="AI113" s="76" t="str">
        <f t="shared" si="26"/>
        <v/>
      </c>
      <c r="AJ113" s="76" t="str">
        <f t="shared" si="27"/>
        <v/>
      </c>
      <c r="AK113" s="76" t="str">
        <f t="shared" si="28"/>
        <v/>
      </c>
      <c r="AL113" s="76" t="str">
        <f t="shared" si="29"/>
        <v/>
      </c>
      <c r="AM113" s="76" t="str">
        <f t="shared" si="30"/>
        <v/>
      </c>
      <c r="AN113" s="76" t="str">
        <f t="shared" si="31"/>
        <v/>
      </c>
      <c r="AO113" s="76" t="str">
        <f t="shared" si="32"/>
        <v/>
      </c>
      <c r="AP113" s="76" t="str">
        <f t="shared" si="33"/>
        <v/>
      </c>
    </row>
    <row r="114" ht="15.75" customHeight="1">
      <c r="A114" s="76" t="str">
        <f>IF('Manual Entry'!A86="","",'Manual Entry'!A86)</f>
        <v/>
      </c>
      <c r="B114" s="76" t="str">
        <f t="shared" si="3"/>
        <v/>
      </c>
      <c r="C114" s="76" t="str">
        <f t="shared" si="4"/>
        <v/>
      </c>
      <c r="D114" s="76" t="str">
        <f>'Manual Entry'!D86</f>
        <v/>
      </c>
      <c r="E114" s="76" t="str">
        <f>'Manual Entry'!B86</f>
        <v/>
      </c>
      <c r="F114" s="76" t="str">
        <f>'Manual Entry'!F86</f>
        <v/>
      </c>
      <c r="G114" s="76" t="str">
        <f>'Manual Entry'!G86</f>
        <v/>
      </c>
      <c r="H114" s="76" t="str">
        <f>'Manual Entry'!H86</f>
        <v/>
      </c>
      <c r="I114" s="78" t="str">
        <f>'Manual Entry'!I86</f>
        <v/>
      </c>
      <c r="J114" s="78" t="str">
        <f>'Manual Entry'!J86</f>
        <v/>
      </c>
      <c r="K114" s="78" t="str">
        <f>'Manual Entry'!K86</f>
        <v/>
      </c>
      <c r="L114" s="78" t="str">
        <f>'Manual Entry'!L86</f>
        <v/>
      </c>
      <c r="M114" s="78" t="str">
        <f>'Manual Entry'!M86</f>
        <v/>
      </c>
      <c r="N114" s="78" t="str">
        <f>'Manual Entry'!N86</f>
        <v/>
      </c>
      <c r="O114" s="76">
        <f t="shared" si="6"/>
        <v>0</v>
      </c>
      <c r="P114" s="76">
        <f t="shared" si="7"/>
        <v>0</v>
      </c>
      <c r="Q114" s="76">
        <f t="shared" si="8"/>
        <v>0</v>
      </c>
      <c r="R114" s="76">
        <f t="shared" si="9"/>
        <v>0</v>
      </c>
      <c r="S114" s="76" t="str">
        <f t="shared" si="10"/>
        <v/>
      </c>
      <c r="T114" s="76" t="str">
        <f t="shared" si="11"/>
        <v/>
      </c>
      <c r="U114" s="76" t="str">
        <f t="shared" si="12"/>
        <v/>
      </c>
      <c r="V114" s="76" t="str">
        <f t="shared" si="13"/>
        <v/>
      </c>
      <c r="W114" s="76" t="str">
        <f t="shared" si="14"/>
        <v/>
      </c>
      <c r="X114" s="76" t="str">
        <f t="shared" si="15"/>
        <v/>
      </c>
      <c r="Y114" s="76" t="str">
        <f t="shared" si="16"/>
        <v/>
      </c>
      <c r="Z114" s="76" t="str">
        <f t="shared" si="17"/>
        <v/>
      </c>
      <c r="AA114" s="76" t="str">
        <f t="shared" si="18"/>
        <v/>
      </c>
      <c r="AB114" s="76" t="str">
        <f t="shared" si="19"/>
        <v/>
      </c>
      <c r="AC114" s="76" t="str">
        <f t="shared" si="20"/>
        <v/>
      </c>
      <c r="AD114" s="76" t="str">
        <f t="shared" si="21"/>
        <v/>
      </c>
      <c r="AE114" s="76" t="str">
        <f t="shared" si="22"/>
        <v/>
      </c>
      <c r="AF114" s="76" t="str">
        <f t="shared" si="23"/>
        <v/>
      </c>
      <c r="AG114" s="76" t="str">
        <f t="shared" si="24"/>
        <v/>
      </c>
      <c r="AH114" s="76" t="str">
        <f t="shared" si="25"/>
        <v/>
      </c>
      <c r="AI114" s="76" t="str">
        <f t="shared" si="26"/>
        <v/>
      </c>
      <c r="AJ114" s="76" t="str">
        <f t="shared" si="27"/>
        <v/>
      </c>
      <c r="AK114" s="76" t="str">
        <f t="shared" si="28"/>
        <v/>
      </c>
      <c r="AL114" s="76" t="str">
        <f t="shared" si="29"/>
        <v/>
      </c>
      <c r="AM114" s="76" t="str">
        <f t="shared" si="30"/>
        <v/>
      </c>
      <c r="AN114" s="76" t="str">
        <f t="shared" si="31"/>
        <v/>
      </c>
      <c r="AO114" s="76" t="str">
        <f t="shared" si="32"/>
        <v/>
      </c>
      <c r="AP114" s="76" t="str">
        <f t="shared" si="33"/>
        <v/>
      </c>
    </row>
    <row r="115" ht="15.75" customHeight="1">
      <c r="A115" s="76" t="str">
        <f>IF('Manual Entry'!A87="","",'Manual Entry'!A87)</f>
        <v/>
      </c>
      <c r="B115" s="76" t="str">
        <f t="shared" si="3"/>
        <v/>
      </c>
      <c r="C115" s="76" t="str">
        <f t="shared" si="4"/>
        <v/>
      </c>
      <c r="D115" s="76" t="str">
        <f>'Manual Entry'!D87</f>
        <v/>
      </c>
      <c r="E115" s="76" t="str">
        <f>'Manual Entry'!B87</f>
        <v/>
      </c>
      <c r="F115" s="76" t="str">
        <f>'Manual Entry'!F87</f>
        <v/>
      </c>
      <c r="G115" s="76" t="str">
        <f>'Manual Entry'!G87</f>
        <v/>
      </c>
      <c r="H115" s="76" t="str">
        <f>'Manual Entry'!H87</f>
        <v/>
      </c>
      <c r="I115" s="78" t="str">
        <f>'Manual Entry'!I87</f>
        <v/>
      </c>
      <c r="J115" s="78" t="str">
        <f>'Manual Entry'!J87</f>
        <v/>
      </c>
      <c r="K115" s="78" t="str">
        <f>'Manual Entry'!K87</f>
        <v/>
      </c>
      <c r="L115" s="78" t="str">
        <f>'Manual Entry'!L87</f>
        <v/>
      </c>
      <c r="M115" s="78" t="str">
        <f>'Manual Entry'!M87</f>
        <v/>
      </c>
      <c r="N115" s="78" t="str">
        <f>'Manual Entry'!N87</f>
        <v/>
      </c>
      <c r="O115" s="76">
        <f t="shared" si="6"/>
        <v>0</v>
      </c>
      <c r="P115" s="76">
        <f t="shared" si="7"/>
        <v>0</v>
      </c>
      <c r="Q115" s="76">
        <f t="shared" si="8"/>
        <v>0</v>
      </c>
      <c r="R115" s="76">
        <f t="shared" si="9"/>
        <v>0</v>
      </c>
      <c r="S115" s="76" t="str">
        <f t="shared" si="10"/>
        <v/>
      </c>
      <c r="T115" s="76" t="str">
        <f t="shared" si="11"/>
        <v/>
      </c>
      <c r="U115" s="76" t="str">
        <f t="shared" si="12"/>
        <v/>
      </c>
      <c r="V115" s="76" t="str">
        <f t="shared" si="13"/>
        <v/>
      </c>
      <c r="W115" s="76" t="str">
        <f t="shared" si="14"/>
        <v/>
      </c>
      <c r="X115" s="76" t="str">
        <f t="shared" si="15"/>
        <v/>
      </c>
      <c r="Y115" s="76" t="str">
        <f t="shared" si="16"/>
        <v/>
      </c>
      <c r="Z115" s="76" t="str">
        <f t="shared" si="17"/>
        <v/>
      </c>
      <c r="AA115" s="76" t="str">
        <f t="shared" si="18"/>
        <v/>
      </c>
      <c r="AB115" s="76" t="str">
        <f t="shared" si="19"/>
        <v/>
      </c>
      <c r="AC115" s="76" t="str">
        <f t="shared" si="20"/>
        <v/>
      </c>
      <c r="AD115" s="76" t="str">
        <f t="shared" si="21"/>
        <v/>
      </c>
      <c r="AE115" s="76" t="str">
        <f t="shared" si="22"/>
        <v/>
      </c>
      <c r="AF115" s="76" t="str">
        <f t="shared" si="23"/>
        <v/>
      </c>
      <c r="AG115" s="76" t="str">
        <f t="shared" si="24"/>
        <v/>
      </c>
      <c r="AH115" s="76" t="str">
        <f t="shared" si="25"/>
        <v/>
      </c>
      <c r="AI115" s="76" t="str">
        <f t="shared" si="26"/>
        <v/>
      </c>
      <c r="AJ115" s="76" t="str">
        <f t="shared" si="27"/>
        <v/>
      </c>
      <c r="AK115" s="76" t="str">
        <f t="shared" si="28"/>
        <v/>
      </c>
      <c r="AL115" s="76" t="str">
        <f t="shared" si="29"/>
        <v/>
      </c>
      <c r="AM115" s="76" t="str">
        <f t="shared" si="30"/>
        <v/>
      </c>
      <c r="AN115" s="76" t="str">
        <f t="shared" si="31"/>
        <v/>
      </c>
      <c r="AO115" s="76" t="str">
        <f t="shared" si="32"/>
        <v/>
      </c>
      <c r="AP115" s="76" t="str">
        <f t="shared" si="33"/>
        <v/>
      </c>
    </row>
    <row r="116" ht="15.75" customHeight="1">
      <c r="A116" s="76" t="str">
        <f>IF('Manual Entry'!A88="","",'Manual Entry'!A88)</f>
        <v/>
      </c>
      <c r="B116" s="76" t="str">
        <f t="shared" si="3"/>
        <v/>
      </c>
      <c r="C116" s="76" t="str">
        <f t="shared" si="4"/>
        <v/>
      </c>
      <c r="D116" s="76" t="str">
        <f>'Manual Entry'!D88</f>
        <v/>
      </c>
      <c r="E116" s="76" t="str">
        <f>'Manual Entry'!B88</f>
        <v/>
      </c>
      <c r="F116" s="76" t="str">
        <f>'Manual Entry'!F88</f>
        <v/>
      </c>
      <c r="G116" s="76" t="str">
        <f>'Manual Entry'!G88</f>
        <v/>
      </c>
      <c r="H116" s="76" t="str">
        <f>'Manual Entry'!H88</f>
        <v/>
      </c>
      <c r="I116" s="78" t="str">
        <f>'Manual Entry'!I88</f>
        <v/>
      </c>
      <c r="J116" s="78" t="str">
        <f>'Manual Entry'!J88</f>
        <v/>
      </c>
      <c r="K116" s="78" t="str">
        <f>'Manual Entry'!K88</f>
        <v/>
      </c>
      <c r="L116" s="78" t="str">
        <f>'Manual Entry'!L88</f>
        <v/>
      </c>
      <c r="M116" s="78" t="str">
        <f>'Manual Entry'!M88</f>
        <v/>
      </c>
      <c r="N116" s="78" t="str">
        <f>'Manual Entry'!N88</f>
        <v/>
      </c>
      <c r="O116" s="76">
        <f t="shared" si="6"/>
        <v>0</v>
      </c>
      <c r="P116" s="76">
        <f t="shared" si="7"/>
        <v>0</v>
      </c>
      <c r="Q116" s="76">
        <f t="shared" si="8"/>
        <v>0</v>
      </c>
      <c r="R116" s="76">
        <f t="shared" si="9"/>
        <v>0</v>
      </c>
      <c r="S116" s="76" t="str">
        <f t="shared" si="10"/>
        <v/>
      </c>
      <c r="T116" s="76" t="str">
        <f t="shared" si="11"/>
        <v/>
      </c>
      <c r="U116" s="76" t="str">
        <f t="shared" si="12"/>
        <v/>
      </c>
      <c r="V116" s="76" t="str">
        <f t="shared" si="13"/>
        <v/>
      </c>
      <c r="W116" s="76" t="str">
        <f t="shared" si="14"/>
        <v/>
      </c>
      <c r="X116" s="76" t="str">
        <f t="shared" si="15"/>
        <v/>
      </c>
      <c r="Y116" s="76" t="str">
        <f t="shared" si="16"/>
        <v/>
      </c>
      <c r="Z116" s="76" t="str">
        <f t="shared" si="17"/>
        <v/>
      </c>
      <c r="AA116" s="76" t="str">
        <f t="shared" si="18"/>
        <v/>
      </c>
      <c r="AB116" s="76" t="str">
        <f t="shared" si="19"/>
        <v/>
      </c>
      <c r="AC116" s="76" t="str">
        <f t="shared" si="20"/>
        <v/>
      </c>
      <c r="AD116" s="76" t="str">
        <f t="shared" si="21"/>
        <v/>
      </c>
      <c r="AE116" s="76" t="str">
        <f t="shared" si="22"/>
        <v/>
      </c>
      <c r="AF116" s="76" t="str">
        <f t="shared" si="23"/>
        <v/>
      </c>
      <c r="AG116" s="76" t="str">
        <f t="shared" si="24"/>
        <v/>
      </c>
      <c r="AH116" s="76" t="str">
        <f t="shared" si="25"/>
        <v/>
      </c>
      <c r="AI116" s="76" t="str">
        <f t="shared" si="26"/>
        <v/>
      </c>
      <c r="AJ116" s="76" t="str">
        <f t="shared" si="27"/>
        <v/>
      </c>
      <c r="AK116" s="76" t="str">
        <f t="shared" si="28"/>
        <v/>
      </c>
      <c r="AL116" s="76" t="str">
        <f t="shared" si="29"/>
        <v/>
      </c>
      <c r="AM116" s="76" t="str">
        <f t="shared" si="30"/>
        <v/>
      </c>
      <c r="AN116" s="76" t="str">
        <f t="shared" si="31"/>
        <v/>
      </c>
      <c r="AO116" s="76" t="str">
        <f t="shared" si="32"/>
        <v/>
      </c>
      <c r="AP116" s="76" t="str">
        <f t="shared" si="33"/>
        <v/>
      </c>
    </row>
    <row r="117" ht="15.75" customHeight="1">
      <c r="A117" s="76" t="str">
        <f>IF('Manual Entry'!A89="","",'Manual Entry'!A89)</f>
        <v/>
      </c>
      <c r="B117" s="76" t="str">
        <f t="shared" si="3"/>
        <v/>
      </c>
      <c r="C117" s="76" t="str">
        <f t="shared" si="4"/>
        <v/>
      </c>
      <c r="D117" s="76" t="str">
        <f>'Manual Entry'!D89</f>
        <v/>
      </c>
      <c r="E117" s="76" t="str">
        <f>'Manual Entry'!B89</f>
        <v/>
      </c>
      <c r="F117" s="76" t="str">
        <f>'Manual Entry'!F89</f>
        <v/>
      </c>
      <c r="G117" s="76" t="str">
        <f>'Manual Entry'!G89</f>
        <v/>
      </c>
      <c r="H117" s="76" t="str">
        <f>'Manual Entry'!H89</f>
        <v/>
      </c>
      <c r="I117" s="78" t="str">
        <f>'Manual Entry'!I89</f>
        <v/>
      </c>
      <c r="J117" s="78" t="str">
        <f>'Manual Entry'!J89</f>
        <v/>
      </c>
      <c r="K117" s="78" t="str">
        <f>'Manual Entry'!K89</f>
        <v/>
      </c>
      <c r="L117" s="78" t="str">
        <f>'Manual Entry'!L89</f>
        <v/>
      </c>
      <c r="M117" s="78" t="str">
        <f>'Manual Entry'!M89</f>
        <v/>
      </c>
      <c r="N117" s="78" t="str">
        <f>'Manual Entry'!N89</f>
        <v/>
      </c>
      <c r="O117" s="76">
        <f t="shared" si="6"/>
        <v>0</v>
      </c>
      <c r="P117" s="76">
        <f t="shared" si="7"/>
        <v>0</v>
      </c>
      <c r="Q117" s="76">
        <f t="shared" si="8"/>
        <v>0</v>
      </c>
      <c r="R117" s="76">
        <f t="shared" si="9"/>
        <v>0</v>
      </c>
      <c r="S117" s="76" t="str">
        <f t="shared" si="10"/>
        <v/>
      </c>
      <c r="T117" s="76" t="str">
        <f t="shared" si="11"/>
        <v/>
      </c>
      <c r="U117" s="76" t="str">
        <f t="shared" si="12"/>
        <v/>
      </c>
      <c r="V117" s="76" t="str">
        <f t="shared" si="13"/>
        <v/>
      </c>
      <c r="W117" s="76" t="str">
        <f t="shared" si="14"/>
        <v/>
      </c>
      <c r="X117" s="76" t="str">
        <f t="shared" si="15"/>
        <v/>
      </c>
      <c r="Y117" s="76" t="str">
        <f t="shared" si="16"/>
        <v/>
      </c>
      <c r="Z117" s="76" t="str">
        <f t="shared" si="17"/>
        <v/>
      </c>
      <c r="AA117" s="76" t="str">
        <f t="shared" si="18"/>
        <v/>
      </c>
      <c r="AB117" s="76" t="str">
        <f t="shared" si="19"/>
        <v/>
      </c>
      <c r="AC117" s="76" t="str">
        <f t="shared" si="20"/>
        <v/>
      </c>
      <c r="AD117" s="76" t="str">
        <f t="shared" si="21"/>
        <v/>
      </c>
      <c r="AE117" s="76" t="str">
        <f t="shared" si="22"/>
        <v/>
      </c>
      <c r="AF117" s="76" t="str">
        <f t="shared" si="23"/>
        <v/>
      </c>
      <c r="AG117" s="76" t="str">
        <f t="shared" si="24"/>
        <v/>
      </c>
      <c r="AH117" s="76" t="str">
        <f t="shared" si="25"/>
        <v/>
      </c>
      <c r="AI117" s="76" t="str">
        <f t="shared" si="26"/>
        <v/>
      </c>
      <c r="AJ117" s="76" t="str">
        <f t="shared" si="27"/>
        <v/>
      </c>
      <c r="AK117" s="76" t="str">
        <f t="shared" si="28"/>
        <v/>
      </c>
      <c r="AL117" s="76" t="str">
        <f t="shared" si="29"/>
        <v/>
      </c>
      <c r="AM117" s="76" t="str">
        <f t="shared" si="30"/>
        <v/>
      </c>
      <c r="AN117" s="76" t="str">
        <f t="shared" si="31"/>
        <v/>
      </c>
      <c r="AO117" s="76" t="str">
        <f t="shared" si="32"/>
        <v/>
      </c>
      <c r="AP117" s="76" t="str">
        <f t="shared" si="33"/>
        <v/>
      </c>
    </row>
    <row r="118" ht="15.75" customHeight="1">
      <c r="A118" s="76" t="str">
        <f>IF('Manual Entry'!A90="","",'Manual Entry'!A90)</f>
        <v/>
      </c>
      <c r="B118" s="76" t="str">
        <f t="shared" si="3"/>
        <v/>
      </c>
      <c r="C118" s="76" t="str">
        <f t="shared" si="4"/>
        <v/>
      </c>
      <c r="D118" s="76" t="str">
        <f>'Manual Entry'!D90</f>
        <v/>
      </c>
      <c r="E118" s="76" t="str">
        <f>'Manual Entry'!B90</f>
        <v/>
      </c>
      <c r="F118" s="76" t="str">
        <f>'Manual Entry'!F90</f>
        <v/>
      </c>
      <c r="G118" s="76" t="str">
        <f>'Manual Entry'!G90</f>
        <v/>
      </c>
      <c r="H118" s="76" t="str">
        <f>'Manual Entry'!H90</f>
        <v/>
      </c>
      <c r="I118" s="78" t="str">
        <f>'Manual Entry'!I90</f>
        <v/>
      </c>
      <c r="J118" s="78" t="str">
        <f>'Manual Entry'!J90</f>
        <v/>
      </c>
      <c r="K118" s="78" t="str">
        <f>'Manual Entry'!K90</f>
        <v/>
      </c>
      <c r="L118" s="78" t="str">
        <f>'Manual Entry'!L90</f>
        <v/>
      </c>
      <c r="M118" s="78" t="str">
        <f>'Manual Entry'!M90</f>
        <v/>
      </c>
      <c r="N118" s="78" t="str">
        <f>'Manual Entry'!N90</f>
        <v/>
      </c>
      <c r="O118" s="76">
        <f t="shared" si="6"/>
        <v>0</v>
      </c>
      <c r="P118" s="76">
        <f t="shared" si="7"/>
        <v>0</v>
      </c>
      <c r="Q118" s="76">
        <f t="shared" si="8"/>
        <v>0</v>
      </c>
      <c r="R118" s="76">
        <f t="shared" si="9"/>
        <v>0</v>
      </c>
      <c r="S118" s="76" t="str">
        <f t="shared" si="10"/>
        <v/>
      </c>
      <c r="T118" s="76" t="str">
        <f t="shared" si="11"/>
        <v/>
      </c>
      <c r="U118" s="76" t="str">
        <f t="shared" si="12"/>
        <v/>
      </c>
      <c r="V118" s="76" t="str">
        <f t="shared" si="13"/>
        <v/>
      </c>
      <c r="W118" s="76" t="str">
        <f t="shared" si="14"/>
        <v/>
      </c>
      <c r="X118" s="76" t="str">
        <f t="shared" si="15"/>
        <v/>
      </c>
      <c r="Y118" s="76" t="str">
        <f t="shared" si="16"/>
        <v/>
      </c>
      <c r="Z118" s="76" t="str">
        <f t="shared" si="17"/>
        <v/>
      </c>
      <c r="AA118" s="76" t="str">
        <f t="shared" si="18"/>
        <v/>
      </c>
      <c r="AB118" s="76" t="str">
        <f t="shared" si="19"/>
        <v/>
      </c>
      <c r="AC118" s="76" t="str">
        <f t="shared" si="20"/>
        <v/>
      </c>
      <c r="AD118" s="76" t="str">
        <f t="shared" si="21"/>
        <v/>
      </c>
      <c r="AE118" s="76" t="str">
        <f t="shared" si="22"/>
        <v/>
      </c>
      <c r="AF118" s="76" t="str">
        <f t="shared" si="23"/>
        <v/>
      </c>
      <c r="AG118" s="76" t="str">
        <f t="shared" si="24"/>
        <v/>
      </c>
      <c r="AH118" s="76" t="str">
        <f t="shared" si="25"/>
        <v/>
      </c>
      <c r="AI118" s="76" t="str">
        <f t="shared" si="26"/>
        <v/>
      </c>
      <c r="AJ118" s="76" t="str">
        <f t="shared" si="27"/>
        <v/>
      </c>
      <c r="AK118" s="76" t="str">
        <f t="shared" si="28"/>
        <v/>
      </c>
      <c r="AL118" s="76" t="str">
        <f t="shared" si="29"/>
        <v/>
      </c>
      <c r="AM118" s="76" t="str">
        <f t="shared" si="30"/>
        <v/>
      </c>
      <c r="AN118" s="76" t="str">
        <f t="shared" si="31"/>
        <v/>
      </c>
      <c r="AO118" s="76" t="str">
        <f t="shared" si="32"/>
        <v/>
      </c>
      <c r="AP118" s="76" t="str">
        <f t="shared" si="33"/>
        <v/>
      </c>
    </row>
    <row r="119" ht="15.75" customHeight="1">
      <c r="A119" s="76" t="str">
        <f>IF('Manual Entry'!A91="","",'Manual Entry'!A91)</f>
        <v/>
      </c>
      <c r="B119" s="76" t="str">
        <f t="shared" si="3"/>
        <v/>
      </c>
      <c r="C119" s="76" t="str">
        <f t="shared" si="4"/>
        <v/>
      </c>
      <c r="D119" s="76" t="str">
        <f>'Manual Entry'!D91</f>
        <v/>
      </c>
      <c r="E119" s="76" t="str">
        <f>'Manual Entry'!B91</f>
        <v/>
      </c>
      <c r="F119" s="76" t="str">
        <f>'Manual Entry'!F91</f>
        <v/>
      </c>
      <c r="G119" s="76" t="str">
        <f>'Manual Entry'!G91</f>
        <v/>
      </c>
      <c r="H119" s="76" t="str">
        <f>'Manual Entry'!H91</f>
        <v/>
      </c>
      <c r="I119" s="78" t="str">
        <f>'Manual Entry'!I91</f>
        <v/>
      </c>
      <c r="J119" s="78" t="str">
        <f>'Manual Entry'!J91</f>
        <v/>
      </c>
      <c r="K119" s="78" t="str">
        <f>'Manual Entry'!K91</f>
        <v/>
      </c>
      <c r="L119" s="78" t="str">
        <f>'Manual Entry'!L91</f>
        <v/>
      </c>
      <c r="M119" s="78" t="str">
        <f>'Manual Entry'!M91</f>
        <v/>
      </c>
      <c r="N119" s="78" t="str">
        <f>'Manual Entry'!N91</f>
        <v/>
      </c>
      <c r="O119" s="76">
        <f t="shared" si="6"/>
        <v>0</v>
      </c>
      <c r="P119" s="76">
        <f t="shared" si="7"/>
        <v>0</v>
      </c>
      <c r="Q119" s="76">
        <f t="shared" si="8"/>
        <v>0</v>
      </c>
      <c r="R119" s="76">
        <f t="shared" si="9"/>
        <v>0</v>
      </c>
      <c r="S119" s="76" t="str">
        <f t="shared" si="10"/>
        <v/>
      </c>
      <c r="T119" s="76" t="str">
        <f t="shared" si="11"/>
        <v/>
      </c>
      <c r="U119" s="76" t="str">
        <f t="shared" si="12"/>
        <v/>
      </c>
      <c r="V119" s="76" t="str">
        <f t="shared" si="13"/>
        <v/>
      </c>
      <c r="W119" s="76" t="str">
        <f t="shared" si="14"/>
        <v/>
      </c>
      <c r="X119" s="76" t="str">
        <f t="shared" si="15"/>
        <v/>
      </c>
      <c r="Y119" s="76" t="str">
        <f t="shared" si="16"/>
        <v/>
      </c>
      <c r="Z119" s="76" t="str">
        <f t="shared" si="17"/>
        <v/>
      </c>
      <c r="AA119" s="76" t="str">
        <f t="shared" si="18"/>
        <v/>
      </c>
      <c r="AB119" s="76" t="str">
        <f t="shared" si="19"/>
        <v/>
      </c>
      <c r="AC119" s="76" t="str">
        <f t="shared" si="20"/>
        <v/>
      </c>
      <c r="AD119" s="76" t="str">
        <f t="shared" si="21"/>
        <v/>
      </c>
      <c r="AE119" s="76" t="str">
        <f t="shared" si="22"/>
        <v/>
      </c>
      <c r="AF119" s="76" t="str">
        <f t="shared" si="23"/>
        <v/>
      </c>
      <c r="AG119" s="76" t="str">
        <f t="shared" si="24"/>
        <v/>
      </c>
      <c r="AH119" s="76" t="str">
        <f t="shared" si="25"/>
        <v/>
      </c>
      <c r="AI119" s="76" t="str">
        <f t="shared" si="26"/>
        <v/>
      </c>
      <c r="AJ119" s="76" t="str">
        <f t="shared" si="27"/>
        <v/>
      </c>
      <c r="AK119" s="76" t="str">
        <f t="shared" si="28"/>
        <v/>
      </c>
      <c r="AL119" s="76" t="str">
        <f t="shared" si="29"/>
        <v/>
      </c>
      <c r="AM119" s="76" t="str">
        <f t="shared" si="30"/>
        <v/>
      </c>
      <c r="AN119" s="76" t="str">
        <f t="shared" si="31"/>
        <v/>
      </c>
      <c r="AO119" s="76" t="str">
        <f t="shared" si="32"/>
        <v/>
      </c>
      <c r="AP119" s="76" t="str">
        <f t="shared" si="33"/>
        <v/>
      </c>
    </row>
    <row r="120" ht="15.75" customHeight="1">
      <c r="A120" s="76" t="str">
        <f>IF('Manual Entry'!A92="","",'Manual Entry'!A92)</f>
        <v/>
      </c>
      <c r="B120" s="76" t="str">
        <f t="shared" si="3"/>
        <v/>
      </c>
      <c r="C120" s="76" t="str">
        <f t="shared" si="4"/>
        <v/>
      </c>
      <c r="D120" s="76" t="str">
        <f>'Manual Entry'!D92</f>
        <v/>
      </c>
      <c r="E120" s="76" t="str">
        <f>'Manual Entry'!B92</f>
        <v/>
      </c>
      <c r="F120" s="76" t="str">
        <f>'Manual Entry'!F92</f>
        <v/>
      </c>
      <c r="G120" s="76" t="str">
        <f>'Manual Entry'!G92</f>
        <v/>
      </c>
      <c r="H120" s="76" t="str">
        <f>'Manual Entry'!H92</f>
        <v/>
      </c>
      <c r="I120" s="78" t="str">
        <f>'Manual Entry'!I92</f>
        <v/>
      </c>
      <c r="J120" s="78" t="str">
        <f>'Manual Entry'!J92</f>
        <v/>
      </c>
      <c r="K120" s="78" t="str">
        <f>'Manual Entry'!K92</f>
        <v/>
      </c>
      <c r="L120" s="78" t="str">
        <f>'Manual Entry'!L92</f>
        <v/>
      </c>
      <c r="M120" s="78" t="str">
        <f>'Manual Entry'!M92</f>
        <v/>
      </c>
      <c r="N120" s="78" t="str">
        <f>'Manual Entry'!N92</f>
        <v/>
      </c>
      <c r="O120" s="76">
        <f t="shared" si="6"/>
        <v>0</v>
      </c>
      <c r="P120" s="76">
        <f t="shared" si="7"/>
        <v>0</v>
      </c>
      <c r="Q120" s="76">
        <f t="shared" si="8"/>
        <v>0</v>
      </c>
      <c r="R120" s="76">
        <f t="shared" si="9"/>
        <v>0</v>
      </c>
      <c r="S120" s="76" t="str">
        <f t="shared" si="10"/>
        <v/>
      </c>
      <c r="T120" s="76" t="str">
        <f t="shared" si="11"/>
        <v/>
      </c>
      <c r="U120" s="76" t="str">
        <f t="shared" si="12"/>
        <v/>
      </c>
      <c r="V120" s="76" t="str">
        <f t="shared" si="13"/>
        <v/>
      </c>
      <c r="W120" s="76" t="str">
        <f t="shared" si="14"/>
        <v/>
      </c>
      <c r="X120" s="76" t="str">
        <f t="shared" si="15"/>
        <v/>
      </c>
      <c r="Y120" s="76" t="str">
        <f t="shared" si="16"/>
        <v/>
      </c>
      <c r="Z120" s="76" t="str">
        <f t="shared" si="17"/>
        <v/>
      </c>
      <c r="AA120" s="76" t="str">
        <f t="shared" si="18"/>
        <v/>
      </c>
      <c r="AB120" s="76" t="str">
        <f t="shared" si="19"/>
        <v/>
      </c>
      <c r="AC120" s="76" t="str">
        <f t="shared" si="20"/>
        <v/>
      </c>
      <c r="AD120" s="76" t="str">
        <f t="shared" si="21"/>
        <v/>
      </c>
      <c r="AE120" s="76" t="str">
        <f t="shared" si="22"/>
        <v/>
      </c>
      <c r="AF120" s="76" t="str">
        <f t="shared" si="23"/>
        <v/>
      </c>
      <c r="AG120" s="76" t="str">
        <f t="shared" si="24"/>
        <v/>
      </c>
      <c r="AH120" s="76" t="str">
        <f t="shared" si="25"/>
        <v/>
      </c>
      <c r="AI120" s="76" t="str">
        <f t="shared" si="26"/>
        <v/>
      </c>
      <c r="AJ120" s="76" t="str">
        <f t="shared" si="27"/>
        <v/>
      </c>
      <c r="AK120" s="76" t="str">
        <f t="shared" si="28"/>
        <v/>
      </c>
      <c r="AL120" s="76" t="str">
        <f t="shared" si="29"/>
        <v/>
      </c>
      <c r="AM120" s="76" t="str">
        <f t="shared" si="30"/>
        <v/>
      </c>
      <c r="AN120" s="76" t="str">
        <f t="shared" si="31"/>
        <v/>
      </c>
      <c r="AO120" s="76" t="str">
        <f t="shared" si="32"/>
        <v/>
      </c>
      <c r="AP120" s="76" t="str">
        <f t="shared" si="33"/>
        <v/>
      </c>
    </row>
    <row r="121" ht="15.75" customHeight="1">
      <c r="A121" s="76" t="str">
        <f>IF('Manual Entry'!A93="","",'Manual Entry'!A93)</f>
        <v/>
      </c>
      <c r="B121" s="76" t="str">
        <f t="shared" si="3"/>
        <v/>
      </c>
      <c r="C121" s="76" t="str">
        <f t="shared" si="4"/>
        <v/>
      </c>
      <c r="D121" s="76" t="str">
        <f>'Manual Entry'!D93</f>
        <v/>
      </c>
      <c r="E121" s="76" t="str">
        <f>'Manual Entry'!B93</f>
        <v/>
      </c>
      <c r="F121" s="76" t="str">
        <f>'Manual Entry'!F93</f>
        <v/>
      </c>
      <c r="G121" s="76" t="str">
        <f>'Manual Entry'!G93</f>
        <v/>
      </c>
      <c r="H121" s="76" t="str">
        <f>'Manual Entry'!H93</f>
        <v/>
      </c>
      <c r="I121" s="78" t="str">
        <f>'Manual Entry'!I93</f>
        <v/>
      </c>
      <c r="J121" s="78" t="str">
        <f>'Manual Entry'!J93</f>
        <v/>
      </c>
      <c r="K121" s="78" t="str">
        <f>'Manual Entry'!K93</f>
        <v/>
      </c>
      <c r="L121" s="78" t="str">
        <f>'Manual Entry'!L93</f>
        <v/>
      </c>
      <c r="M121" s="78" t="str">
        <f>'Manual Entry'!M93</f>
        <v/>
      </c>
      <c r="N121" s="78" t="str">
        <f>'Manual Entry'!N93</f>
        <v/>
      </c>
      <c r="O121" s="76">
        <f t="shared" si="6"/>
        <v>0</v>
      </c>
      <c r="P121" s="76">
        <f t="shared" si="7"/>
        <v>0</v>
      </c>
      <c r="Q121" s="76">
        <f t="shared" si="8"/>
        <v>0</v>
      </c>
      <c r="R121" s="76">
        <f t="shared" si="9"/>
        <v>0</v>
      </c>
      <c r="S121" s="76" t="str">
        <f t="shared" si="10"/>
        <v/>
      </c>
      <c r="T121" s="76" t="str">
        <f t="shared" si="11"/>
        <v/>
      </c>
      <c r="U121" s="76" t="str">
        <f t="shared" si="12"/>
        <v/>
      </c>
      <c r="V121" s="76" t="str">
        <f t="shared" si="13"/>
        <v/>
      </c>
      <c r="W121" s="76" t="str">
        <f t="shared" si="14"/>
        <v/>
      </c>
      <c r="X121" s="76" t="str">
        <f t="shared" si="15"/>
        <v/>
      </c>
      <c r="Y121" s="76" t="str">
        <f t="shared" si="16"/>
        <v/>
      </c>
      <c r="Z121" s="76" t="str">
        <f t="shared" si="17"/>
        <v/>
      </c>
      <c r="AA121" s="76" t="str">
        <f t="shared" si="18"/>
        <v/>
      </c>
      <c r="AB121" s="76" t="str">
        <f t="shared" si="19"/>
        <v/>
      </c>
      <c r="AC121" s="76" t="str">
        <f t="shared" si="20"/>
        <v/>
      </c>
      <c r="AD121" s="76" t="str">
        <f t="shared" si="21"/>
        <v/>
      </c>
      <c r="AE121" s="76" t="str">
        <f t="shared" si="22"/>
        <v/>
      </c>
      <c r="AF121" s="76" t="str">
        <f t="shared" si="23"/>
        <v/>
      </c>
      <c r="AG121" s="76" t="str">
        <f t="shared" si="24"/>
        <v/>
      </c>
      <c r="AH121" s="76" t="str">
        <f t="shared" si="25"/>
        <v/>
      </c>
      <c r="AI121" s="76" t="str">
        <f t="shared" si="26"/>
        <v/>
      </c>
      <c r="AJ121" s="76" t="str">
        <f t="shared" si="27"/>
        <v/>
      </c>
      <c r="AK121" s="76" t="str">
        <f t="shared" si="28"/>
        <v/>
      </c>
      <c r="AL121" s="76" t="str">
        <f t="shared" si="29"/>
        <v/>
      </c>
      <c r="AM121" s="76" t="str">
        <f t="shared" si="30"/>
        <v/>
      </c>
      <c r="AN121" s="76" t="str">
        <f t="shared" si="31"/>
        <v/>
      </c>
      <c r="AO121" s="76" t="str">
        <f t="shared" si="32"/>
        <v/>
      </c>
      <c r="AP121" s="76" t="str">
        <f t="shared" si="33"/>
        <v/>
      </c>
    </row>
    <row r="122" ht="15.75" customHeight="1">
      <c r="A122" s="76" t="str">
        <f>IF('Manual Entry'!A94="","",'Manual Entry'!A94)</f>
        <v/>
      </c>
      <c r="B122" s="76" t="str">
        <f t="shared" si="3"/>
        <v/>
      </c>
      <c r="C122" s="76" t="str">
        <f t="shared" si="4"/>
        <v/>
      </c>
      <c r="D122" s="76" t="str">
        <f>'Manual Entry'!D94</f>
        <v/>
      </c>
      <c r="E122" s="76" t="str">
        <f>'Manual Entry'!B94</f>
        <v/>
      </c>
      <c r="F122" s="76" t="str">
        <f>'Manual Entry'!F94</f>
        <v/>
      </c>
      <c r="G122" s="76" t="str">
        <f>'Manual Entry'!G94</f>
        <v/>
      </c>
      <c r="H122" s="76" t="str">
        <f>'Manual Entry'!H94</f>
        <v/>
      </c>
      <c r="I122" s="78" t="str">
        <f>'Manual Entry'!I94</f>
        <v/>
      </c>
      <c r="J122" s="78" t="str">
        <f>'Manual Entry'!J94</f>
        <v/>
      </c>
      <c r="K122" s="78" t="str">
        <f>'Manual Entry'!K94</f>
        <v/>
      </c>
      <c r="L122" s="78" t="str">
        <f>'Manual Entry'!L94</f>
        <v/>
      </c>
      <c r="M122" s="78" t="str">
        <f>'Manual Entry'!M94</f>
        <v/>
      </c>
      <c r="N122" s="78" t="str">
        <f>'Manual Entry'!N94</f>
        <v/>
      </c>
      <c r="O122" s="76">
        <f t="shared" si="6"/>
        <v>0</v>
      </c>
      <c r="P122" s="76">
        <f t="shared" si="7"/>
        <v>0</v>
      </c>
      <c r="Q122" s="76">
        <f t="shared" si="8"/>
        <v>0</v>
      </c>
      <c r="R122" s="76">
        <f t="shared" si="9"/>
        <v>0</v>
      </c>
      <c r="S122" s="76" t="str">
        <f t="shared" si="10"/>
        <v/>
      </c>
      <c r="T122" s="76" t="str">
        <f t="shared" si="11"/>
        <v/>
      </c>
      <c r="U122" s="76" t="str">
        <f t="shared" si="12"/>
        <v/>
      </c>
      <c r="V122" s="76" t="str">
        <f t="shared" si="13"/>
        <v/>
      </c>
      <c r="W122" s="76" t="str">
        <f t="shared" si="14"/>
        <v/>
      </c>
      <c r="X122" s="76" t="str">
        <f t="shared" si="15"/>
        <v/>
      </c>
      <c r="Y122" s="76" t="str">
        <f t="shared" si="16"/>
        <v/>
      </c>
      <c r="Z122" s="76" t="str">
        <f t="shared" si="17"/>
        <v/>
      </c>
      <c r="AA122" s="76" t="str">
        <f t="shared" si="18"/>
        <v/>
      </c>
      <c r="AB122" s="76" t="str">
        <f t="shared" si="19"/>
        <v/>
      </c>
      <c r="AC122" s="76" t="str">
        <f t="shared" si="20"/>
        <v/>
      </c>
      <c r="AD122" s="76" t="str">
        <f t="shared" si="21"/>
        <v/>
      </c>
      <c r="AE122" s="76" t="str">
        <f t="shared" si="22"/>
        <v/>
      </c>
      <c r="AF122" s="76" t="str">
        <f t="shared" si="23"/>
        <v/>
      </c>
      <c r="AG122" s="76" t="str">
        <f t="shared" si="24"/>
        <v/>
      </c>
      <c r="AH122" s="76" t="str">
        <f t="shared" si="25"/>
        <v/>
      </c>
      <c r="AI122" s="76" t="str">
        <f t="shared" si="26"/>
        <v/>
      </c>
      <c r="AJ122" s="76" t="str">
        <f t="shared" si="27"/>
        <v/>
      </c>
      <c r="AK122" s="76" t="str">
        <f t="shared" si="28"/>
        <v/>
      </c>
      <c r="AL122" s="76" t="str">
        <f t="shared" si="29"/>
        <v/>
      </c>
      <c r="AM122" s="76" t="str">
        <f t="shared" si="30"/>
        <v/>
      </c>
      <c r="AN122" s="76" t="str">
        <f t="shared" si="31"/>
        <v/>
      </c>
      <c r="AO122" s="76" t="str">
        <f t="shared" si="32"/>
        <v/>
      </c>
      <c r="AP122" s="76" t="str">
        <f t="shared" si="33"/>
        <v/>
      </c>
    </row>
    <row r="123" ht="15.75" customHeight="1">
      <c r="A123" s="76" t="str">
        <f>IF('Manual Entry'!A95="","",'Manual Entry'!A95)</f>
        <v/>
      </c>
      <c r="B123" s="76" t="str">
        <f t="shared" si="3"/>
        <v/>
      </c>
      <c r="C123" s="76" t="str">
        <f t="shared" si="4"/>
        <v/>
      </c>
      <c r="D123" s="76" t="str">
        <f>'Manual Entry'!D95</f>
        <v/>
      </c>
      <c r="E123" s="76" t="str">
        <f>'Manual Entry'!B95</f>
        <v/>
      </c>
      <c r="F123" s="76" t="str">
        <f>'Manual Entry'!F95</f>
        <v/>
      </c>
      <c r="G123" s="76" t="str">
        <f>'Manual Entry'!G95</f>
        <v/>
      </c>
      <c r="H123" s="76" t="str">
        <f>'Manual Entry'!H95</f>
        <v/>
      </c>
      <c r="I123" s="78" t="str">
        <f>'Manual Entry'!I95</f>
        <v/>
      </c>
      <c r="J123" s="78" t="str">
        <f>'Manual Entry'!J95</f>
        <v/>
      </c>
      <c r="K123" s="78" t="str">
        <f>'Manual Entry'!K95</f>
        <v/>
      </c>
      <c r="L123" s="78" t="str">
        <f>'Manual Entry'!L95</f>
        <v/>
      </c>
      <c r="M123" s="78" t="str">
        <f>'Manual Entry'!M95</f>
        <v/>
      </c>
      <c r="N123" s="78" t="str">
        <f>'Manual Entry'!N95</f>
        <v/>
      </c>
      <c r="O123" s="76">
        <f t="shared" si="6"/>
        <v>0</v>
      </c>
      <c r="P123" s="76">
        <f t="shared" si="7"/>
        <v>0</v>
      </c>
      <c r="Q123" s="76">
        <f t="shared" si="8"/>
        <v>0</v>
      </c>
      <c r="R123" s="76">
        <f t="shared" si="9"/>
        <v>0</v>
      </c>
      <c r="S123" s="76" t="str">
        <f t="shared" si="10"/>
        <v/>
      </c>
      <c r="T123" s="76" t="str">
        <f t="shared" si="11"/>
        <v/>
      </c>
      <c r="U123" s="76" t="str">
        <f t="shared" si="12"/>
        <v/>
      </c>
      <c r="V123" s="76" t="str">
        <f t="shared" si="13"/>
        <v/>
      </c>
      <c r="W123" s="76" t="str">
        <f t="shared" si="14"/>
        <v/>
      </c>
      <c r="X123" s="76" t="str">
        <f t="shared" si="15"/>
        <v/>
      </c>
      <c r="Y123" s="76" t="str">
        <f t="shared" si="16"/>
        <v/>
      </c>
      <c r="Z123" s="76" t="str">
        <f t="shared" si="17"/>
        <v/>
      </c>
      <c r="AA123" s="76" t="str">
        <f t="shared" si="18"/>
        <v/>
      </c>
      <c r="AB123" s="76" t="str">
        <f t="shared" si="19"/>
        <v/>
      </c>
      <c r="AC123" s="76" t="str">
        <f t="shared" si="20"/>
        <v/>
      </c>
      <c r="AD123" s="76" t="str">
        <f t="shared" si="21"/>
        <v/>
      </c>
      <c r="AE123" s="76" t="str">
        <f t="shared" si="22"/>
        <v/>
      </c>
      <c r="AF123" s="76" t="str">
        <f t="shared" si="23"/>
        <v/>
      </c>
      <c r="AG123" s="76" t="str">
        <f t="shared" si="24"/>
        <v/>
      </c>
      <c r="AH123" s="76" t="str">
        <f t="shared" si="25"/>
        <v/>
      </c>
      <c r="AI123" s="76" t="str">
        <f t="shared" si="26"/>
        <v/>
      </c>
      <c r="AJ123" s="76" t="str">
        <f t="shared" si="27"/>
        <v/>
      </c>
      <c r="AK123" s="76" t="str">
        <f t="shared" si="28"/>
        <v/>
      </c>
      <c r="AL123" s="76" t="str">
        <f t="shared" si="29"/>
        <v/>
      </c>
      <c r="AM123" s="76" t="str">
        <f t="shared" si="30"/>
        <v/>
      </c>
      <c r="AN123" s="76" t="str">
        <f t="shared" si="31"/>
        <v/>
      </c>
      <c r="AO123" s="76" t="str">
        <f t="shared" si="32"/>
        <v/>
      </c>
      <c r="AP123" s="76" t="str">
        <f t="shared" si="33"/>
        <v/>
      </c>
    </row>
    <row r="124" ht="15.75" customHeight="1">
      <c r="A124" s="76" t="str">
        <f>IF('Manual Entry'!A96="","",'Manual Entry'!A96)</f>
        <v/>
      </c>
      <c r="B124" s="76" t="str">
        <f t="shared" si="3"/>
        <v/>
      </c>
      <c r="C124" s="76" t="str">
        <f t="shared" si="4"/>
        <v/>
      </c>
      <c r="D124" s="76" t="str">
        <f>'Manual Entry'!D96</f>
        <v/>
      </c>
      <c r="E124" s="76" t="str">
        <f>'Manual Entry'!B96</f>
        <v/>
      </c>
      <c r="F124" s="76" t="str">
        <f>'Manual Entry'!F96</f>
        <v/>
      </c>
      <c r="G124" s="76" t="str">
        <f>'Manual Entry'!G96</f>
        <v/>
      </c>
      <c r="H124" s="76" t="str">
        <f>'Manual Entry'!H96</f>
        <v/>
      </c>
      <c r="I124" s="78" t="str">
        <f>'Manual Entry'!I96</f>
        <v/>
      </c>
      <c r="J124" s="78" t="str">
        <f>'Manual Entry'!J96</f>
        <v/>
      </c>
      <c r="K124" s="78" t="str">
        <f>'Manual Entry'!K96</f>
        <v/>
      </c>
      <c r="L124" s="78" t="str">
        <f>'Manual Entry'!L96</f>
        <v/>
      </c>
      <c r="M124" s="78" t="str">
        <f>'Manual Entry'!M96</f>
        <v/>
      </c>
      <c r="N124" s="78" t="str">
        <f>'Manual Entry'!N96</f>
        <v/>
      </c>
      <c r="O124" s="76">
        <f t="shared" si="6"/>
        <v>0</v>
      </c>
      <c r="P124" s="76">
        <f t="shared" si="7"/>
        <v>0</v>
      </c>
      <c r="Q124" s="76">
        <f t="shared" si="8"/>
        <v>0</v>
      </c>
      <c r="R124" s="76">
        <f t="shared" si="9"/>
        <v>0</v>
      </c>
      <c r="S124" s="76" t="str">
        <f t="shared" si="10"/>
        <v/>
      </c>
      <c r="T124" s="76" t="str">
        <f t="shared" si="11"/>
        <v/>
      </c>
      <c r="U124" s="76" t="str">
        <f t="shared" si="12"/>
        <v/>
      </c>
      <c r="V124" s="76" t="str">
        <f t="shared" si="13"/>
        <v/>
      </c>
      <c r="W124" s="76" t="str">
        <f t="shared" si="14"/>
        <v/>
      </c>
      <c r="X124" s="76" t="str">
        <f t="shared" si="15"/>
        <v/>
      </c>
      <c r="Y124" s="76" t="str">
        <f t="shared" si="16"/>
        <v/>
      </c>
      <c r="Z124" s="76" t="str">
        <f t="shared" si="17"/>
        <v/>
      </c>
      <c r="AA124" s="76" t="str">
        <f t="shared" si="18"/>
        <v/>
      </c>
      <c r="AB124" s="76" t="str">
        <f t="shared" si="19"/>
        <v/>
      </c>
      <c r="AC124" s="76" t="str">
        <f t="shared" si="20"/>
        <v/>
      </c>
      <c r="AD124" s="76" t="str">
        <f t="shared" si="21"/>
        <v/>
      </c>
      <c r="AE124" s="76" t="str">
        <f t="shared" si="22"/>
        <v/>
      </c>
      <c r="AF124" s="76" t="str">
        <f t="shared" si="23"/>
        <v/>
      </c>
      <c r="AG124" s="76" t="str">
        <f t="shared" si="24"/>
        <v/>
      </c>
      <c r="AH124" s="76" t="str">
        <f t="shared" si="25"/>
        <v/>
      </c>
      <c r="AI124" s="76" t="str">
        <f t="shared" si="26"/>
        <v/>
      </c>
      <c r="AJ124" s="76" t="str">
        <f t="shared" si="27"/>
        <v/>
      </c>
      <c r="AK124" s="76" t="str">
        <f t="shared" si="28"/>
        <v/>
      </c>
      <c r="AL124" s="76" t="str">
        <f t="shared" si="29"/>
        <v/>
      </c>
      <c r="AM124" s="76" t="str">
        <f t="shared" si="30"/>
        <v/>
      </c>
      <c r="AN124" s="76" t="str">
        <f t="shared" si="31"/>
        <v/>
      </c>
      <c r="AO124" s="76" t="str">
        <f t="shared" si="32"/>
        <v/>
      </c>
      <c r="AP124" s="76" t="str">
        <f t="shared" si="33"/>
        <v/>
      </c>
    </row>
    <row r="125" ht="15.75" customHeight="1">
      <c r="A125" s="76" t="str">
        <f>IF('Manual Entry'!A97="","",'Manual Entry'!A97)</f>
        <v/>
      </c>
      <c r="B125" s="76" t="str">
        <f t="shared" si="3"/>
        <v/>
      </c>
      <c r="C125" s="76" t="str">
        <f t="shared" si="4"/>
        <v/>
      </c>
      <c r="D125" s="76" t="str">
        <f>'Manual Entry'!D97</f>
        <v/>
      </c>
      <c r="E125" s="76" t="str">
        <f>'Manual Entry'!B97</f>
        <v/>
      </c>
      <c r="F125" s="76" t="str">
        <f>'Manual Entry'!F97</f>
        <v/>
      </c>
      <c r="G125" s="76" t="str">
        <f>'Manual Entry'!G97</f>
        <v/>
      </c>
      <c r="H125" s="76" t="str">
        <f>'Manual Entry'!H97</f>
        <v/>
      </c>
      <c r="I125" s="78" t="str">
        <f>'Manual Entry'!I97</f>
        <v/>
      </c>
      <c r="J125" s="78" t="str">
        <f>'Manual Entry'!J97</f>
        <v/>
      </c>
      <c r="K125" s="78" t="str">
        <f>'Manual Entry'!K97</f>
        <v/>
      </c>
      <c r="L125" s="78" t="str">
        <f>'Manual Entry'!L97</f>
        <v/>
      </c>
      <c r="M125" s="78" t="str">
        <f>'Manual Entry'!M97</f>
        <v/>
      </c>
      <c r="N125" s="78" t="str">
        <f>'Manual Entry'!N97</f>
        <v/>
      </c>
      <c r="O125" s="76">
        <f t="shared" si="6"/>
        <v>0</v>
      </c>
      <c r="P125" s="76">
        <f t="shared" si="7"/>
        <v>0</v>
      </c>
      <c r="Q125" s="76">
        <f t="shared" si="8"/>
        <v>0</v>
      </c>
      <c r="R125" s="76">
        <f t="shared" si="9"/>
        <v>0</v>
      </c>
      <c r="S125" s="76" t="str">
        <f t="shared" si="10"/>
        <v/>
      </c>
      <c r="T125" s="76" t="str">
        <f t="shared" si="11"/>
        <v/>
      </c>
      <c r="U125" s="76" t="str">
        <f t="shared" si="12"/>
        <v/>
      </c>
      <c r="V125" s="76" t="str">
        <f t="shared" si="13"/>
        <v/>
      </c>
      <c r="W125" s="76" t="str">
        <f t="shared" si="14"/>
        <v/>
      </c>
      <c r="X125" s="76" t="str">
        <f t="shared" si="15"/>
        <v/>
      </c>
      <c r="Y125" s="76" t="str">
        <f t="shared" si="16"/>
        <v/>
      </c>
      <c r="Z125" s="76" t="str">
        <f t="shared" si="17"/>
        <v/>
      </c>
      <c r="AA125" s="76" t="str">
        <f t="shared" si="18"/>
        <v/>
      </c>
      <c r="AB125" s="76" t="str">
        <f t="shared" si="19"/>
        <v/>
      </c>
      <c r="AC125" s="76" t="str">
        <f t="shared" si="20"/>
        <v/>
      </c>
      <c r="AD125" s="76" t="str">
        <f t="shared" si="21"/>
        <v/>
      </c>
      <c r="AE125" s="76" t="str">
        <f t="shared" si="22"/>
        <v/>
      </c>
      <c r="AF125" s="76" t="str">
        <f t="shared" si="23"/>
        <v/>
      </c>
      <c r="AG125" s="76" t="str">
        <f t="shared" si="24"/>
        <v/>
      </c>
      <c r="AH125" s="76" t="str">
        <f t="shared" si="25"/>
        <v/>
      </c>
      <c r="AI125" s="76" t="str">
        <f t="shared" si="26"/>
        <v/>
      </c>
      <c r="AJ125" s="76" t="str">
        <f t="shared" si="27"/>
        <v/>
      </c>
      <c r="AK125" s="76" t="str">
        <f t="shared" si="28"/>
        <v/>
      </c>
      <c r="AL125" s="76" t="str">
        <f t="shared" si="29"/>
        <v/>
      </c>
      <c r="AM125" s="76" t="str">
        <f t="shared" si="30"/>
        <v/>
      </c>
      <c r="AN125" s="76" t="str">
        <f t="shared" si="31"/>
        <v/>
      </c>
      <c r="AO125" s="76" t="str">
        <f t="shared" si="32"/>
        <v/>
      </c>
      <c r="AP125" s="76" t="str">
        <f t="shared" si="33"/>
        <v/>
      </c>
    </row>
    <row r="126" ht="15.75" customHeight="1">
      <c r="A126" s="76" t="str">
        <f>IF('Manual Entry'!A98="","",'Manual Entry'!A98)</f>
        <v/>
      </c>
      <c r="B126" s="76" t="str">
        <f t="shared" si="3"/>
        <v/>
      </c>
      <c r="C126" s="76" t="str">
        <f t="shared" si="4"/>
        <v/>
      </c>
      <c r="D126" s="76" t="str">
        <f>'Manual Entry'!D98</f>
        <v/>
      </c>
      <c r="E126" s="76" t="str">
        <f>'Manual Entry'!B98</f>
        <v/>
      </c>
      <c r="F126" s="76" t="str">
        <f>'Manual Entry'!F98</f>
        <v/>
      </c>
      <c r="G126" s="76" t="str">
        <f>'Manual Entry'!G98</f>
        <v/>
      </c>
      <c r="H126" s="76" t="str">
        <f>'Manual Entry'!H98</f>
        <v/>
      </c>
      <c r="I126" s="78" t="str">
        <f>'Manual Entry'!I98</f>
        <v/>
      </c>
      <c r="J126" s="78" t="str">
        <f>'Manual Entry'!J98</f>
        <v/>
      </c>
      <c r="K126" s="78" t="str">
        <f>'Manual Entry'!K98</f>
        <v/>
      </c>
      <c r="L126" s="78" t="str">
        <f>'Manual Entry'!L98</f>
        <v/>
      </c>
      <c r="M126" s="78" t="str">
        <f>'Manual Entry'!M98</f>
        <v/>
      </c>
      <c r="N126" s="78" t="str">
        <f>'Manual Entry'!N98</f>
        <v/>
      </c>
      <c r="O126" s="76">
        <f t="shared" si="6"/>
        <v>0</v>
      </c>
      <c r="P126" s="76">
        <f t="shared" si="7"/>
        <v>0</v>
      </c>
      <c r="Q126" s="76">
        <f t="shared" si="8"/>
        <v>0</v>
      </c>
      <c r="R126" s="76">
        <f t="shared" si="9"/>
        <v>0</v>
      </c>
      <c r="S126" s="76" t="str">
        <f t="shared" si="10"/>
        <v/>
      </c>
      <c r="T126" s="76" t="str">
        <f t="shared" si="11"/>
        <v/>
      </c>
      <c r="U126" s="76" t="str">
        <f t="shared" si="12"/>
        <v/>
      </c>
      <c r="V126" s="76" t="str">
        <f t="shared" si="13"/>
        <v/>
      </c>
      <c r="W126" s="76" t="str">
        <f t="shared" si="14"/>
        <v/>
      </c>
      <c r="X126" s="76" t="str">
        <f t="shared" si="15"/>
        <v/>
      </c>
      <c r="Y126" s="76" t="str">
        <f t="shared" si="16"/>
        <v/>
      </c>
      <c r="Z126" s="76" t="str">
        <f t="shared" si="17"/>
        <v/>
      </c>
      <c r="AA126" s="76" t="str">
        <f t="shared" si="18"/>
        <v/>
      </c>
      <c r="AB126" s="76" t="str">
        <f t="shared" si="19"/>
        <v/>
      </c>
      <c r="AC126" s="76" t="str">
        <f t="shared" si="20"/>
        <v/>
      </c>
      <c r="AD126" s="76" t="str">
        <f t="shared" si="21"/>
        <v/>
      </c>
      <c r="AE126" s="76" t="str">
        <f t="shared" si="22"/>
        <v/>
      </c>
      <c r="AF126" s="76" t="str">
        <f t="shared" si="23"/>
        <v/>
      </c>
      <c r="AG126" s="76" t="str">
        <f t="shared" si="24"/>
        <v/>
      </c>
      <c r="AH126" s="76" t="str">
        <f t="shared" si="25"/>
        <v/>
      </c>
      <c r="AI126" s="76" t="str">
        <f t="shared" si="26"/>
        <v/>
      </c>
      <c r="AJ126" s="76" t="str">
        <f t="shared" si="27"/>
        <v/>
      </c>
      <c r="AK126" s="76" t="str">
        <f t="shared" si="28"/>
        <v/>
      </c>
      <c r="AL126" s="76" t="str">
        <f t="shared" si="29"/>
        <v/>
      </c>
      <c r="AM126" s="76" t="str">
        <f t="shared" si="30"/>
        <v/>
      </c>
      <c r="AN126" s="76" t="str">
        <f t="shared" si="31"/>
        <v/>
      </c>
      <c r="AO126" s="76" t="str">
        <f t="shared" si="32"/>
        <v/>
      </c>
      <c r="AP126" s="76" t="str">
        <f t="shared" si="33"/>
        <v/>
      </c>
    </row>
    <row r="127" ht="15.75" customHeight="1">
      <c r="A127" s="76" t="str">
        <f>IF('Manual Entry'!A99="","",'Manual Entry'!A99)</f>
        <v/>
      </c>
      <c r="B127" s="76" t="str">
        <f t="shared" si="3"/>
        <v/>
      </c>
      <c r="C127" s="76" t="str">
        <f t="shared" si="4"/>
        <v/>
      </c>
      <c r="D127" s="76" t="str">
        <f>'Manual Entry'!D99</f>
        <v/>
      </c>
      <c r="E127" s="76" t="str">
        <f>'Manual Entry'!B99</f>
        <v/>
      </c>
      <c r="F127" s="76" t="str">
        <f>'Manual Entry'!F99</f>
        <v/>
      </c>
      <c r="G127" s="76" t="str">
        <f>'Manual Entry'!G99</f>
        <v/>
      </c>
      <c r="H127" s="76" t="str">
        <f>'Manual Entry'!H99</f>
        <v/>
      </c>
      <c r="I127" s="78" t="str">
        <f>'Manual Entry'!I99</f>
        <v/>
      </c>
      <c r="J127" s="78" t="str">
        <f>'Manual Entry'!J99</f>
        <v/>
      </c>
      <c r="K127" s="78" t="str">
        <f>'Manual Entry'!K99</f>
        <v/>
      </c>
      <c r="L127" s="78" t="str">
        <f>'Manual Entry'!L99</f>
        <v/>
      </c>
      <c r="M127" s="78" t="str">
        <f>'Manual Entry'!M99</f>
        <v/>
      </c>
      <c r="N127" s="78" t="str">
        <f>'Manual Entry'!N99</f>
        <v/>
      </c>
      <c r="O127" s="76">
        <f t="shared" si="6"/>
        <v>0</v>
      </c>
      <c r="P127" s="76">
        <f t="shared" si="7"/>
        <v>0</v>
      </c>
      <c r="Q127" s="76">
        <f t="shared" si="8"/>
        <v>0</v>
      </c>
      <c r="R127" s="76">
        <f t="shared" si="9"/>
        <v>0</v>
      </c>
      <c r="S127" s="76" t="str">
        <f t="shared" si="10"/>
        <v/>
      </c>
      <c r="T127" s="76" t="str">
        <f t="shared" si="11"/>
        <v/>
      </c>
      <c r="U127" s="76" t="str">
        <f t="shared" si="12"/>
        <v/>
      </c>
      <c r="V127" s="76" t="str">
        <f t="shared" si="13"/>
        <v/>
      </c>
      <c r="W127" s="76" t="str">
        <f t="shared" si="14"/>
        <v/>
      </c>
      <c r="X127" s="76" t="str">
        <f t="shared" si="15"/>
        <v/>
      </c>
      <c r="Y127" s="76" t="str">
        <f t="shared" si="16"/>
        <v/>
      </c>
      <c r="Z127" s="76" t="str">
        <f t="shared" si="17"/>
        <v/>
      </c>
      <c r="AA127" s="76" t="str">
        <f t="shared" si="18"/>
        <v/>
      </c>
      <c r="AB127" s="76" t="str">
        <f t="shared" si="19"/>
        <v/>
      </c>
      <c r="AC127" s="76" t="str">
        <f t="shared" si="20"/>
        <v/>
      </c>
      <c r="AD127" s="76" t="str">
        <f t="shared" si="21"/>
        <v/>
      </c>
      <c r="AE127" s="76" t="str">
        <f t="shared" si="22"/>
        <v/>
      </c>
      <c r="AF127" s="76" t="str">
        <f t="shared" si="23"/>
        <v/>
      </c>
      <c r="AG127" s="76" t="str">
        <f t="shared" si="24"/>
        <v/>
      </c>
      <c r="AH127" s="76" t="str">
        <f t="shared" si="25"/>
        <v/>
      </c>
      <c r="AI127" s="76" t="str">
        <f t="shared" si="26"/>
        <v/>
      </c>
      <c r="AJ127" s="76" t="str">
        <f t="shared" si="27"/>
        <v/>
      </c>
      <c r="AK127" s="76" t="str">
        <f t="shared" si="28"/>
        <v/>
      </c>
      <c r="AL127" s="76" t="str">
        <f t="shared" si="29"/>
        <v/>
      </c>
      <c r="AM127" s="76" t="str">
        <f t="shared" si="30"/>
        <v/>
      </c>
      <c r="AN127" s="76" t="str">
        <f t="shared" si="31"/>
        <v/>
      </c>
      <c r="AO127" s="76" t="str">
        <f t="shared" si="32"/>
        <v/>
      </c>
      <c r="AP127" s="76" t="str">
        <f t="shared" si="33"/>
        <v/>
      </c>
    </row>
    <row r="128" ht="15.75" customHeight="1">
      <c r="A128" s="76" t="str">
        <f>IF('Manual Entry'!A100="","",'Manual Entry'!A100)</f>
        <v/>
      </c>
      <c r="B128" s="76" t="str">
        <f t="shared" si="3"/>
        <v/>
      </c>
      <c r="C128" s="76" t="str">
        <f t="shared" si="4"/>
        <v/>
      </c>
      <c r="D128" s="76" t="str">
        <f>'Manual Entry'!D100</f>
        <v/>
      </c>
      <c r="E128" s="76" t="str">
        <f>'Manual Entry'!B100</f>
        <v/>
      </c>
      <c r="F128" s="76" t="str">
        <f>'Manual Entry'!F100</f>
        <v/>
      </c>
      <c r="G128" s="76" t="str">
        <f>'Manual Entry'!G100</f>
        <v/>
      </c>
      <c r="H128" s="76" t="str">
        <f>'Manual Entry'!H100</f>
        <v/>
      </c>
      <c r="I128" s="78" t="str">
        <f>'Manual Entry'!I100</f>
        <v/>
      </c>
      <c r="J128" s="78" t="str">
        <f>'Manual Entry'!J100</f>
        <v/>
      </c>
      <c r="K128" s="78" t="str">
        <f>'Manual Entry'!K100</f>
        <v/>
      </c>
      <c r="L128" s="78" t="str">
        <f>'Manual Entry'!L100</f>
        <v/>
      </c>
      <c r="M128" s="78" t="str">
        <f>'Manual Entry'!M100</f>
        <v/>
      </c>
      <c r="N128" s="78" t="str">
        <f>'Manual Entry'!N100</f>
        <v/>
      </c>
      <c r="O128" s="76">
        <f t="shared" si="6"/>
        <v>0</v>
      </c>
      <c r="P128" s="76">
        <f t="shared" si="7"/>
        <v>0</v>
      </c>
      <c r="Q128" s="76">
        <f t="shared" si="8"/>
        <v>0</v>
      </c>
      <c r="R128" s="76">
        <f t="shared" si="9"/>
        <v>0</v>
      </c>
      <c r="S128" s="76" t="str">
        <f t="shared" si="10"/>
        <v/>
      </c>
      <c r="T128" s="76" t="str">
        <f t="shared" si="11"/>
        <v/>
      </c>
      <c r="U128" s="76" t="str">
        <f t="shared" si="12"/>
        <v/>
      </c>
      <c r="V128" s="76" t="str">
        <f t="shared" si="13"/>
        <v/>
      </c>
      <c r="W128" s="76" t="str">
        <f t="shared" si="14"/>
        <v/>
      </c>
      <c r="X128" s="76" t="str">
        <f t="shared" si="15"/>
        <v/>
      </c>
      <c r="Y128" s="76" t="str">
        <f t="shared" si="16"/>
        <v/>
      </c>
      <c r="Z128" s="76" t="str">
        <f t="shared" si="17"/>
        <v/>
      </c>
      <c r="AA128" s="76" t="str">
        <f t="shared" si="18"/>
        <v/>
      </c>
      <c r="AB128" s="76" t="str">
        <f t="shared" si="19"/>
        <v/>
      </c>
      <c r="AC128" s="76" t="str">
        <f t="shared" si="20"/>
        <v/>
      </c>
      <c r="AD128" s="76" t="str">
        <f t="shared" si="21"/>
        <v/>
      </c>
      <c r="AE128" s="76" t="str">
        <f t="shared" si="22"/>
        <v/>
      </c>
      <c r="AF128" s="76" t="str">
        <f t="shared" si="23"/>
        <v/>
      </c>
      <c r="AG128" s="76" t="str">
        <f t="shared" si="24"/>
        <v/>
      </c>
      <c r="AH128" s="76" t="str">
        <f t="shared" si="25"/>
        <v/>
      </c>
      <c r="AI128" s="76" t="str">
        <f t="shared" si="26"/>
        <v/>
      </c>
      <c r="AJ128" s="76" t="str">
        <f t="shared" si="27"/>
        <v/>
      </c>
      <c r="AK128" s="76" t="str">
        <f t="shared" si="28"/>
        <v/>
      </c>
      <c r="AL128" s="76" t="str">
        <f t="shared" si="29"/>
        <v/>
      </c>
      <c r="AM128" s="76" t="str">
        <f t="shared" si="30"/>
        <v/>
      </c>
      <c r="AN128" s="76" t="str">
        <f t="shared" si="31"/>
        <v/>
      </c>
      <c r="AO128" s="76" t="str">
        <f t="shared" si="32"/>
        <v/>
      </c>
      <c r="AP128" s="76" t="str">
        <f t="shared" si="33"/>
        <v/>
      </c>
    </row>
    <row r="129" ht="15.75" customHeight="1">
      <c r="A129" s="76" t="str">
        <f>IF('Manual Entry'!A101="","",'Manual Entry'!A101)</f>
        <v/>
      </c>
      <c r="B129" s="76" t="str">
        <f t="shared" si="3"/>
        <v/>
      </c>
      <c r="C129" s="76" t="str">
        <f t="shared" si="4"/>
        <v/>
      </c>
      <c r="D129" s="76" t="str">
        <f>'Manual Entry'!D101</f>
        <v/>
      </c>
      <c r="E129" s="76" t="str">
        <f>'Manual Entry'!B101</f>
        <v/>
      </c>
      <c r="F129" s="76" t="str">
        <f>'Manual Entry'!F101</f>
        <v/>
      </c>
      <c r="G129" s="76" t="str">
        <f>'Manual Entry'!G101</f>
        <v/>
      </c>
      <c r="H129" s="76" t="str">
        <f>'Manual Entry'!H101</f>
        <v/>
      </c>
      <c r="I129" s="78" t="str">
        <f>'Manual Entry'!I101</f>
        <v/>
      </c>
      <c r="J129" s="78" t="str">
        <f>'Manual Entry'!J101</f>
        <v/>
      </c>
      <c r="K129" s="78" t="str">
        <f>'Manual Entry'!K101</f>
        <v/>
      </c>
      <c r="L129" s="78" t="str">
        <f>'Manual Entry'!L101</f>
        <v/>
      </c>
      <c r="M129" s="78" t="str">
        <f>'Manual Entry'!M101</f>
        <v/>
      </c>
      <c r="N129" s="78" t="str">
        <f>'Manual Entry'!N101</f>
        <v/>
      </c>
      <c r="O129" s="76">
        <f t="shared" si="6"/>
        <v>0</v>
      </c>
      <c r="P129" s="76">
        <f t="shared" si="7"/>
        <v>0</v>
      </c>
      <c r="Q129" s="76">
        <f t="shared" si="8"/>
        <v>0</v>
      </c>
      <c r="R129" s="76">
        <f t="shared" si="9"/>
        <v>0</v>
      </c>
      <c r="S129" s="76" t="str">
        <f t="shared" si="10"/>
        <v/>
      </c>
      <c r="T129" s="76" t="str">
        <f t="shared" si="11"/>
        <v/>
      </c>
      <c r="U129" s="76" t="str">
        <f t="shared" si="12"/>
        <v/>
      </c>
      <c r="V129" s="76" t="str">
        <f t="shared" si="13"/>
        <v/>
      </c>
      <c r="W129" s="76" t="str">
        <f t="shared" si="14"/>
        <v/>
      </c>
      <c r="X129" s="76" t="str">
        <f t="shared" si="15"/>
        <v/>
      </c>
      <c r="Y129" s="76" t="str">
        <f t="shared" si="16"/>
        <v/>
      </c>
      <c r="Z129" s="76" t="str">
        <f t="shared" si="17"/>
        <v/>
      </c>
      <c r="AA129" s="76" t="str">
        <f t="shared" si="18"/>
        <v/>
      </c>
      <c r="AB129" s="76" t="str">
        <f t="shared" si="19"/>
        <v/>
      </c>
      <c r="AC129" s="76" t="str">
        <f t="shared" si="20"/>
        <v/>
      </c>
      <c r="AD129" s="76" t="str">
        <f t="shared" si="21"/>
        <v/>
      </c>
      <c r="AE129" s="76" t="str">
        <f t="shared" si="22"/>
        <v/>
      </c>
      <c r="AF129" s="76" t="str">
        <f t="shared" si="23"/>
        <v/>
      </c>
      <c r="AG129" s="76" t="str">
        <f t="shared" si="24"/>
        <v/>
      </c>
      <c r="AH129" s="76" t="str">
        <f t="shared" si="25"/>
        <v/>
      </c>
      <c r="AI129" s="76" t="str">
        <f t="shared" si="26"/>
        <v/>
      </c>
      <c r="AJ129" s="76" t="str">
        <f t="shared" si="27"/>
        <v/>
      </c>
      <c r="AK129" s="76" t="str">
        <f t="shared" si="28"/>
        <v/>
      </c>
      <c r="AL129" s="76" t="str">
        <f t="shared" si="29"/>
        <v/>
      </c>
      <c r="AM129" s="76" t="str">
        <f t="shared" si="30"/>
        <v/>
      </c>
      <c r="AN129" s="76" t="str">
        <f t="shared" si="31"/>
        <v/>
      </c>
      <c r="AO129" s="76" t="str">
        <f t="shared" si="32"/>
        <v/>
      </c>
      <c r="AP129" s="76" t="str">
        <f t="shared" si="33"/>
        <v/>
      </c>
    </row>
    <row r="130" ht="15.75" customHeight="1">
      <c r="A130" s="76" t="str">
        <f>IF('Manual Entry'!A102="","",'Manual Entry'!A102)</f>
        <v/>
      </c>
      <c r="B130" s="76" t="str">
        <f t="shared" si="3"/>
        <v/>
      </c>
      <c r="C130" s="76" t="str">
        <f t="shared" si="4"/>
        <v/>
      </c>
      <c r="D130" s="76" t="str">
        <f>'Manual Entry'!D102</f>
        <v/>
      </c>
      <c r="E130" s="76" t="str">
        <f>'Manual Entry'!B102</f>
        <v/>
      </c>
      <c r="F130" s="76" t="str">
        <f>'Manual Entry'!F102</f>
        <v/>
      </c>
      <c r="G130" s="76" t="str">
        <f>'Manual Entry'!G102</f>
        <v/>
      </c>
      <c r="H130" s="76" t="str">
        <f>'Manual Entry'!H102</f>
        <v/>
      </c>
      <c r="I130" s="78" t="str">
        <f>'Manual Entry'!I102</f>
        <v/>
      </c>
      <c r="J130" s="78" t="str">
        <f>'Manual Entry'!J102</f>
        <v/>
      </c>
      <c r="K130" s="78" t="str">
        <f>'Manual Entry'!K102</f>
        <v/>
      </c>
      <c r="L130" s="78" t="str">
        <f>'Manual Entry'!L102</f>
        <v/>
      </c>
      <c r="M130" s="78" t="str">
        <f>'Manual Entry'!M102</f>
        <v/>
      </c>
      <c r="N130" s="78" t="str">
        <f>'Manual Entry'!N102</f>
        <v/>
      </c>
      <c r="O130" s="76">
        <f t="shared" si="6"/>
        <v>0</v>
      </c>
      <c r="P130" s="76">
        <f t="shared" si="7"/>
        <v>0</v>
      </c>
      <c r="Q130" s="76">
        <f t="shared" si="8"/>
        <v>0</v>
      </c>
      <c r="R130" s="76">
        <f t="shared" si="9"/>
        <v>0</v>
      </c>
      <c r="S130" s="76" t="str">
        <f t="shared" si="10"/>
        <v/>
      </c>
      <c r="T130" s="76" t="str">
        <f t="shared" si="11"/>
        <v/>
      </c>
      <c r="U130" s="76" t="str">
        <f t="shared" si="12"/>
        <v/>
      </c>
      <c r="V130" s="76" t="str">
        <f t="shared" si="13"/>
        <v/>
      </c>
      <c r="W130" s="76" t="str">
        <f t="shared" si="14"/>
        <v/>
      </c>
      <c r="X130" s="76" t="str">
        <f t="shared" si="15"/>
        <v/>
      </c>
      <c r="Y130" s="76" t="str">
        <f t="shared" si="16"/>
        <v/>
      </c>
      <c r="Z130" s="76" t="str">
        <f t="shared" si="17"/>
        <v/>
      </c>
      <c r="AA130" s="76" t="str">
        <f t="shared" si="18"/>
        <v/>
      </c>
      <c r="AB130" s="76" t="str">
        <f t="shared" si="19"/>
        <v/>
      </c>
      <c r="AC130" s="76" t="str">
        <f t="shared" si="20"/>
        <v/>
      </c>
      <c r="AD130" s="76" t="str">
        <f t="shared" si="21"/>
        <v/>
      </c>
      <c r="AE130" s="76" t="str">
        <f t="shared" si="22"/>
        <v/>
      </c>
      <c r="AF130" s="76" t="str">
        <f t="shared" si="23"/>
        <v/>
      </c>
      <c r="AG130" s="76" t="str">
        <f t="shared" si="24"/>
        <v/>
      </c>
      <c r="AH130" s="76" t="str">
        <f t="shared" si="25"/>
        <v/>
      </c>
      <c r="AI130" s="76" t="str">
        <f t="shared" si="26"/>
        <v/>
      </c>
      <c r="AJ130" s="76" t="str">
        <f t="shared" si="27"/>
        <v/>
      </c>
      <c r="AK130" s="76" t="str">
        <f t="shared" si="28"/>
        <v/>
      </c>
      <c r="AL130" s="76" t="str">
        <f t="shared" si="29"/>
        <v/>
      </c>
      <c r="AM130" s="76" t="str">
        <f t="shared" si="30"/>
        <v/>
      </c>
      <c r="AN130" s="76" t="str">
        <f t="shared" si="31"/>
        <v/>
      </c>
      <c r="AO130" s="76" t="str">
        <f t="shared" si="32"/>
        <v/>
      </c>
      <c r="AP130" s="76" t="str">
        <f t="shared" si="33"/>
        <v/>
      </c>
    </row>
    <row r="131" ht="15.75" customHeight="1">
      <c r="A131" s="76" t="str">
        <f>IF('Manual Entry'!A103="","",'Manual Entry'!A103)</f>
        <v/>
      </c>
      <c r="B131" s="76" t="str">
        <f t="shared" si="3"/>
        <v/>
      </c>
      <c r="C131" s="76" t="str">
        <f t="shared" si="4"/>
        <v/>
      </c>
      <c r="D131" s="76" t="str">
        <f>'Manual Entry'!D103</f>
        <v/>
      </c>
      <c r="E131" s="76" t="str">
        <f>'Manual Entry'!B103</f>
        <v/>
      </c>
      <c r="F131" s="76" t="str">
        <f>'Manual Entry'!F103</f>
        <v/>
      </c>
      <c r="G131" s="76" t="str">
        <f>'Manual Entry'!G103</f>
        <v/>
      </c>
      <c r="H131" s="76" t="str">
        <f>'Manual Entry'!H103</f>
        <v/>
      </c>
      <c r="I131" s="78" t="str">
        <f>'Manual Entry'!I103</f>
        <v/>
      </c>
      <c r="J131" s="78" t="str">
        <f>'Manual Entry'!J103</f>
        <v/>
      </c>
      <c r="K131" s="78" t="str">
        <f>'Manual Entry'!K103</f>
        <v/>
      </c>
      <c r="L131" s="78" t="str">
        <f>'Manual Entry'!L103</f>
        <v/>
      </c>
      <c r="M131" s="78" t="str">
        <f>'Manual Entry'!M103</f>
        <v/>
      </c>
      <c r="N131" s="78" t="str">
        <f>'Manual Entry'!N103</f>
        <v/>
      </c>
      <c r="O131" s="76">
        <f t="shared" si="6"/>
        <v>0</v>
      </c>
      <c r="P131" s="76">
        <f t="shared" si="7"/>
        <v>0</v>
      </c>
      <c r="Q131" s="76">
        <f t="shared" si="8"/>
        <v>0</v>
      </c>
      <c r="R131" s="76">
        <f t="shared" si="9"/>
        <v>0</v>
      </c>
      <c r="S131" s="76" t="str">
        <f t="shared" si="10"/>
        <v/>
      </c>
      <c r="T131" s="76" t="str">
        <f t="shared" si="11"/>
        <v/>
      </c>
      <c r="U131" s="76" t="str">
        <f t="shared" si="12"/>
        <v/>
      </c>
      <c r="V131" s="76" t="str">
        <f t="shared" si="13"/>
        <v/>
      </c>
      <c r="W131" s="76" t="str">
        <f t="shared" si="14"/>
        <v/>
      </c>
      <c r="X131" s="76" t="str">
        <f t="shared" si="15"/>
        <v/>
      </c>
      <c r="Y131" s="76" t="str">
        <f t="shared" si="16"/>
        <v/>
      </c>
      <c r="Z131" s="76" t="str">
        <f t="shared" si="17"/>
        <v/>
      </c>
      <c r="AA131" s="76" t="str">
        <f t="shared" si="18"/>
        <v/>
      </c>
      <c r="AB131" s="76" t="str">
        <f t="shared" si="19"/>
        <v/>
      </c>
      <c r="AC131" s="76" t="str">
        <f t="shared" si="20"/>
        <v/>
      </c>
      <c r="AD131" s="76" t="str">
        <f t="shared" si="21"/>
        <v/>
      </c>
      <c r="AE131" s="76" t="str">
        <f t="shared" si="22"/>
        <v/>
      </c>
      <c r="AF131" s="76" t="str">
        <f t="shared" si="23"/>
        <v/>
      </c>
      <c r="AG131" s="76" t="str">
        <f t="shared" si="24"/>
        <v/>
      </c>
      <c r="AH131" s="76" t="str">
        <f t="shared" si="25"/>
        <v/>
      </c>
      <c r="AI131" s="76" t="str">
        <f t="shared" si="26"/>
        <v/>
      </c>
      <c r="AJ131" s="76" t="str">
        <f t="shared" si="27"/>
        <v/>
      </c>
      <c r="AK131" s="76" t="str">
        <f t="shared" si="28"/>
        <v/>
      </c>
      <c r="AL131" s="76" t="str">
        <f t="shared" si="29"/>
        <v/>
      </c>
      <c r="AM131" s="76" t="str">
        <f t="shared" si="30"/>
        <v/>
      </c>
      <c r="AN131" s="76" t="str">
        <f t="shared" si="31"/>
        <v/>
      </c>
      <c r="AO131" s="76" t="str">
        <f t="shared" si="32"/>
        <v/>
      </c>
      <c r="AP131" s="76" t="str">
        <f t="shared" si="33"/>
        <v/>
      </c>
    </row>
    <row r="132" ht="15.75" customHeight="1">
      <c r="A132" s="76" t="str">
        <f>IF('Manual Entry'!A104="","",'Manual Entry'!A104)</f>
        <v/>
      </c>
      <c r="B132" s="76" t="str">
        <f t="shared" si="3"/>
        <v/>
      </c>
      <c r="C132" s="76" t="str">
        <f t="shared" si="4"/>
        <v/>
      </c>
      <c r="D132" s="76" t="str">
        <f>'Manual Entry'!D104</f>
        <v/>
      </c>
      <c r="E132" s="76" t="str">
        <f>'Manual Entry'!B104</f>
        <v/>
      </c>
      <c r="F132" s="76" t="str">
        <f>'Manual Entry'!F104</f>
        <v/>
      </c>
      <c r="G132" s="76" t="str">
        <f>'Manual Entry'!G104</f>
        <v/>
      </c>
      <c r="H132" s="76" t="str">
        <f>'Manual Entry'!H104</f>
        <v/>
      </c>
      <c r="I132" s="78" t="str">
        <f>'Manual Entry'!I104</f>
        <v/>
      </c>
      <c r="J132" s="78" t="str">
        <f>'Manual Entry'!J104</f>
        <v/>
      </c>
      <c r="K132" s="78" t="str">
        <f>'Manual Entry'!K104</f>
        <v/>
      </c>
      <c r="L132" s="78" t="str">
        <f>'Manual Entry'!L104</f>
        <v/>
      </c>
      <c r="M132" s="78" t="str">
        <f>'Manual Entry'!M104</f>
        <v/>
      </c>
      <c r="N132" s="78" t="str">
        <f>'Manual Entry'!N104</f>
        <v/>
      </c>
      <c r="O132" s="76">
        <f t="shared" si="6"/>
        <v>0</v>
      </c>
      <c r="P132" s="76">
        <f t="shared" si="7"/>
        <v>0</v>
      </c>
      <c r="Q132" s="76">
        <f t="shared" si="8"/>
        <v>0</v>
      </c>
      <c r="R132" s="76">
        <f t="shared" si="9"/>
        <v>0</v>
      </c>
      <c r="S132" s="76" t="str">
        <f t="shared" si="10"/>
        <v/>
      </c>
      <c r="T132" s="76" t="str">
        <f t="shared" si="11"/>
        <v/>
      </c>
      <c r="U132" s="76" t="str">
        <f t="shared" si="12"/>
        <v/>
      </c>
      <c r="V132" s="76" t="str">
        <f t="shared" si="13"/>
        <v/>
      </c>
      <c r="W132" s="76" t="str">
        <f t="shared" si="14"/>
        <v/>
      </c>
      <c r="X132" s="76" t="str">
        <f t="shared" si="15"/>
        <v/>
      </c>
      <c r="Y132" s="76" t="str">
        <f t="shared" si="16"/>
        <v/>
      </c>
      <c r="Z132" s="76" t="str">
        <f t="shared" si="17"/>
        <v/>
      </c>
      <c r="AA132" s="76" t="str">
        <f t="shared" si="18"/>
        <v/>
      </c>
      <c r="AB132" s="76" t="str">
        <f t="shared" si="19"/>
        <v/>
      </c>
      <c r="AC132" s="76" t="str">
        <f t="shared" si="20"/>
        <v/>
      </c>
      <c r="AD132" s="76" t="str">
        <f t="shared" si="21"/>
        <v/>
      </c>
      <c r="AE132" s="76" t="str">
        <f t="shared" si="22"/>
        <v/>
      </c>
      <c r="AF132" s="76" t="str">
        <f t="shared" si="23"/>
        <v/>
      </c>
      <c r="AG132" s="76" t="str">
        <f t="shared" si="24"/>
        <v/>
      </c>
      <c r="AH132" s="76" t="str">
        <f t="shared" si="25"/>
        <v/>
      </c>
      <c r="AI132" s="76" t="str">
        <f t="shared" si="26"/>
        <v/>
      </c>
      <c r="AJ132" s="76" t="str">
        <f t="shared" si="27"/>
        <v/>
      </c>
      <c r="AK132" s="76" t="str">
        <f t="shared" si="28"/>
        <v/>
      </c>
      <c r="AL132" s="76" t="str">
        <f t="shared" si="29"/>
        <v/>
      </c>
      <c r="AM132" s="76" t="str">
        <f t="shared" si="30"/>
        <v/>
      </c>
      <c r="AN132" s="76" t="str">
        <f t="shared" si="31"/>
        <v/>
      </c>
      <c r="AO132" s="76" t="str">
        <f t="shared" si="32"/>
        <v/>
      </c>
      <c r="AP132" s="76" t="str">
        <f t="shared" si="33"/>
        <v/>
      </c>
    </row>
    <row r="133" ht="15.75" customHeight="1">
      <c r="A133" s="76" t="str">
        <f>IF('Manual Entry'!A105="","",'Manual Entry'!A105)</f>
        <v/>
      </c>
      <c r="B133" s="76" t="str">
        <f t="shared" si="3"/>
        <v/>
      </c>
      <c r="C133" s="76" t="str">
        <f t="shared" si="4"/>
        <v/>
      </c>
      <c r="D133" s="76" t="str">
        <f>'Manual Entry'!D105</f>
        <v/>
      </c>
      <c r="E133" s="76" t="str">
        <f>'Manual Entry'!B105</f>
        <v/>
      </c>
      <c r="F133" s="76" t="str">
        <f>'Manual Entry'!F105</f>
        <v/>
      </c>
      <c r="G133" s="76" t="str">
        <f>'Manual Entry'!G105</f>
        <v/>
      </c>
      <c r="H133" s="76" t="str">
        <f>'Manual Entry'!H105</f>
        <v/>
      </c>
      <c r="I133" s="78" t="str">
        <f>'Manual Entry'!I105</f>
        <v/>
      </c>
      <c r="J133" s="78" t="str">
        <f>'Manual Entry'!J105</f>
        <v/>
      </c>
      <c r="K133" s="78" t="str">
        <f>'Manual Entry'!K105</f>
        <v/>
      </c>
      <c r="L133" s="78" t="str">
        <f>'Manual Entry'!L105</f>
        <v/>
      </c>
      <c r="M133" s="78" t="str">
        <f>'Manual Entry'!M105</f>
        <v/>
      </c>
      <c r="N133" s="78" t="str">
        <f>'Manual Entry'!N105</f>
        <v/>
      </c>
      <c r="O133" s="76">
        <f t="shared" si="6"/>
        <v>0</v>
      </c>
      <c r="P133" s="76">
        <f t="shared" si="7"/>
        <v>0</v>
      </c>
      <c r="Q133" s="76">
        <f t="shared" si="8"/>
        <v>0</v>
      </c>
      <c r="R133" s="76">
        <f t="shared" si="9"/>
        <v>0</v>
      </c>
      <c r="S133" s="76" t="str">
        <f t="shared" si="10"/>
        <v/>
      </c>
      <c r="T133" s="76" t="str">
        <f t="shared" si="11"/>
        <v/>
      </c>
      <c r="U133" s="76" t="str">
        <f t="shared" si="12"/>
        <v/>
      </c>
      <c r="V133" s="76" t="str">
        <f t="shared" si="13"/>
        <v/>
      </c>
      <c r="W133" s="76" t="str">
        <f t="shared" si="14"/>
        <v/>
      </c>
      <c r="X133" s="76" t="str">
        <f t="shared" si="15"/>
        <v/>
      </c>
      <c r="Y133" s="76" t="str">
        <f t="shared" si="16"/>
        <v/>
      </c>
      <c r="Z133" s="76" t="str">
        <f t="shared" si="17"/>
        <v/>
      </c>
      <c r="AA133" s="76" t="str">
        <f t="shared" si="18"/>
        <v/>
      </c>
      <c r="AB133" s="76" t="str">
        <f t="shared" si="19"/>
        <v/>
      </c>
      <c r="AC133" s="76" t="str">
        <f t="shared" si="20"/>
        <v/>
      </c>
      <c r="AD133" s="76" t="str">
        <f t="shared" si="21"/>
        <v/>
      </c>
      <c r="AE133" s="76" t="str">
        <f t="shared" si="22"/>
        <v/>
      </c>
      <c r="AF133" s="76" t="str">
        <f t="shared" si="23"/>
        <v/>
      </c>
      <c r="AG133" s="76" t="str">
        <f t="shared" si="24"/>
        <v/>
      </c>
      <c r="AH133" s="76" t="str">
        <f t="shared" si="25"/>
        <v/>
      </c>
      <c r="AI133" s="76" t="str">
        <f t="shared" si="26"/>
        <v/>
      </c>
      <c r="AJ133" s="76" t="str">
        <f t="shared" si="27"/>
        <v/>
      </c>
      <c r="AK133" s="76" t="str">
        <f t="shared" si="28"/>
        <v/>
      </c>
      <c r="AL133" s="76" t="str">
        <f t="shared" si="29"/>
        <v/>
      </c>
      <c r="AM133" s="76" t="str">
        <f t="shared" si="30"/>
        <v/>
      </c>
      <c r="AN133" s="76" t="str">
        <f t="shared" si="31"/>
        <v/>
      </c>
      <c r="AO133" s="76" t="str">
        <f t="shared" si="32"/>
        <v/>
      </c>
      <c r="AP133" s="76" t="str">
        <f t="shared" si="33"/>
        <v/>
      </c>
    </row>
    <row r="134" ht="15.75" customHeight="1">
      <c r="A134" s="76" t="str">
        <f>IF('Manual Entry'!A106="","",'Manual Entry'!A106)</f>
        <v/>
      </c>
      <c r="B134" s="76" t="str">
        <f t="shared" si="3"/>
        <v/>
      </c>
      <c r="C134" s="76" t="str">
        <f t="shared" si="4"/>
        <v/>
      </c>
      <c r="D134" s="76" t="str">
        <f>'Manual Entry'!D106</f>
        <v/>
      </c>
      <c r="E134" s="76" t="str">
        <f>'Manual Entry'!B106</f>
        <v/>
      </c>
      <c r="F134" s="76" t="str">
        <f>'Manual Entry'!F106</f>
        <v/>
      </c>
      <c r="G134" s="76" t="str">
        <f>'Manual Entry'!G106</f>
        <v/>
      </c>
      <c r="H134" s="76" t="str">
        <f>'Manual Entry'!H106</f>
        <v/>
      </c>
      <c r="I134" s="78" t="str">
        <f>'Manual Entry'!I106</f>
        <v/>
      </c>
      <c r="J134" s="78" t="str">
        <f>'Manual Entry'!J106</f>
        <v/>
      </c>
      <c r="K134" s="78" t="str">
        <f>'Manual Entry'!K106</f>
        <v/>
      </c>
      <c r="L134" s="78" t="str">
        <f>'Manual Entry'!L106</f>
        <v/>
      </c>
      <c r="M134" s="78" t="str">
        <f>'Manual Entry'!M106</f>
        <v/>
      </c>
      <c r="N134" s="78" t="str">
        <f>'Manual Entry'!N106</f>
        <v/>
      </c>
      <c r="O134" s="76">
        <f t="shared" si="6"/>
        <v>0</v>
      </c>
      <c r="P134" s="76">
        <f t="shared" si="7"/>
        <v>0</v>
      </c>
      <c r="Q134" s="76">
        <f t="shared" si="8"/>
        <v>0</v>
      </c>
      <c r="R134" s="76">
        <f t="shared" si="9"/>
        <v>0</v>
      </c>
      <c r="S134" s="76" t="str">
        <f t="shared" si="10"/>
        <v/>
      </c>
      <c r="T134" s="76" t="str">
        <f t="shared" si="11"/>
        <v/>
      </c>
      <c r="U134" s="76" t="str">
        <f t="shared" si="12"/>
        <v/>
      </c>
      <c r="V134" s="76" t="str">
        <f t="shared" si="13"/>
        <v/>
      </c>
      <c r="W134" s="76" t="str">
        <f t="shared" si="14"/>
        <v/>
      </c>
      <c r="X134" s="76" t="str">
        <f t="shared" si="15"/>
        <v/>
      </c>
      <c r="Y134" s="76" t="str">
        <f t="shared" si="16"/>
        <v/>
      </c>
      <c r="Z134" s="76" t="str">
        <f t="shared" si="17"/>
        <v/>
      </c>
      <c r="AA134" s="76" t="str">
        <f t="shared" si="18"/>
        <v/>
      </c>
      <c r="AB134" s="76" t="str">
        <f t="shared" si="19"/>
        <v/>
      </c>
      <c r="AC134" s="76" t="str">
        <f t="shared" si="20"/>
        <v/>
      </c>
      <c r="AD134" s="76" t="str">
        <f t="shared" si="21"/>
        <v/>
      </c>
      <c r="AE134" s="76" t="str">
        <f t="shared" si="22"/>
        <v/>
      </c>
      <c r="AF134" s="76" t="str">
        <f t="shared" si="23"/>
        <v/>
      </c>
      <c r="AG134" s="76" t="str">
        <f t="shared" si="24"/>
        <v/>
      </c>
      <c r="AH134" s="76" t="str">
        <f t="shared" si="25"/>
        <v/>
      </c>
      <c r="AI134" s="76" t="str">
        <f t="shared" si="26"/>
        <v/>
      </c>
      <c r="AJ134" s="76" t="str">
        <f t="shared" si="27"/>
        <v/>
      </c>
      <c r="AK134" s="76" t="str">
        <f t="shared" si="28"/>
        <v/>
      </c>
      <c r="AL134" s="76" t="str">
        <f t="shared" si="29"/>
        <v/>
      </c>
      <c r="AM134" s="76" t="str">
        <f t="shared" si="30"/>
        <v/>
      </c>
      <c r="AN134" s="76" t="str">
        <f t="shared" si="31"/>
        <v/>
      </c>
      <c r="AO134" s="76" t="str">
        <f t="shared" si="32"/>
        <v/>
      </c>
      <c r="AP134" s="76" t="str">
        <f t="shared" si="33"/>
        <v/>
      </c>
    </row>
    <row r="135" ht="15.75" customHeight="1">
      <c r="A135" s="76" t="str">
        <f>IF('Manual Entry'!A107="","",'Manual Entry'!A107)</f>
        <v/>
      </c>
      <c r="B135" s="76" t="str">
        <f t="shared" si="3"/>
        <v/>
      </c>
      <c r="C135" s="76" t="str">
        <f t="shared" si="4"/>
        <v/>
      </c>
      <c r="D135" s="76" t="str">
        <f>'Manual Entry'!D107</f>
        <v/>
      </c>
      <c r="E135" s="76" t="str">
        <f>'Manual Entry'!B107</f>
        <v/>
      </c>
      <c r="F135" s="76" t="str">
        <f>'Manual Entry'!F107</f>
        <v/>
      </c>
      <c r="G135" s="76" t="str">
        <f>'Manual Entry'!G107</f>
        <v/>
      </c>
      <c r="H135" s="76" t="str">
        <f>'Manual Entry'!H107</f>
        <v/>
      </c>
      <c r="I135" s="78" t="str">
        <f>'Manual Entry'!I107</f>
        <v/>
      </c>
      <c r="J135" s="78" t="str">
        <f>'Manual Entry'!J107</f>
        <v/>
      </c>
      <c r="K135" s="78" t="str">
        <f>'Manual Entry'!K107</f>
        <v/>
      </c>
      <c r="L135" s="78" t="str">
        <f>'Manual Entry'!L107</f>
        <v/>
      </c>
      <c r="M135" s="78" t="str">
        <f>'Manual Entry'!M107</f>
        <v/>
      </c>
      <c r="N135" s="78" t="str">
        <f>'Manual Entry'!N107</f>
        <v/>
      </c>
      <c r="O135" s="76">
        <f t="shared" si="6"/>
        <v>0</v>
      </c>
      <c r="P135" s="76">
        <f t="shared" si="7"/>
        <v>0</v>
      </c>
      <c r="Q135" s="76">
        <f t="shared" si="8"/>
        <v>0</v>
      </c>
      <c r="R135" s="76">
        <f t="shared" si="9"/>
        <v>0</v>
      </c>
      <c r="S135" s="76" t="str">
        <f t="shared" si="10"/>
        <v/>
      </c>
      <c r="T135" s="76" t="str">
        <f t="shared" si="11"/>
        <v/>
      </c>
      <c r="U135" s="76" t="str">
        <f t="shared" si="12"/>
        <v/>
      </c>
      <c r="V135" s="76" t="str">
        <f t="shared" si="13"/>
        <v/>
      </c>
      <c r="W135" s="76" t="str">
        <f t="shared" si="14"/>
        <v/>
      </c>
      <c r="X135" s="76" t="str">
        <f t="shared" si="15"/>
        <v/>
      </c>
      <c r="Y135" s="76" t="str">
        <f t="shared" si="16"/>
        <v/>
      </c>
      <c r="Z135" s="76" t="str">
        <f t="shared" si="17"/>
        <v/>
      </c>
      <c r="AA135" s="76" t="str">
        <f t="shared" si="18"/>
        <v/>
      </c>
      <c r="AB135" s="76" t="str">
        <f t="shared" si="19"/>
        <v/>
      </c>
      <c r="AC135" s="76" t="str">
        <f t="shared" si="20"/>
        <v/>
      </c>
      <c r="AD135" s="76" t="str">
        <f t="shared" si="21"/>
        <v/>
      </c>
      <c r="AE135" s="76" t="str">
        <f t="shared" si="22"/>
        <v/>
      </c>
      <c r="AF135" s="76" t="str">
        <f t="shared" si="23"/>
        <v/>
      </c>
      <c r="AG135" s="76" t="str">
        <f t="shared" si="24"/>
        <v/>
      </c>
      <c r="AH135" s="76" t="str">
        <f t="shared" si="25"/>
        <v/>
      </c>
      <c r="AI135" s="76" t="str">
        <f t="shared" si="26"/>
        <v/>
      </c>
      <c r="AJ135" s="76" t="str">
        <f t="shared" si="27"/>
        <v/>
      </c>
      <c r="AK135" s="76" t="str">
        <f t="shared" si="28"/>
        <v/>
      </c>
      <c r="AL135" s="76" t="str">
        <f t="shared" si="29"/>
        <v/>
      </c>
      <c r="AM135" s="76" t="str">
        <f t="shared" si="30"/>
        <v/>
      </c>
      <c r="AN135" s="76" t="str">
        <f t="shared" si="31"/>
        <v/>
      </c>
      <c r="AO135" s="76" t="str">
        <f t="shared" si="32"/>
        <v/>
      </c>
      <c r="AP135" s="76" t="str">
        <f t="shared" si="33"/>
        <v/>
      </c>
    </row>
    <row r="136" ht="15.75" customHeight="1">
      <c r="A136" s="76" t="str">
        <f>IF('Manual Entry'!A108="","",'Manual Entry'!A108)</f>
        <v/>
      </c>
      <c r="B136" s="76" t="str">
        <f t="shared" si="3"/>
        <v/>
      </c>
      <c r="C136" s="76" t="str">
        <f t="shared" si="4"/>
        <v/>
      </c>
      <c r="D136" s="76" t="str">
        <f>'Manual Entry'!D108</f>
        <v/>
      </c>
      <c r="E136" s="76" t="str">
        <f>'Manual Entry'!B108</f>
        <v/>
      </c>
      <c r="F136" s="76" t="str">
        <f>'Manual Entry'!F108</f>
        <v/>
      </c>
      <c r="G136" s="76" t="str">
        <f>'Manual Entry'!G108</f>
        <v/>
      </c>
      <c r="H136" s="76" t="str">
        <f>'Manual Entry'!H108</f>
        <v/>
      </c>
      <c r="I136" s="78" t="str">
        <f>'Manual Entry'!I108</f>
        <v/>
      </c>
      <c r="J136" s="78" t="str">
        <f>'Manual Entry'!J108</f>
        <v/>
      </c>
      <c r="K136" s="78" t="str">
        <f>'Manual Entry'!K108</f>
        <v/>
      </c>
      <c r="L136" s="78" t="str">
        <f>'Manual Entry'!L108</f>
        <v/>
      </c>
      <c r="M136" s="78" t="str">
        <f>'Manual Entry'!M108</f>
        <v/>
      </c>
      <c r="N136" s="78" t="str">
        <f>'Manual Entry'!N108</f>
        <v/>
      </c>
      <c r="O136" s="76">
        <f t="shared" si="6"/>
        <v>0</v>
      </c>
      <c r="P136" s="76">
        <f t="shared" si="7"/>
        <v>0</v>
      </c>
      <c r="Q136" s="76">
        <f t="shared" si="8"/>
        <v>0</v>
      </c>
      <c r="R136" s="76">
        <f t="shared" si="9"/>
        <v>0</v>
      </c>
      <c r="S136" s="76" t="str">
        <f t="shared" si="10"/>
        <v/>
      </c>
      <c r="T136" s="76" t="str">
        <f t="shared" si="11"/>
        <v/>
      </c>
      <c r="U136" s="76" t="str">
        <f t="shared" si="12"/>
        <v/>
      </c>
      <c r="V136" s="76" t="str">
        <f t="shared" si="13"/>
        <v/>
      </c>
      <c r="W136" s="76" t="str">
        <f t="shared" si="14"/>
        <v/>
      </c>
      <c r="X136" s="76" t="str">
        <f t="shared" si="15"/>
        <v/>
      </c>
      <c r="Y136" s="76" t="str">
        <f t="shared" si="16"/>
        <v/>
      </c>
      <c r="Z136" s="76" t="str">
        <f t="shared" si="17"/>
        <v/>
      </c>
      <c r="AA136" s="76" t="str">
        <f t="shared" si="18"/>
        <v/>
      </c>
      <c r="AB136" s="76" t="str">
        <f t="shared" si="19"/>
        <v/>
      </c>
      <c r="AC136" s="76" t="str">
        <f t="shared" si="20"/>
        <v/>
      </c>
      <c r="AD136" s="76" t="str">
        <f t="shared" si="21"/>
        <v/>
      </c>
      <c r="AE136" s="76" t="str">
        <f t="shared" si="22"/>
        <v/>
      </c>
      <c r="AF136" s="76" t="str">
        <f t="shared" si="23"/>
        <v/>
      </c>
      <c r="AG136" s="76" t="str">
        <f t="shared" si="24"/>
        <v/>
      </c>
      <c r="AH136" s="76" t="str">
        <f t="shared" si="25"/>
        <v/>
      </c>
      <c r="AI136" s="76" t="str">
        <f t="shared" si="26"/>
        <v/>
      </c>
      <c r="AJ136" s="76" t="str">
        <f t="shared" si="27"/>
        <v/>
      </c>
      <c r="AK136" s="76" t="str">
        <f t="shared" si="28"/>
        <v/>
      </c>
      <c r="AL136" s="76" t="str">
        <f t="shared" si="29"/>
        <v/>
      </c>
      <c r="AM136" s="76" t="str">
        <f t="shared" si="30"/>
        <v/>
      </c>
      <c r="AN136" s="76" t="str">
        <f t="shared" si="31"/>
        <v/>
      </c>
      <c r="AO136" s="76" t="str">
        <f t="shared" si="32"/>
        <v/>
      </c>
      <c r="AP136" s="76" t="str">
        <f t="shared" si="33"/>
        <v/>
      </c>
    </row>
    <row r="137" ht="15.75" customHeight="1">
      <c r="A137" s="76" t="str">
        <f>IF('Manual Entry'!A109="","",'Manual Entry'!A109)</f>
        <v/>
      </c>
      <c r="B137" s="76" t="str">
        <f t="shared" si="3"/>
        <v/>
      </c>
      <c r="C137" s="76" t="str">
        <f t="shared" si="4"/>
        <v/>
      </c>
      <c r="D137" s="76" t="str">
        <f>'Manual Entry'!D109</f>
        <v/>
      </c>
      <c r="E137" s="76" t="str">
        <f>'Manual Entry'!B109</f>
        <v/>
      </c>
      <c r="F137" s="76" t="str">
        <f>'Manual Entry'!F109</f>
        <v/>
      </c>
      <c r="G137" s="76" t="str">
        <f>'Manual Entry'!G109</f>
        <v/>
      </c>
      <c r="H137" s="76" t="str">
        <f>'Manual Entry'!H109</f>
        <v/>
      </c>
      <c r="I137" s="78" t="str">
        <f>'Manual Entry'!I109</f>
        <v/>
      </c>
      <c r="J137" s="78" t="str">
        <f>'Manual Entry'!J109</f>
        <v/>
      </c>
      <c r="K137" s="78" t="str">
        <f>'Manual Entry'!K109</f>
        <v/>
      </c>
      <c r="L137" s="78" t="str">
        <f>'Manual Entry'!L109</f>
        <v/>
      </c>
      <c r="M137" s="78" t="str">
        <f>'Manual Entry'!M109</f>
        <v/>
      </c>
      <c r="N137" s="78" t="str">
        <f>'Manual Entry'!N109</f>
        <v/>
      </c>
      <c r="O137" s="76">
        <f t="shared" si="6"/>
        <v>0</v>
      </c>
      <c r="P137" s="76">
        <f t="shared" si="7"/>
        <v>0</v>
      </c>
      <c r="Q137" s="76">
        <f t="shared" si="8"/>
        <v>0</v>
      </c>
      <c r="R137" s="76">
        <f t="shared" si="9"/>
        <v>0</v>
      </c>
      <c r="S137" s="76" t="str">
        <f t="shared" si="10"/>
        <v/>
      </c>
      <c r="T137" s="76" t="str">
        <f t="shared" si="11"/>
        <v/>
      </c>
      <c r="U137" s="76" t="str">
        <f t="shared" si="12"/>
        <v/>
      </c>
      <c r="V137" s="76" t="str">
        <f t="shared" si="13"/>
        <v/>
      </c>
      <c r="W137" s="76" t="str">
        <f t="shared" si="14"/>
        <v/>
      </c>
      <c r="X137" s="76" t="str">
        <f t="shared" si="15"/>
        <v/>
      </c>
      <c r="Y137" s="76" t="str">
        <f t="shared" si="16"/>
        <v/>
      </c>
      <c r="Z137" s="76" t="str">
        <f t="shared" si="17"/>
        <v/>
      </c>
      <c r="AA137" s="76" t="str">
        <f t="shared" si="18"/>
        <v/>
      </c>
      <c r="AB137" s="76" t="str">
        <f t="shared" si="19"/>
        <v/>
      </c>
      <c r="AC137" s="76" t="str">
        <f t="shared" si="20"/>
        <v/>
      </c>
      <c r="AD137" s="76" t="str">
        <f t="shared" si="21"/>
        <v/>
      </c>
      <c r="AE137" s="76" t="str">
        <f t="shared" si="22"/>
        <v/>
      </c>
      <c r="AF137" s="76" t="str">
        <f t="shared" si="23"/>
        <v/>
      </c>
      <c r="AG137" s="76" t="str">
        <f t="shared" si="24"/>
        <v/>
      </c>
      <c r="AH137" s="76" t="str">
        <f t="shared" si="25"/>
        <v/>
      </c>
      <c r="AI137" s="76" t="str">
        <f t="shared" si="26"/>
        <v/>
      </c>
      <c r="AJ137" s="76" t="str">
        <f t="shared" si="27"/>
        <v/>
      </c>
      <c r="AK137" s="76" t="str">
        <f t="shared" si="28"/>
        <v/>
      </c>
      <c r="AL137" s="76" t="str">
        <f t="shared" si="29"/>
        <v/>
      </c>
      <c r="AM137" s="76" t="str">
        <f t="shared" si="30"/>
        <v/>
      </c>
      <c r="AN137" s="76" t="str">
        <f t="shared" si="31"/>
        <v/>
      </c>
      <c r="AO137" s="76" t="str">
        <f t="shared" si="32"/>
        <v/>
      </c>
      <c r="AP137" s="76" t="str">
        <f t="shared" si="33"/>
        <v/>
      </c>
    </row>
    <row r="138" ht="15.75" customHeight="1">
      <c r="A138" s="76" t="str">
        <f>IF('Manual Entry'!A110="","",'Manual Entry'!A110)</f>
        <v/>
      </c>
      <c r="B138" s="76" t="str">
        <f t="shared" si="3"/>
        <v/>
      </c>
      <c r="C138" s="76" t="str">
        <f t="shared" si="4"/>
        <v/>
      </c>
      <c r="D138" s="76" t="str">
        <f>'Manual Entry'!D110</f>
        <v/>
      </c>
      <c r="E138" s="76" t="str">
        <f>'Manual Entry'!B110</f>
        <v/>
      </c>
      <c r="F138" s="76" t="str">
        <f>'Manual Entry'!F110</f>
        <v/>
      </c>
      <c r="G138" s="76" t="str">
        <f>'Manual Entry'!G110</f>
        <v/>
      </c>
      <c r="H138" s="76" t="str">
        <f>'Manual Entry'!H110</f>
        <v/>
      </c>
      <c r="I138" s="78" t="str">
        <f>'Manual Entry'!I110</f>
        <v/>
      </c>
      <c r="J138" s="78" t="str">
        <f>'Manual Entry'!J110</f>
        <v/>
      </c>
      <c r="K138" s="78" t="str">
        <f>'Manual Entry'!K110</f>
        <v/>
      </c>
      <c r="L138" s="78" t="str">
        <f>'Manual Entry'!L110</f>
        <v/>
      </c>
      <c r="M138" s="78" t="str">
        <f>'Manual Entry'!M110</f>
        <v/>
      </c>
      <c r="N138" s="78" t="str">
        <f>'Manual Entry'!N110</f>
        <v/>
      </c>
      <c r="O138" s="76">
        <f t="shared" si="6"/>
        <v>0</v>
      </c>
      <c r="P138" s="76">
        <f t="shared" si="7"/>
        <v>0</v>
      </c>
      <c r="Q138" s="76">
        <f t="shared" si="8"/>
        <v>0</v>
      </c>
      <c r="R138" s="76">
        <f t="shared" si="9"/>
        <v>0</v>
      </c>
      <c r="S138" s="76" t="str">
        <f t="shared" si="10"/>
        <v/>
      </c>
      <c r="T138" s="76" t="str">
        <f t="shared" si="11"/>
        <v/>
      </c>
      <c r="U138" s="76" t="str">
        <f t="shared" si="12"/>
        <v/>
      </c>
      <c r="V138" s="76" t="str">
        <f t="shared" si="13"/>
        <v/>
      </c>
      <c r="W138" s="76" t="str">
        <f t="shared" si="14"/>
        <v/>
      </c>
      <c r="X138" s="76" t="str">
        <f t="shared" si="15"/>
        <v/>
      </c>
      <c r="Y138" s="76" t="str">
        <f t="shared" si="16"/>
        <v/>
      </c>
      <c r="Z138" s="76" t="str">
        <f t="shared" si="17"/>
        <v/>
      </c>
      <c r="AA138" s="76" t="str">
        <f t="shared" si="18"/>
        <v/>
      </c>
      <c r="AB138" s="76" t="str">
        <f t="shared" si="19"/>
        <v/>
      </c>
      <c r="AC138" s="76" t="str">
        <f t="shared" si="20"/>
        <v/>
      </c>
      <c r="AD138" s="76" t="str">
        <f t="shared" si="21"/>
        <v/>
      </c>
      <c r="AE138" s="76" t="str">
        <f t="shared" si="22"/>
        <v/>
      </c>
      <c r="AF138" s="76" t="str">
        <f t="shared" si="23"/>
        <v/>
      </c>
      <c r="AG138" s="76" t="str">
        <f t="shared" si="24"/>
        <v/>
      </c>
      <c r="AH138" s="76" t="str">
        <f t="shared" si="25"/>
        <v/>
      </c>
      <c r="AI138" s="76" t="str">
        <f t="shared" si="26"/>
        <v/>
      </c>
      <c r="AJ138" s="76" t="str">
        <f t="shared" si="27"/>
        <v/>
      </c>
      <c r="AK138" s="76" t="str">
        <f t="shared" si="28"/>
        <v/>
      </c>
      <c r="AL138" s="76" t="str">
        <f t="shared" si="29"/>
        <v/>
      </c>
      <c r="AM138" s="76" t="str">
        <f t="shared" si="30"/>
        <v/>
      </c>
      <c r="AN138" s="76" t="str">
        <f t="shared" si="31"/>
        <v/>
      </c>
      <c r="AO138" s="76" t="str">
        <f t="shared" si="32"/>
        <v/>
      </c>
      <c r="AP138" s="76" t="str">
        <f t="shared" si="33"/>
        <v/>
      </c>
    </row>
    <row r="139" ht="15.75" customHeight="1">
      <c r="A139" s="76" t="str">
        <f>IF('Manual Entry'!A111="","",'Manual Entry'!A111)</f>
        <v/>
      </c>
      <c r="B139" s="76" t="str">
        <f t="shared" si="3"/>
        <v/>
      </c>
      <c r="C139" s="76" t="str">
        <f t="shared" si="4"/>
        <v/>
      </c>
      <c r="D139" s="76" t="str">
        <f>'Manual Entry'!D111</f>
        <v/>
      </c>
      <c r="E139" s="76" t="str">
        <f>'Manual Entry'!B111</f>
        <v/>
      </c>
      <c r="F139" s="76" t="str">
        <f>'Manual Entry'!F111</f>
        <v/>
      </c>
      <c r="G139" s="76" t="str">
        <f>'Manual Entry'!G111</f>
        <v/>
      </c>
      <c r="H139" s="76" t="str">
        <f>'Manual Entry'!H111</f>
        <v/>
      </c>
      <c r="I139" s="78" t="str">
        <f>'Manual Entry'!I111</f>
        <v/>
      </c>
      <c r="J139" s="78" t="str">
        <f>'Manual Entry'!J111</f>
        <v/>
      </c>
      <c r="K139" s="78" t="str">
        <f>'Manual Entry'!K111</f>
        <v/>
      </c>
      <c r="L139" s="78" t="str">
        <f>'Manual Entry'!L111</f>
        <v/>
      </c>
      <c r="M139" s="78" t="str">
        <f>'Manual Entry'!M111</f>
        <v/>
      </c>
      <c r="N139" s="78" t="str">
        <f>'Manual Entry'!N111</f>
        <v/>
      </c>
      <c r="O139" s="76">
        <f t="shared" si="6"/>
        <v>0</v>
      </c>
      <c r="P139" s="76">
        <f t="shared" si="7"/>
        <v>0</v>
      </c>
      <c r="Q139" s="76">
        <f t="shared" si="8"/>
        <v>0</v>
      </c>
      <c r="R139" s="76">
        <f t="shared" si="9"/>
        <v>0</v>
      </c>
      <c r="S139" s="76" t="str">
        <f t="shared" si="10"/>
        <v/>
      </c>
      <c r="T139" s="76" t="str">
        <f t="shared" si="11"/>
        <v/>
      </c>
      <c r="U139" s="76" t="str">
        <f t="shared" si="12"/>
        <v/>
      </c>
      <c r="V139" s="76" t="str">
        <f t="shared" si="13"/>
        <v/>
      </c>
      <c r="W139" s="76" t="str">
        <f t="shared" si="14"/>
        <v/>
      </c>
      <c r="X139" s="76" t="str">
        <f t="shared" si="15"/>
        <v/>
      </c>
      <c r="Y139" s="76" t="str">
        <f t="shared" si="16"/>
        <v/>
      </c>
      <c r="Z139" s="76" t="str">
        <f t="shared" si="17"/>
        <v/>
      </c>
      <c r="AA139" s="76" t="str">
        <f t="shared" si="18"/>
        <v/>
      </c>
      <c r="AB139" s="76" t="str">
        <f t="shared" si="19"/>
        <v/>
      </c>
      <c r="AC139" s="76" t="str">
        <f t="shared" si="20"/>
        <v/>
      </c>
      <c r="AD139" s="76" t="str">
        <f t="shared" si="21"/>
        <v/>
      </c>
      <c r="AE139" s="76" t="str">
        <f t="shared" si="22"/>
        <v/>
      </c>
      <c r="AF139" s="76" t="str">
        <f t="shared" si="23"/>
        <v/>
      </c>
      <c r="AG139" s="76" t="str">
        <f t="shared" si="24"/>
        <v/>
      </c>
      <c r="AH139" s="76" t="str">
        <f t="shared" si="25"/>
        <v/>
      </c>
      <c r="AI139" s="76" t="str">
        <f t="shared" si="26"/>
        <v/>
      </c>
      <c r="AJ139" s="76" t="str">
        <f t="shared" si="27"/>
        <v/>
      </c>
      <c r="AK139" s="76" t="str">
        <f t="shared" si="28"/>
        <v/>
      </c>
      <c r="AL139" s="76" t="str">
        <f t="shared" si="29"/>
        <v/>
      </c>
      <c r="AM139" s="76" t="str">
        <f t="shared" si="30"/>
        <v/>
      </c>
      <c r="AN139" s="76" t="str">
        <f t="shared" si="31"/>
        <v/>
      </c>
      <c r="AO139" s="76" t="str">
        <f t="shared" si="32"/>
        <v/>
      </c>
      <c r="AP139" s="76" t="str">
        <f t="shared" si="33"/>
        <v/>
      </c>
    </row>
    <row r="140" ht="15.75" customHeight="1">
      <c r="A140" s="76" t="str">
        <f>IF('Manual Entry'!A112="","",'Manual Entry'!A112)</f>
        <v/>
      </c>
      <c r="B140" s="76" t="str">
        <f t="shared" si="3"/>
        <v/>
      </c>
      <c r="C140" s="76" t="str">
        <f t="shared" si="4"/>
        <v/>
      </c>
      <c r="D140" s="76" t="str">
        <f>'Manual Entry'!D112</f>
        <v/>
      </c>
      <c r="E140" s="76" t="str">
        <f>'Manual Entry'!B112</f>
        <v/>
      </c>
      <c r="F140" s="76" t="str">
        <f>'Manual Entry'!F112</f>
        <v/>
      </c>
      <c r="G140" s="76" t="str">
        <f>'Manual Entry'!G112</f>
        <v/>
      </c>
      <c r="H140" s="76" t="str">
        <f>'Manual Entry'!H112</f>
        <v/>
      </c>
      <c r="I140" s="78" t="str">
        <f>'Manual Entry'!I112</f>
        <v/>
      </c>
      <c r="J140" s="78" t="str">
        <f>'Manual Entry'!J112</f>
        <v/>
      </c>
      <c r="K140" s="78" t="str">
        <f>'Manual Entry'!K112</f>
        <v/>
      </c>
      <c r="L140" s="78" t="str">
        <f>'Manual Entry'!L112</f>
        <v/>
      </c>
      <c r="M140" s="78" t="str">
        <f>'Manual Entry'!M112</f>
        <v/>
      </c>
      <c r="N140" s="78" t="str">
        <f>'Manual Entry'!N112</f>
        <v/>
      </c>
      <c r="O140" s="76">
        <f t="shared" si="6"/>
        <v>0</v>
      </c>
      <c r="P140" s="76">
        <f t="shared" si="7"/>
        <v>0</v>
      </c>
      <c r="Q140" s="76">
        <f t="shared" si="8"/>
        <v>0</v>
      </c>
      <c r="R140" s="76">
        <f t="shared" si="9"/>
        <v>0</v>
      </c>
      <c r="S140" s="76" t="str">
        <f t="shared" si="10"/>
        <v/>
      </c>
      <c r="T140" s="76" t="str">
        <f t="shared" si="11"/>
        <v/>
      </c>
      <c r="U140" s="76" t="str">
        <f t="shared" si="12"/>
        <v/>
      </c>
      <c r="V140" s="76" t="str">
        <f t="shared" si="13"/>
        <v/>
      </c>
      <c r="W140" s="76" t="str">
        <f t="shared" si="14"/>
        <v/>
      </c>
      <c r="X140" s="76" t="str">
        <f t="shared" si="15"/>
        <v/>
      </c>
      <c r="Y140" s="76" t="str">
        <f t="shared" si="16"/>
        <v/>
      </c>
      <c r="Z140" s="76" t="str">
        <f t="shared" si="17"/>
        <v/>
      </c>
      <c r="AA140" s="76" t="str">
        <f t="shared" si="18"/>
        <v/>
      </c>
      <c r="AB140" s="76" t="str">
        <f t="shared" si="19"/>
        <v/>
      </c>
      <c r="AC140" s="76" t="str">
        <f t="shared" si="20"/>
        <v/>
      </c>
      <c r="AD140" s="76" t="str">
        <f t="shared" si="21"/>
        <v/>
      </c>
      <c r="AE140" s="76" t="str">
        <f t="shared" si="22"/>
        <v/>
      </c>
      <c r="AF140" s="76" t="str">
        <f t="shared" si="23"/>
        <v/>
      </c>
      <c r="AG140" s="76" t="str">
        <f t="shared" si="24"/>
        <v/>
      </c>
      <c r="AH140" s="76" t="str">
        <f t="shared" si="25"/>
        <v/>
      </c>
      <c r="AI140" s="76" t="str">
        <f t="shared" si="26"/>
        <v/>
      </c>
      <c r="AJ140" s="76" t="str">
        <f t="shared" si="27"/>
        <v/>
      </c>
      <c r="AK140" s="76" t="str">
        <f t="shared" si="28"/>
        <v/>
      </c>
      <c r="AL140" s="76" t="str">
        <f t="shared" si="29"/>
        <v/>
      </c>
      <c r="AM140" s="76" t="str">
        <f t="shared" si="30"/>
        <v/>
      </c>
      <c r="AN140" s="76" t="str">
        <f t="shared" si="31"/>
        <v/>
      </c>
      <c r="AO140" s="76" t="str">
        <f t="shared" si="32"/>
        <v/>
      </c>
      <c r="AP140" s="76" t="str">
        <f t="shared" si="33"/>
        <v/>
      </c>
    </row>
    <row r="141" ht="15.75" customHeight="1">
      <c r="A141" s="76" t="str">
        <f>IF('Manual Entry'!A113="","",'Manual Entry'!A113)</f>
        <v/>
      </c>
      <c r="B141" s="76" t="str">
        <f t="shared" si="3"/>
        <v/>
      </c>
      <c r="C141" s="76" t="str">
        <f t="shared" si="4"/>
        <v/>
      </c>
      <c r="D141" s="76" t="str">
        <f>'Manual Entry'!D113</f>
        <v/>
      </c>
      <c r="E141" s="76" t="str">
        <f>'Manual Entry'!B113</f>
        <v/>
      </c>
      <c r="F141" s="76" t="str">
        <f>'Manual Entry'!F113</f>
        <v/>
      </c>
      <c r="G141" s="76" t="str">
        <f>'Manual Entry'!G113</f>
        <v/>
      </c>
      <c r="H141" s="76" t="str">
        <f>'Manual Entry'!H113</f>
        <v/>
      </c>
      <c r="I141" s="78" t="str">
        <f>'Manual Entry'!I113</f>
        <v/>
      </c>
      <c r="J141" s="78" t="str">
        <f>'Manual Entry'!J113</f>
        <v/>
      </c>
      <c r="K141" s="78" t="str">
        <f>'Manual Entry'!K113</f>
        <v/>
      </c>
      <c r="L141" s="78" t="str">
        <f>'Manual Entry'!L113</f>
        <v/>
      </c>
      <c r="M141" s="78" t="str">
        <f>'Manual Entry'!M113</f>
        <v/>
      </c>
      <c r="N141" s="78" t="str">
        <f>'Manual Entry'!N113</f>
        <v/>
      </c>
      <c r="O141" s="76">
        <f t="shared" si="6"/>
        <v>0</v>
      </c>
      <c r="P141" s="76">
        <f t="shared" si="7"/>
        <v>0</v>
      </c>
      <c r="Q141" s="76">
        <f t="shared" si="8"/>
        <v>0</v>
      </c>
      <c r="R141" s="76">
        <f t="shared" si="9"/>
        <v>0</v>
      </c>
      <c r="S141" s="76" t="str">
        <f t="shared" si="10"/>
        <v/>
      </c>
      <c r="T141" s="76" t="str">
        <f t="shared" si="11"/>
        <v/>
      </c>
      <c r="U141" s="76" t="str">
        <f t="shared" si="12"/>
        <v/>
      </c>
      <c r="V141" s="76" t="str">
        <f t="shared" si="13"/>
        <v/>
      </c>
      <c r="W141" s="76" t="str">
        <f t="shared" si="14"/>
        <v/>
      </c>
      <c r="X141" s="76" t="str">
        <f t="shared" si="15"/>
        <v/>
      </c>
      <c r="Y141" s="76" t="str">
        <f t="shared" si="16"/>
        <v/>
      </c>
      <c r="Z141" s="76" t="str">
        <f t="shared" si="17"/>
        <v/>
      </c>
      <c r="AA141" s="76" t="str">
        <f t="shared" si="18"/>
        <v/>
      </c>
      <c r="AB141" s="76" t="str">
        <f t="shared" si="19"/>
        <v/>
      </c>
      <c r="AC141" s="76" t="str">
        <f t="shared" si="20"/>
        <v/>
      </c>
      <c r="AD141" s="76" t="str">
        <f t="shared" si="21"/>
        <v/>
      </c>
      <c r="AE141" s="76" t="str">
        <f t="shared" si="22"/>
        <v/>
      </c>
      <c r="AF141" s="76" t="str">
        <f t="shared" si="23"/>
        <v/>
      </c>
      <c r="AG141" s="76" t="str">
        <f t="shared" si="24"/>
        <v/>
      </c>
      <c r="AH141" s="76" t="str">
        <f t="shared" si="25"/>
        <v/>
      </c>
      <c r="AI141" s="76" t="str">
        <f t="shared" si="26"/>
        <v/>
      </c>
      <c r="AJ141" s="76" t="str">
        <f t="shared" si="27"/>
        <v/>
      </c>
      <c r="AK141" s="76" t="str">
        <f t="shared" si="28"/>
        <v/>
      </c>
      <c r="AL141" s="76" t="str">
        <f t="shared" si="29"/>
        <v/>
      </c>
      <c r="AM141" s="76" t="str">
        <f t="shared" si="30"/>
        <v/>
      </c>
      <c r="AN141" s="76" t="str">
        <f t="shared" si="31"/>
        <v/>
      </c>
      <c r="AO141" s="76" t="str">
        <f t="shared" si="32"/>
        <v/>
      </c>
      <c r="AP141" s="76" t="str">
        <f t="shared" si="33"/>
        <v/>
      </c>
    </row>
    <row r="142" ht="15.75" customHeight="1">
      <c r="A142" s="76" t="str">
        <f>IF('Manual Entry'!A114="","",'Manual Entry'!A114)</f>
        <v/>
      </c>
      <c r="B142" s="76" t="str">
        <f t="shared" si="3"/>
        <v/>
      </c>
      <c r="C142" s="76" t="str">
        <f t="shared" si="4"/>
        <v/>
      </c>
      <c r="D142" s="76" t="str">
        <f>'Manual Entry'!D114</f>
        <v/>
      </c>
      <c r="E142" s="76" t="str">
        <f>'Manual Entry'!B114</f>
        <v/>
      </c>
      <c r="F142" s="76" t="str">
        <f>'Manual Entry'!F114</f>
        <v/>
      </c>
      <c r="G142" s="76" t="str">
        <f>'Manual Entry'!G114</f>
        <v/>
      </c>
      <c r="H142" s="76" t="str">
        <f>'Manual Entry'!H114</f>
        <v/>
      </c>
      <c r="I142" s="78" t="str">
        <f>'Manual Entry'!I114</f>
        <v/>
      </c>
      <c r="J142" s="78" t="str">
        <f>'Manual Entry'!J114</f>
        <v/>
      </c>
      <c r="K142" s="78" t="str">
        <f>'Manual Entry'!K114</f>
        <v/>
      </c>
      <c r="L142" s="78" t="str">
        <f>'Manual Entry'!L114</f>
        <v/>
      </c>
      <c r="M142" s="78" t="str">
        <f>'Manual Entry'!M114</f>
        <v/>
      </c>
      <c r="N142" s="78" t="str">
        <f>'Manual Entry'!N114</f>
        <v/>
      </c>
      <c r="O142" s="76">
        <f t="shared" si="6"/>
        <v>0</v>
      </c>
      <c r="P142" s="76">
        <f t="shared" si="7"/>
        <v>0</v>
      </c>
      <c r="Q142" s="76">
        <f t="shared" si="8"/>
        <v>0</v>
      </c>
      <c r="R142" s="76">
        <f t="shared" si="9"/>
        <v>0</v>
      </c>
      <c r="S142" s="76" t="str">
        <f t="shared" si="10"/>
        <v/>
      </c>
      <c r="T142" s="76" t="str">
        <f t="shared" si="11"/>
        <v/>
      </c>
      <c r="U142" s="76" t="str">
        <f t="shared" si="12"/>
        <v/>
      </c>
      <c r="V142" s="76" t="str">
        <f t="shared" si="13"/>
        <v/>
      </c>
      <c r="W142" s="76" t="str">
        <f t="shared" si="14"/>
        <v/>
      </c>
      <c r="X142" s="76" t="str">
        <f t="shared" si="15"/>
        <v/>
      </c>
      <c r="Y142" s="76" t="str">
        <f t="shared" si="16"/>
        <v/>
      </c>
      <c r="Z142" s="76" t="str">
        <f t="shared" si="17"/>
        <v/>
      </c>
      <c r="AA142" s="76" t="str">
        <f t="shared" si="18"/>
        <v/>
      </c>
      <c r="AB142" s="76" t="str">
        <f t="shared" si="19"/>
        <v/>
      </c>
      <c r="AC142" s="76" t="str">
        <f t="shared" si="20"/>
        <v/>
      </c>
      <c r="AD142" s="76" t="str">
        <f t="shared" si="21"/>
        <v/>
      </c>
      <c r="AE142" s="76" t="str">
        <f t="shared" si="22"/>
        <v/>
      </c>
      <c r="AF142" s="76" t="str">
        <f t="shared" si="23"/>
        <v/>
      </c>
      <c r="AG142" s="76" t="str">
        <f t="shared" si="24"/>
        <v/>
      </c>
      <c r="AH142" s="76" t="str">
        <f t="shared" si="25"/>
        <v/>
      </c>
      <c r="AI142" s="76" t="str">
        <f t="shared" si="26"/>
        <v/>
      </c>
      <c r="AJ142" s="76" t="str">
        <f t="shared" si="27"/>
        <v/>
      </c>
      <c r="AK142" s="76" t="str">
        <f t="shared" si="28"/>
        <v/>
      </c>
      <c r="AL142" s="76" t="str">
        <f t="shared" si="29"/>
        <v/>
      </c>
      <c r="AM142" s="76" t="str">
        <f t="shared" si="30"/>
        <v/>
      </c>
      <c r="AN142" s="76" t="str">
        <f t="shared" si="31"/>
        <v/>
      </c>
      <c r="AO142" s="76" t="str">
        <f t="shared" si="32"/>
        <v/>
      </c>
      <c r="AP142" s="76" t="str">
        <f t="shared" si="33"/>
        <v/>
      </c>
    </row>
    <row r="143" ht="15.75" customHeight="1">
      <c r="A143" s="76" t="str">
        <f>IF('Manual Entry'!A115="","",'Manual Entry'!A115)</f>
        <v/>
      </c>
      <c r="B143" s="76" t="str">
        <f t="shared" si="3"/>
        <v/>
      </c>
      <c r="C143" s="76" t="str">
        <f t="shared" si="4"/>
        <v/>
      </c>
      <c r="D143" s="76" t="str">
        <f>'Manual Entry'!D115</f>
        <v/>
      </c>
      <c r="E143" s="76" t="str">
        <f>'Manual Entry'!B115</f>
        <v/>
      </c>
      <c r="F143" s="76" t="str">
        <f>'Manual Entry'!F115</f>
        <v/>
      </c>
      <c r="G143" s="76" t="str">
        <f>'Manual Entry'!G115</f>
        <v/>
      </c>
      <c r="H143" s="76" t="str">
        <f>'Manual Entry'!H115</f>
        <v/>
      </c>
      <c r="I143" s="78" t="str">
        <f>'Manual Entry'!I115</f>
        <v/>
      </c>
      <c r="J143" s="78" t="str">
        <f>'Manual Entry'!J115</f>
        <v/>
      </c>
      <c r="K143" s="78" t="str">
        <f>'Manual Entry'!K115</f>
        <v/>
      </c>
      <c r="L143" s="78" t="str">
        <f>'Manual Entry'!L115</f>
        <v/>
      </c>
      <c r="M143" s="78" t="str">
        <f>'Manual Entry'!M115</f>
        <v/>
      </c>
      <c r="N143" s="78" t="str">
        <f>'Manual Entry'!N115</f>
        <v/>
      </c>
      <c r="O143" s="76">
        <f t="shared" si="6"/>
        <v>0</v>
      </c>
      <c r="P143" s="76">
        <f t="shared" si="7"/>
        <v>0</v>
      </c>
      <c r="Q143" s="76">
        <f t="shared" si="8"/>
        <v>0</v>
      </c>
      <c r="R143" s="76">
        <f t="shared" si="9"/>
        <v>0</v>
      </c>
      <c r="S143" s="76" t="str">
        <f t="shared" si="10"/>
        <v/>
      </c>
      <c r="T143" s="76" t="str">
        <f t="shared" si="11"/>
        <v/>
      </c>
      <c r="U143" s="76" t="str">
        <f t="shared" si="12"/>
        <v/>
      </c>
      <c r="V143" s="76" t="str">
        <f t="shared" si="13"/>
        <v/>
      </c>
      <c r="W143" s="76" t="str">
        <f t="shared" si="14"/>
        <v/>
      </c>
      <c r="X143" s="76" t="str">
        <f t="shared" si="15"/>
        <v/>
      </c>
      <c r="Y143" s="76" t="str">
        <f t="shared" si="16"/>
        <v/>
      </c>
      <c r="Z143" s="76" t="str">
        <f t="shared" si="17"/>
        <v/>
      </c>
      <c r="AA143" s="76" t="str">
        <f t="shared" si="18"/>
        <v/>
      </c>
      <c r="AB143" s="76" t="str">
        <f t="shared" si="19"/>
        <v/>
      </c>
      <c r="AC143" s="76" t="str">
        <f t="shared" si="20"/>
        <v/>
      </c>
      <c r="AD143" s="76" t="str">
        <f t="shared" si="21"/>
        <v/>
      </c>
      <c r="AE143" s="76" t="str">
        <f t="shared" si="22"/>
        <v/>
      </c>
      <c r="AF143" s="76" t="str">
        <f t="shared" si="23"/>
        <v/>
      </c>
      <c r="AG143" s="76" t="str">
        <f t="shared" si="24"/>
        <v/>
      </c>
      <c r="AH143" s="76" t="str">
        <f t="shared" si="25"/>
        <v/>
      </c>
      <c r="AI143" s="76" t="str">
        <f t="shared" si="26"/>
        <v/>
      </c>
      <c r="AJ143" s="76" t="str">
        <f t="shared" si="27"/>
        <v/>
      </c>
      <c r="AK143" s="76" t="str">
        <f t="shared" si="28"/>
        <v/>
      </c>
      <c r="AL143" s="76" t="str">
        <f t="shared" si="29"/>
        <v/>
      </c>
      <c r="AM143" s="76" t="str">
        <f t="shared" si="30"/>
        <v/>
      </c>
      <c r="AN143" s="76" t="str">
        <f t="shared" si="31"/>
        <v/>
      </c>
      <c r="AO143" s="76" t="str">
        <f t="shared" si="32"/>
        <v/>
      </c>
      <c r="AP143" s="76" t="str">
        <f t="shared" si="33"/>
        <v/>
      </c>
    </row>
    <row r="144" ht="15.75" customHeight="1">
      <c r="A144" s="76" t="str">
        <f>IF('Manual Entry'!A116="","",'Manual Entry'!A116)</f>
        <v/>
      </c>
      <c r="B144" s="76" t="str">
        <f t="shared" si="3"/>
        <v/>
      </c>
      <c r="C144" s="76" t="str">
        <f t="shared" si="4"/>
        <v/>
      </c>
      <c r="D144" s="76" t="str">
        <f>'Manual Entry'!D116</f>
        <v/>
      </c>
      <c r="E144" s="76" t="str">
        <f>'Manual Entry'!B116</f>
        <v/>
      </c>
      <c r="F144" s="76" t="str">
        <f>'Manual Entry'!F116</f>
        <v/>
      </c>
      <c r="G144" s="76" t="str">
        <f>'Manual Entry'!G116</f>
        <v/>
      </c>
      <c r="H144" s="76" t="str">
        <f>'Manual Entry'!H116</f>
        <v/>
      </c>
      <c r="I144" s="78" t="str">
        <f>'Manual Entry'!I116</f>
        <v/>
      </c>
      <c r="J144" s="78" t="str">
        <f>'Manual Entry'!J116</f>
        <v/>
      </c>
      <c r="K144" s="78" t="str">
        <f>'Manual Entry'!K116</f>
        <v/>
      </c>
      <c r="L144" s="78" t="str">
        <f>'Manual Entry'!L116</f>
        <v/>
      </c>
      <c r="M144" s="78" t="str">
        <f>'Manual Entry'!M116</f>
        <v/>
      </c>
      <c r="N144" s="78" t="str">
        <f>'Manual Entry'!N116</f>
        <v/>
      </c>
      <c r="O144" s="76">
        <f t="shared" si="6"/>
        <v>0</v>
      </c>
      <c r="P144" s="76">
        <f t="shared" si="7"/>
        <v>0</v>
      </c>
      <c r="Q144" s="76">
        <f t="shared" si="8"/>
        <v>0</v>
      </c>
      <c r="R144" s="76">
        <f t="shared" si="9"/>
        <v>0</v>
      </c>
      <c r="S144" s="76" t="str">
        <f t="shared" si="10"/>
        <v/>
      </c>
      <c r="T144" s="76" t="str">
        <f t="shared" si="11"/>
        <v/>
      </c>
      <c r="U144" s="76" t="str">
        <f t="shared" si="12"/>
        <v/>
      </c>
      <c r="V144" s="76" t="str">
        <f t="shared" si="13"/>
        <v/>
      </c>
      <c r="W144" s="76" t="str">
        <f t="shared" si="14"/>
        <v/>
      </c>
      <c r="X144" s="76" t="str">
        <f t="shared" si="15"/>
        <v/>
      </c>
      <c r="Y144" s="76" t="str">
        <f t="shared" si="16"/>
        <v/>
      </c>
      <c r="Z144" s="76" t="str">
        <f t="shared" si="17"/>
        <v/>
      </c>
      <c r="AA144" s="76" t="str">
        <f t="shared" si="18"/>
        <v/>
      </c>
      <c r="AB144" s="76" t="str">
        <f t="shared" si="19"/>
        <v/>
      </c>
      <c r="AC144" s="76" t="str">
        <f t="shared" si="20"/>
        <v/>
      </c>
      <c r="AD144" s="76" t="str">
        <f t="shared" si="21"/>
        <v/>
      </c>
      <c r="AE144" s="76" t="str">
        <f t="shared" si="22"/>
        <v/>
      </c>
      <c r="AF144" s="76" t="str">
        <f t="shared" si="23"/>
        <v/>
      </c>
      <c r="AG144" s="76" t="str">
        <f t="shared" si="24"/>
        <v/>
      </c>
      <c r="AH144" s="76" t="str">
        <f t="shared" si="25"/>
        <v/>
      </c>
      <c r="AI144" s="76" t="str">
        <f t="shared" si="26"/>
        <v/>
      </c>
      <c r="AJ144" s="76" t="str">
        <f t="shared" si="27"/>
        <v/>
      </c>
      <c r="AK144" s="76" t="str">
        <f t="shared" si="28"/>
        <v/>
      </c>
      <c r="AL144" s="76" t="str">
        <f t="shared" si="29"/>
        <v/>
      </c>
      <c r="AM144" s="76" t="str">
        <f t="shared" si="30"/>
        <v/>
      </c>
      <c r="AN144" s="76" t="str">
        <f t="shared" si="31"/>
        <v/>
      </c>
      <c r="AO144" s="76" t="str">
        <f t="shared" si="32"/>
        <v/>
      </c>
      <c r="AP144" s="76" t="str">
        <f t="shared" si="33"/>
        <v/>
      </c>
    </row>
    <row r="145" ht="15.75" customHeight="1">
      <c r="A145" s="76" t="str">
        <f>IF('Manual Entry'!A117="","",'Manual Entry'!A117)</f>
        <v/>
      </c>
      <c r="B145" s="76" t="str">
        <f t="shared" si="3"/>
        <v/>
      </c>
      <c r="C145" s="76" t="str">
        <f t="shared" si="4"/>
        <v/>
      </c>
      <c r="D145" s="76" t="str">
        <f>'Manual Entry'!D117</f>
        <v/>
      </c>
      <c r="E145" s="76" t="str">
        <f>'Manual Entry'!B117</f>
        <v/>
      </c>
      <c r="F145" s="76" t="str">
        <f>'Manual Entry'!F117</f>
        <v/>
      </c>
      <c r="G145" s="76" t="str">
        <f>'Manual Entry'!G117</f>
        <v/>
      </c>
      <c r="H145" s="76" t="str">
        <f>'Manual Entry'!H117</f>
        <v/>
      </c>
      <c r="I145" s="78" t="str">
        <f>'Manual Entry'!I117</f>
        <v/>
      </c>
      <c r="J145" s="78" t="str">
        <f>'Manual Entry'!J117</f>
        <v/>
      </c>
      <c r="K145" s="78" t="str">
        <f>'Manual Entry'!K117</f>
        <v/>
      </c>
      <c r="L145" s="78" t="str">
        <f>'Manual Entry'!L117</f>
        <v/>
      </c>
      <c r="M145" s="78" t="str">
        <f>'Manual Entry'!M117</f>
        <v/>
      </c>
      <c r="N145" s="78" t="str">
        <f>'Manual Entry'!N117</f>
        <v/>
      </c>
      <c r="O145" s="76">
        <f t="shared" si="6"/>
        <v>0</v>
      </c>
      <c r="P145" s="76">
        <f t="shared" si="7"/>
        <v>0</v>
      </c>
      <c r="Q145" s="76">
        <f t="shared" si="8"/>
        <v>0</v>
      </c>
      <c r="R145" s="76">
        <f t="shared" si="9"/>
        <v>0</v>
      </c>
      <c r="S145" s="76" t="str">
        <f t="shared" si="10"/>
        <v/>
      </c>
      <c r="T145" s="76" t="str">
        <f t="shared" si="11"/>
        <v/>
      </c>
      <c r="U145" s="76" t="str">
        <f t="shared" si="12"/>
        <v/>
      </c>
      <c r="V145" s="76" t="str">
        <f t="shared" si="13"/>
        <v/>
      </c>
      <c r="W145" s="76" t="str">
        <f t="shared" si="14"/>
        <v/>
      </c>
      <c r="X145" s="76" t="str">
        <f t="shared" si="15"/>
        <v/>
      </c>
      <c r="Y145" s="76" t="str">
        <f t="shared" si="16"/>
        <v/>
      </c>
      <c r="Z145" s="76" t="str">
        <f t="shared" si="17"/>
        <v/>
      </c>
      <c r="AA145" s="76" t="str">
        <f t="shared" si="18"/>
        <v/>
      </c>
      <c r="AB145" s="76" t="str">
        <f t="shared" si="19"/>
        <v/>
      </c>
      <c r="AC145" s="76" t="str">
        <f t="shared" si="20"/>
        <v/>
      </c>
      <c r="AD145" s="76" t="str">
        <f t="shared" si="21"/>
        <v/>
      </c>
      <c r="AE145" s="76" t="str">
        <f t="shared" si="22"/>
        <v/>
      </c>
      <c r="AF145" s="76" t="str">
        <f t="shared" si="23"/>
        <v/>
      </c>
      <c r="AG145" s="76" t="str">
        <f t="shared" si="24"/>
        <v/>
      </c>
      <c r="AH145" s="76" t="str">
        <f t="shared" si="25"/>
        <v/>
      </c>
      <c r="AI145" s="76" t="str">
        <f t="shared" si="26"/>
        <v/>
      </c>
      <c r="AJ145" s="76" t="str">
        <f t="shared" si="27"/>
        <v/>
      </c>
      <c r="AK145" s="76" t="str">
        <f t="shared" si="28"/>
        <v/>
      </c>
      <c r="AL145" s="76" t="str">
        <f t="shared" si="29"/>
        <v/>
      </c>
      <c r="AM145" s="76" t="str">
        <f t="shared" si="30"/>
        <v/>
      </c>
      <c r="AN145" s="76" t="str">
        <f t="shared" si="31"/>
        <v/>
      </c>
      <c r="AO145" s="76" t="str">
        <f t="shared" si="32"/>
        <v/>
      </c>
      <c r="AP145" s="76" t="str">
        <f t="shared" si="33"/>
        <v/>
      </c>
    </row>
    <row r="146" ht="15.75" customHeight="1">
      <c r="A146" s="76" t="str">
        <f>IF('Manual Entry'!A118="","",'Manual Entry'!A118)</f>
        <v/>
      </c>
      <c r="B146" s="76" t="str">
        <f t="shared" si="3"/>
        <v/>
      </c>
      <c r="C146" s="76" t="str">
        <f t="shared" si="4"/>
        <v/>
      </c>
      <c r="D146" s="76" t="str">
        <f>'Manual Entry'!D118</f>
        <v/>
      </c>
      <c r="E146" s="76" t="str">
        <f>'Manual Entry'!B118</f>
        <v/>
      </c>
      <c r="F146" s="76" t="str">
        <f>'Manual Entry'!F118</f>
        <v/>
      </c>
      <c r="G146" s="76" t="str">
        <f>'Manual Entry'!G118</f>
        <v/>
      </c>
      <c r="H146" s="76" t="str">
        <f>'Manual Entry'!H118</f>
        <v/>
      </c>
      <c r="I146" s="78" t="str">
        <f>'Manual Entry'!I118</f>
        <v/>
      </c>
      <c r="J146" s="78" t="str">
        <f>'Manual Entry'!J118</f>
        <v/>
      </c>
      <c r="K146" s="78" t="str">
        <f>'Manual Entry'!K118</f>
        <v/>
      </c>
      <c r="L146" s="78" t="str">
        <f>'Manual Entry'!L118</f>
        <v/>
      </c>
      <c r="M146" s="78" t="str">
        <f>'Manual Entry'!M118</f>
        <v/>
      </c>
      <c r="N146" s="78" t="str">
        <f>'Manual Entry'!N118</f>
        <v/>
      </c>
      <c r="O146" s="76">
        <f t="shared" si="6"/>
        <v>0</v>
      </c>
      <c r="P146" s="76">
        <f t="shared" si="7"/>
        <v>0</v>
      </c>
      <c r="Q146" s="76">
        <f t="shared" si="8"/>
        <v>0</v>
      </c>
      <c r="R146" s="76">
        <f t="shared" si="9"/>
        <v>0</v>
      </c>
      <c r="S146" s="76" t="str">
        <f t="shared" si="10"/>
        <v/>
      </c>
      <c r="T146" s="76" t="str">
        <f t="shared" si="11"/>
        <v/>
      </c>
      <c r="U146" s="76" t="str">
        <f t="shared" si="12"/>
        <v/>
      </c>
      <c r="V146" s="76" t="str">
        <f t="shared" si="13"/>
        <v/>
      </c>
      <c r="W146" s="76" t="str">
        <f t="shared" si="14"/>
        <v/>
      </c>
      <c r="X146" s="76" t="str">
        <f t="shared" si="15"/>
        <v/>
      </c>
      <c r="Y146" s="76" t="str">
        <f t="shared" si="16"/>
        <v/>
      </c>
      <c r="Z146" s="76" t="str">
        <f t="shared" si="17"/>
        <v/>
      </c>
      <c r="AA146" s="76" t="str">
        <f t="shared" si="18"/>
        <v/>
      </c>
      <c r="AB146" s="76" t="str">
        <f t="shared" si="19"/>
        <v/>
      </c>
      <c r="AC146" s="76" t="str">
        <f t="shared" si="20"/>
        <v/>
      </c>
      <c r="AD146" s="76" t="str">
        <f t="shared" si="21"/>
        <v/>
      </c>
      <c r="AE146" s="76" t="str">
        <f t="shared" si="22"/>
        <v/>
      </c>
      <c r="AF146" s="76" t="str">
        <f t="shared" si="23"/>
        <v/>
      </c>
      <c r="AG146" s="76" t="str">
        <f t="shared" si="24"/>
        <v/>
      </c>
      <c r="AH146" s="76" t="str">
        <f t="shared" si="25"/>
        <v/>
      </c>
      <c r="AI146" s="76" t="str">
        <f t="shared" si="26"/>
        <v/>
      </c>
      <c r="AJ146" s="76" t="str">
        <f t="shared" si="27"/>
        <v/>
      </c>
      <c r="AK146" s="76" t="str">
        <f t="shared" si="28"/>
        <v/>
      </c>
      <c r="AL146" s="76" t="str">
        <f t="shared" si="29"/>
        <v/>
      </c>
      <c r="AM146" s="76" t="str">
        <f t="shared" si="30"/>
        <v/>
      </c>
      <c r="AN146" s="76" t="str">
        <f t="shared" si="31"/>
        <v/>
      </c>
      <c r="AO146" s="76" t="str">
        <f t="shared" si="32"/>
        <v/>
      </c>
      <c r="AP146" s="76" t="str">
        <f t="shared" si="33"/>
        <v/>
      </c>
    </row>
    <row r="147" ht="15.75" customHeight="1">
      <c r="A147" s="76" t="str">
        <f>IF('Manual Entry'!A119="","",'Manual Entry'!A119)</f>
        <v/>
      </c>
      <c r="B147" s="76" t="str">
        <f t="shared" si="3"/>
        <v/>
      </c>
      <c r="C147" s="76" t="str">
        <f t="shared" si="4"/>
        <v/>
      </c>
      <c r="D147" s="76" t="str">
        <f>'Manual Entry'!D119</f>
        <v/>
      </c>
      <c r="E147" s="76" t="str">
        <f>'Manual Entry'!B119</f>
        <v/>
      </c>
      <c r="F147" s="76" t="str">
        <f>'Manual Entry'!F119</f>
        <v/>
      </c>
      <c r="G147" s="76" t="str">
        <f>'Manual Entry'!G119</f>
        <v/>
      </c>
      <c r="H147" s="76" t="str">
        <f>'Manual Entry'!H119</f>
        <v/>
      </c>
      <c r="I147" s="78" t="str">
        <f>'Manual Entry'!I119</f>
        <v/>
      </c>
      <c r="J147" s="78" t="str">
        <f>'Manual Entry'!J119</f>
        <v/>
      </c>
      <c r="K147" s="78" t="str">
        <f>'Manual Entry'!K119</f>
        <v/>
      </c>
      <c r="L147" s="78" t="str">
        <f>'Manual Entry'!L119</f>
        <v/>
      </c>
      <c r="M147" s="78" t="str">
        <f>'Manual Entry'!M119</f>
        <v/>
      </c>
      <c r="N147" s="78" t="str">
        <f>'Manual Entry'!N119</f>
        <v/>
      </c>
      <c r="O147" s="76">
        <f t="shared" si="6"/>
        <v>0</v>
      </c>
      <c r="P147" s="76">
        <f t="shared" si="7"/>
        <v>0</v>
      </c>
      <c r="Q147" s="76">
        <f t="shared" si="8"/>
        <v>0</v>
      </c>
      <c r="R147" s="76">
        <f t="shared" si="9"/>
        <v>0</v>
      </c>
      <c r="S147" s="76" t="str">
        <f t="shared" si="10"/>
        <v/>
      </c>
      <c r="T147" s="76" t="str">
        <f t="shared" si="11"/>
        <v/>
      </c>
      <c r="U147" s="76" t="str">
        <f t="shared" si="12"/>
        <v/>
      </c>
      <c r="V147" s="76" t="str">
        <f t="shared" si="13"/>
        <v/>
      </c>
      <c r="W147" s="76" t="str">
        <f t="shared" si="14"/>
        <v/>
      </c>
      <c r="X147" s="76" t="str">
        <f t="shared" si="15"/>
        <v/>
      </c>
      <c r="Y147" s="76" t="str">
        <f t="shared" si="16"/>
        <v/>
      </c>
      <c r="Z147" s="76" t="str">
        <f t="shared" si="17"/>
        <v/>
      </c>
      <c r="AA147" s="76" t="str">
        <f t="shared" si="18"/>
        <v/>
      </c>
      <c r="AB147" s="76" t="str">
        <f t="shared" si="19"/>
        <v/>
      </c>
      <c r="AC147" s="76" t="str">
        <f t="shared" si="20"/>
        <v/>
      </c>
      <c r="AD147" s="76" t="str">
        <f t="shared" si="21"/>
        <v/>
      </c>
      <c r="AE147" s="76" t="str">
        <f t="shared" si="22"/>
        <v/>
      </c>
      <c r="AF147" s="76" t="str">
        <f t="shared" si="23"/>
        <v/>
      </c>
      <c r="AG147" s="76" t="str">
        <f t="shared" si="24"/>
        <v/>
      </c>
      <c r="AH147" s="76" t="str">
        <f t="shared" si="25"/>
        <v/>
      </c>
      <c r="AI147" s="76" t="str">
        <f t="shared" si="26"/>
        <v/>
      </c>
      <c r="AJ147" s="76" t="str">
        <f t="shared" si="27"/>
        <v/>
      </c>
      <c r="AK147" s="76" t="str">
        <f t="shared" si="28"/>
        <v/>
      </c>
      <c r="AL147" s="76" t="str">
        <f t="shared" si="29"/>
        <v/>
      </c>
      <c r="AM147" s="76" t="str">
        <f t="shared" si="30"/>
        <v/>
      </c>
      <c r="AN147" s="76" t="str">
        <f t="shared" si="31"/>
        <v/>
      </c>
      <c r="AO147" s="76" t="str">
        <f t="shared" si="32"/>
        <v/>
      </c>
      <c r="AP147" s="76" t="str">
        <f t="shared" si="33"/>
        <v/>
      </c>
    </row>
    <row r="148" ht="15.75" customHeight="1">
      <c r="A148" s="76" t="str">
        <f>IF('Manual Entry'!A120="","",'Manual Entry'!A120)</f>
        <v/>
      </c>
      <c r="B148" s="76" t="str">
        <f t="shared" si="3"/>
        <v/>
      </c>
      <c r="C148" s="76" t="str">
        <f t="shared" si="4"/>
        <v/>
      </c>
      <c r="D148" s="76" t="str">
        <f>'Manual Entry'!D120</f>
        <v/>
      </c>
      <c r="E148" s="76" t="str">
        <f>'Manual Entry'!B120</f>
        <v/>
      </c>
      <c r="F148" s="76" t="str">
        <f>'Manual Entry'!F120</f>
        <v/>
      </c>
      <c r="G148" s="76" t="str">
        <f>'Manual Entry'!G120</f>
        <v/>
      </c>
      <c r="H148" s="76" t="str">
        <f>'Manual Entry'!H120</f>
        <v/>
      </c>
      <c r="I148" s="78" t="str">
        <f>'Manual Entry'!I120</f>
        <v/>
      </c>
      <c r="J148" s="78" t="str">
        <f>'Manual Entry'!J120</f>
        <v/>
      </c>
      <c r="K148" s="78" t="str">
        <f>'Manual Entry'!K120</f>
        <v/>
      </c>
      <c r="L148" s="78" t="str">
        <f>'Manual Entry'!L120</f>
        <v/>
      </c>
      <c r="M148" s="78" t="str">
        <f>'Manual Entry'!M120</f>
        <v/>
      </c>
      <c r="N148" s="78" t="str">
        <f>'Manual Entry'!N120</f>
        <v/>
      </c>
      <c r="O148" s="76">
        <f t="shared" si="6"/>
        <v>0</v>
      </c>
      <c r="P148" s="76">
        <f t="shared" si="7"/>
        <v>0</v>
      </c>
      <c r="Q148" s="76">
        <f t="shared" si="8"/>
        <v>0</v>
      </c>
      <c r="R148" s="76">
        <f t="shared" si="9"/>
        <v>0</v>
      </c>
      <c r="S148" s="76" t="str">
        <f t="shared" si="10"/>
        <v/>
      </c>
      <c r="T148" s="76" t="str">
        <f t="shared" si="11"/>
        <v/>
      </c>
      <c r="U148" s="76" t="str">
        <f t="shared" si="12"/>
        <v/>
      </c>
      <c r="V148" s="76" t="str">
        <f t="shared" si="13"/>
        <v/>
      </c>
      <c r="W148" s="76" t="str">
        <f t="shared" si="14"/>
        <v/>
      </c>
      <c r="X148" s="76" t="str">
        <f t="shared" si="15"/>
        <v/>
      </c>
      <c r="Y148" s="76" t="str">
        <f t="shared" si="16"/>
        <v/>
      </c>
      <c r="Z148" s="76" t="str">
        <f t="shared" si="17"/>
        <v/>
      </c>
      <c r="AA148" s="76" t="str">
        <f t="shared" si="18"/>
        <v/>
      </c>
      <c r="AB148" s="76" t="str">
        <f t="shared" si="19"/>
        <v/>
      </c>
      <c r="AC148" s="76" t="str">
        <f t="shared" si="20"/>
        <v/>
      </c>
      <c r="AD148" s="76" t="str">
        <f t="shared" si="21"/>
        <v/>
      </c>
      <c r="AE148" s="76" t="str">
        <f t="shared" si="22"/>
        <v/>
      </c>
      <c r="AF148" s="76" t="str">
        <f t="shared" si="23"/>
        <v/>
      </c>
      <c r="AG148" s="76" t="str">
        <f t="shared" si="24"/>
        <v/>
      </c>
      <c r="AH148" s="76" t="str">
        <f t="shared" si="25"/>
        <v/>
      </c>
      <c r="AI148" s="76" t="str">
        <f t="shared" si="26"/>
        <v/>
      </c>
      <c r="AJ148" s="76" t="str">
        <f t="shared" si="27"/>
        <v/>
      </c>
      <c r="AK148" s="76" t="str">
        <f t="shared" si="28"/>
        <v/>
      </c>
      <c r="AL148" s="76" t="str">
        <f t="shared" si="29"/>
        <v/>
      </c>
      <c r="AM148" s="76" t="str">
        <f t="shared" si="30"/>
        <v/>
      </c>
      <c r="AN148" s="76" t="str">
        <f t="shared" si="31"/>
        <v/>
      </c>
      <c r="AO148" s="76" t="str">
        <f t="shared" si="32"/>
        <v/>
      </c>
      <c r="AP148" s="76" t="str">
        <f t="shared" si="33"/>
        <v/>
      </c>
    </row>
    <row r="149" ht="15.75" customHeight="1">
      <c r="A149" s="76" t="str">
        <f>IF('Manual Entry'!A121="","",'Manual Entry'!A121)</f>
        <v/>
      </c>
      <c r="B149" s="76" t="str">
        <f t="shared" si="3"/>
        <v/>
      </c>
      <c r="C149" s="76" t="str">
        <f t="shared" si="4"/>
        <v/>
      </c>
      <c r="D149" s="76" t="str">
        <f>'Manual Entry'!D121</f>
        <v/>
      </c>
      <c r="E149" s="76" t="str">
        <f>'Manual Entry'!B121</f>
        <v/>
      </c>
      <c r="F149" s="76" t="str">
        <f>'Manual Entry'!F121</f>
        <v/>
      </c>
      <c r="G149" s="76" t="str">
        <f>'Manual Entry'!G121</f>
        <v/>
      </c>
      <c r="H149" s="76" t="str">
        <f>'Manual Entry'!H121</f>
        <v/>
      </c>
      <c r="I149" s="78" t="str">
        <f>'Manual Entry'!I121</f>
        <v/>
      </c>
      <c r="J149" s="78" t="str">
        <f>'Manual Entry'!J121</f>
        <v/>
      </c>
      <c r="K149" s="78" t="str">
        <f>'Manual Entry'!K121</f>
        <v/>
      </c>
      <c r="L149" s="78" t="str">
        <f>'Manual Entry'!L121</f>
        <v/>
      </c>
      <c r="M149" s="78" t="str">
        <f>'Manual Entry'!M121</f>
        <v/>
      </c>
      <c r="N149" s="78" t="str">
        <f>'Manual Entry'!N121</f>
        <v/>
      </c>
      <c r="O149" s="76">
        <f t="shared" si="6"/>
        <v>0</v>
      </c>
      <c r="P149" s="76">
        <f t="shared" si="7"/>
        <v>0</v>
      </c>
      <c r="Q149" s="76">
        <f t="shared" si="8"/>
        <v>0</v>
      </c>
      <c r="R149" s="76">
        <f t="shared" si="9"/>
        <v>0</v>
      </c>
      <c r="S149" s="76" t="str">
        <f t="shared" si="10"/>
        <v/>
      </c>
      <c r="T149" s="76" t="str">
        <f t="shared" si="11"/>
        <v/>
      </c>
      <c r="U149" s="76" t="str">
        <f t="shared" si="12"/>
        <v/>
      </c>
      <c r="V149" s="76" t="str">
        <f t="shared" si="13"/>
        <v/>
      </c>
      <c r="W149" s="76" t="str">
        <f t="shared" si="14"/>
        <v/>
      </c>
      <c r="X149" s="76" t="str">
        <f t="shared" si="15"/>
        <v/>
      </c>
      <c r="Y149" s="76" t="str">
        <f t="shared" si="16"/>
        <v/>
      </c>
      <c r="Z149" s="76" t="str">
        <f t="shared" si="17"/>
        <v/>
      </c>
      <c r="AA149" s="76" t="str">
        <f t="shared" si="18"/>
        <v/>
      </c>
      <c r="AB149" s="76" t="str">
        <f t="shared" si="19"/>
        <v/>
      </c>
      <c r="AC149" s="76" t="str">
        <f t="shared" si="20"/>
        <v/>
      </c>
      <c r="AD149" s="76" t="str">
        <f t="shared" si="21"/>
        <v/>
      </c>
      <c r="AE149" s="76" t="str">
        <f t="shared" si="22"/>
        <v/>
      </c>
      <c r="AF149" s="76" t="str">
        <f t="shared" si="23"/>
        <v/>
      </c>
      <c r="AG149" s="76" t="str">
        <f t="shared" si="24"/>
        <v/>
      </c>
      <c r="AH149" s="76" t="str">
        <f t="shared" si="25"/>
        <v/>
      </c>
      <c r="AI149" s="76" t="str">
        <f t="shared" si="26"/>
        <v/>
      </c>
      <c r="AJ149" s="76" t="str">
        <f t="shared" si="27"/>
        <v/>
      </c>
      <c r="AK149" s="76" t="str">
        <f t="shared" si="28"/>
        <v/>
      </c>
      <c r="AL149" s="76" t="str">
        <f t="shared" si="29"/>
        <v/>
      </c>
      <c r="AM149" s="76" t="str">
        <f t="shared" si="30"/>
        <v/>
      </c>
      <c r="AN149" s="76" t="str">
        <f t="shared" si="31"/>
        <v/>
      </c>
      <c r="AO149" s="76" t="str">
        <f t="shared" si="32"/>
        <v/>
      </c>
      <c r="AP149" s="76" t="str">
        <f t="shared" si="33"/>
        <v/>
      </c>
    </row>
    <row r="150" ht="15.75" customHeight="1">
      <c r="A150" s="76" t="str">
        <f>IF('Manual Entry'!A122="","",'Manual Entry'!A122)</f>
        <v/>
      </c>
      <c r="B150" s="76" t="str">
        <f t="shared" si="3"/>
        <v/>
      </c>
      <c r="C150" s="76" t="str">
        <f t="shared" si="4"/>
        <v/>
      </c>
      <c r="D150" s="76" t="str">
        <f>'Manual Entry'!D122</f>
        <v/>
      </c>
      <c r="E150" s="76" t="str">
        <f>'Manual Entry'!B122</f>
        <v/>
      </c>
      <c r="F150" s="76" t="str">
        <f>'Manual Entry'!F122</f>
        <v/>
      </c>
      <c r="G150" s="76" t="str">
        <f>'Manual Entry'!G122</f>
        <v/>
      </c>
      <c r="H150" s="76" t="str">
        <f>'Manual Entry'!H122</f>
        <v/>
      </c>
      <c r="I150" s="78" t="str">
        <f>'Manual Entry'!I122</f>
        <v/>
      </c>
      <c r="J150" s="78" t="str">
        <f>'Manual Entry'!J122</f>
        <v/>
      </c>
      <c r="K150" s="78" t="str">
        <f>'Manual Entry'!K122</f>
        <v/>
      </c>
      <c r="L150" s="78" t="str">
        <f>'Manual Entry'!L122</f>
        <v/>
      </c>
      <c r="M150" s="78" t="str">
        <f>'Manual Entry'!M122</f>
        <v/>
      </c>
      <c r="N150" s="78" t="str">
        <f>'Manual Entry'!N122</f>
        <v/>
      </c>
      <c r="O150" s="76">
        <f t="shared" si="6"/>
        <v>0</v>
      </c>
      <c r="P150" s="76">
        <f t="shared" si="7"/>
        <v>0</v>
      </c>
      <c r="Q150" s="76">
        <f t="shared" si="8"/>
        <v>0</v>
      </c>
      <c r="R150" s="76">
        <f t="shared" si="9"/>
        <v>0</v>
      </c>
      <c r="S150" s="76" t="str">
        <f t="shared" si="10"/>
        <v/>
      </c>
      <c r="T150" s="76" t="str">
        <f t="shared" si="11"/>
        <v/>
      </c>
      <c r="U150" s="76" t="str">
        <f t="shared" si="12"/>
        <v/>
      </c>
      <c r="V150" s="76" t="str">
        <f t="shared" si="13"/>
        <v/>
      </c>
      <c r="W150" s="76" t="str">
        <f t="shared" si="14"/>
        <v/>
      </c>
      <c r="X150" s="76" t="str">
        <f t="shared" si="15"/>
        <v/>
      </c>
      <c r="Y150" s="76" t="str">
        <f t="shared" si="16"/>
        <v/>
      </c>
      <c r="Z150" s="76" t="str">
        <f t="shared" si="17"/>
        <v/>
      </c>
      <c r="AA150" s="76" t="str">
        <f t="shared" si="18"/>
        <v/>
      </c>
      <c r="AB150" s="76" t="str">
        <f t="shared" si="19"/>
        <v/>
      </c>
      <c r="AC150" s="76" t="str">
        <f t="shared" si="20"/>
        <v/>
      </c>
      <c r="AD150" s="76" t="str">
        <f t="shared" si="21"/>
        <v/>
      </c>
      <c r="AE150" s="76" t="str">
        <f t="shared" si="22"/>
        <v/>
      </c>
      <c r="AF150" s="76" t="str">
        <f t="shared" si="23"/>
        <v/>
      </c>
      <c r="AG150" s="76" t="str">
        <f t="shared" si="24"/>
        <v/>
      </c>
      <c r="AH150" s="76" t="str">
        <f t="shared" si="25"/>
        <v/>
      </c>
      <c r="AI150" s="76" t="str">
        <f t="shared" si="26"/>
        <v/>
      </c>
      <c r="AJ150" s="76" t="str">
        <f t="shared" si="27"/>
        <v/>
      </c>
      <c r="AK150" s="76" t="str">
        <f t="shared" si="28"/>
        <v/>
      </c>
      <c r="AL150" s="76" t="str">
        <f t="shared" si="29"/>
        <v/>
      </c>
      <c r="AM150" s="76" t="str">
        <f t="shared" si="30"/>
        <v/>
      </c>
      <c r="AN150" s="76" t="str">
        <f t="shared" si="31"/>
        <v/>
      </c>
      <c r="AO150" s="76" t="str">
        <f t="shared" si="32"/>
        <v/>
      </c>
      <c r="AP150" s="76" t="str">
        <f t="shared" si="33"/>
        <v/>
      </c>
    </row>
    <row r="151" ht="15.75" customHeight="1">
      <c r="A151" s="76" t="str">
        <f>IF('Manual Entry'!A123="","",'Manual Entry'!A123)</f>
        <v/>
      </c>
      <c r="B151" s="76" t="str">
        <f t="shared" si="3"/>
        <v/>
      </c>
      <c r="C151" s="76" t="str">
        <f t="shared" si="4"/>
        <v/>
      </c>
      <c r="D151" s="76" t="str">
        <f>'Manual Entry'!D123</f>
        <v/>
      </c>
      <c r="E151" s="76" t="str">
        <f>'Manual Entry'!B123</f>
        <v/>
      </c>
      <c r="F151" s="76" t="str">
        <f>'Manual Entry'!F123</f>
        <v/>
      </c>
      <c r="G151" s="76" t="str">
        <f>'Manual Entry'!G123</f>
        <v/>
      </c>
      <c r="H151" s="76" t="str">
        <f>'Manual Entry'!H123</f>
        <v/>
      </c>
      <c r="I151" s="78" t="str">
        <f>'Manual Entry'!I123</f>
        <v/>
      </c>
      <c r="J151" s="78" t="str">
        <f>'Manual Entry'!J123</f>
        <v/>
      </c>
      <c r="K151" s="78" t="str">
        <f>'Manual Entry'!K123</f>
        <v/>
      </c>
      <c r="L151" s="78" t="str">
        <f>'Manual Entry'!L123</f>
        <v/>
      </c>
      <c r="M151" s="78" t="str">
        <f>'Manual Entry'!M123</f>
        <v/>
      </c>
      <c r="N151" s="78" t="str">
        <f>'Manual Entry'!N123</f>
        <v/>
      </c>
      <c r="O151" s="76">
        <f t="shared" si="6"/>
        <v>0</v>
      </c>
      <c r="P151" s="76">
        <f t="shared" si="7"/>
        <v>0</v>
      </c>
      <c r="Q151" s="76">
        <f t="shared" si="8"/>
        <v>0</v>
      </c>
      <c r="R151" s="76">
        <f t="shared" si="9"/>
        <v>0</v>
      </c>
      <c r="S151" s="76" t="str">
        <f t="shared" si="10"/>
        <v/>
      </c>
      <c r="T151" s="76" t="str">
        <f t="shared" si="11"/>
        <v/>
      </c>
      <c r="U151" s="76" t="str">
        <f t="shared" si="12"/>
        <v/>
      </c>
      <c r="V151" s="76" t="str">
        <f t="shared" si="13"/>
        <v/>
      </c>
      <c r="W151" s="76" t="str">
        <f t="shared" si="14"/>
        <v/>
      </c>
      <c r="X151" s="76" t="str">
        <f t="shared" si="15"/>
        <v/>
      </c>
      <c r="Y151" s="76" t="str">
        <f t="shared" si="16"/>
        <v/>
      </c>
      <c r="Z151" s="76" t="str">
        <f t="shared" si="17"/>
        <v/>
      </c>
      <c r="AA151" s="76" t="str">
        <f t="shared" si="18"/>
        <v/>
      </c>
      <c r="AB151" s="76" t="str">
        <f t="shared" si="19"/>
        <v/>
      </c>
      <c r="AC151" s="76" t="str">
        <f t="shared" si="20"/>
        <v/>
      </c>
      <c r="AD151" s="76" t="str">
        <f t="shared" si="21"/>
        <v/>
      </c>
      <c r="AE151" s="76" t="str">
        <f t="shared" si="22"/>
        <v/>
      </c>
      <c r="AF151" s="76" t="str">
        <f t="shared" si="23"/>
        <v/>
      </c>
      <c r="AG151" s="76" t="str">
        <f t="shared" si="24"/>
        <v/>
      </c>
      <c r="AH151" s="76" t="str">
        <f t="shared" si="25"/>
        <v/>
      </c>
      <c r="AI151" s="76" t="str">
        <f t="shared" si="26"/>
        <v/>
      </c>
      <c r="AJ151" s="76" t="str">
        <f t="shared" si="27"/>
        <v/>
      </c>
      <c r="AK151" s="76" t="str">
        <f t="shared" si="28"/>
        <v/>
      </c>
      <c r="AL151" s="76" t="str">
        <f t="shared" si="29"/>
        <v/>
      </c>
      <c r="AM151" s="76" t="str">
        <f t="shared" si="30"/>
        <v/>
      </c>
      <c r="AN151" s="76" t="str">
        <f t="shared" si="31"/>
        <v/>
      </c>
      <c r="AO151" s="76" t="str">
        <f t="shared" si="32"/>
        <v/>
      </c>
      <c r="AP151" s="76" t="str">
        <f t="shared" si="33"/>
        <v/>
      </c>
    </row>
    <row r="152" ht="15.75" customHeight="1">
      <c r="A152" s="76" t="str">
        <f>IF('Manual Entry'!A124="","",'Manual Entry'!A124)</f>
        <v/>
      </c>
      <c r="B152" s="76" t="str">
        <f t="shared" si="3"/>
        <v/>
      </c>
      <c r="C152" s="76" t="str">
        <f t="shared" si="4"/>
        <v/>
      </c>
      <c r="D152" s="76" t="str">
        <f>'Manual Entry'!D124</f>
        <v/>
      </c>
      <c r="E152" s="76" t="str">
        <f>'Manual Entry'!B124</f>
        <v/>
      </c>
      <c r="F152" s="76" t="str">
        <f>'Manual Entry'!F124</f>
        <v/>
      </c>
      <c r="G152" s="76" t="str">
        <f>'Manual Entry'!G124</f>
        <v/>
      </c>
      <c r="H152" s="76" t="str">
        <f>'Manual Entry'!H124</f>
        <v/>
      </c>
      <c r="I152" s="78" t="str">
        <f>'Manual Entry'!I124</f>
        <v/>
      </c>
      <c r="J152" s="78" t="str">
        <f>'Manual Entry'!J124</f>
        <v/>
      </c>
      <c r="K152" s="78" t="str">
        <f>'Manual Entry'!K124</f>
        <v/>
      </c>
      <c r="L152" s="78" t="str">
        <f>'Manual Entry'!L124</f>
        <v/>
      </c>
      <c r="M152" s="78" t="str">
        <f>'Manual Entry'!M124</f>
        <v/>
      </c>
      <c r="N152" s="78" t="str">
        <f>'Manual Entry'!N124</f>
        <v/>
      </c>
      <c r="O152" s="76">
        <f t="shared" si="6"/>
        <v>0</v>
      </c>
      <c r="P152" s="76">
        <f t="shared" si="7"/>
        <v>0</v>
      </c>
      <c r="Q152" s="76">
        <f t="shared" si="8"/>
        <v>0</v>
      </c>
      <c r="R152" s="76">
        <f t="shared" si="9"/>
        <v>0</v>
      </c>
      <c r="S152" s="76" t="str">
        <f t="shared" si="10"/>
        <v/>
      </c>
      <c r="T152" s="76" t="str">
        <f t="shared" si="11"/>
        <v/>
      </c>
      <c r="U152" s="76" t="str">
        <f t="shared" si="12"/>
        <v/>
      </c>
      <c r="V152" s="76" t="str">
        <f t="shared" si="13"/>
        <v/>
      </c>
      <c r="W152" s="76" t="str">
        <f t="shared" si="14"/>
        <v/>
      </c>
      <c r="X152" s="76" t="str">
        <f t="shared" si="15"/>
        <v/>
      </c>
      <c r="Y152" s="76" t="str">
        <f t="shared" si="16"/>
        <v/>
      </c>
      <c r="Z152" s="76" t="str">
        <f t="shared" si="17"/>
        <v/>
      </c>
      <c r="AA152" s="76" t="str">
        <f t="shared" si="18"/>
        <v/>
      </c>
      <c r="AB152" s="76" t="str">
        <f t="shared" si="19"/>
        <v/>
      </c>
      <c r="AC152" s="76" t="str">
        <f t="shared" si="20"/>
        <v/>
      </c>
      <c r="AD152" s="76" t="str">
        <f t="shared" si="21"/>
        <v/>
      </c>
      <c r="AE152" s="76" t="str">
        <f t="shared" si="22"/>
        <v/>
      </c>
      <c r="AF152" s="76" t="str">
        <f t="shared" si="23"/>
        <v/>
      </c>
      <c r="AG152" s="76" t="str">
        <f t="shared" si="24"/>
        <v/>
      </c>
      <c r="AH152" s="76" t="str">
        <f t="shared" si="25"/>
        <v/>
      </c>
      <c r="AI152" s="76" t="str">
        <f t="shared" si="26"/>
        <v/>
      </c>
      <c r="AJ152" s="76" t="str">
        <f t="shared" si="27"/>
        <v/>
      </c>
      <c r="AK152" s="76" t="str">
        <f t="shared" si="28"/>
        <v/>
      </c>
      <c r="AL152" s="76" t="str">
        <f t="shared" si="29"/>
        <v/>
      </c>
      <c r="AM152" s="76" t="str">
        <f t="shared" si="30"/>
        <v/>
      </c>
      <c r="AN152" s="76" t="str">
        <f t="shared" si="31"/>
        <v/>
      </c>
      <c r="AO152" s="76" t="str">
        <f t="shared" si="32"/>
        <v/>
      </c>
      <c r="AP152" s="76" t="str">
        <f t="shared" si="33"/>
        <v/>
      </c>
    </row>
    <row r="153" ht="15.75" customHeight="1">
      <c r="A153" s="76" t="str">
        <f>IF('Manual Entry'!A125="","",'Manual Entry'!A125)</f>
        <v/>
      </c>
      <c r="B153" s="76" t="str">
        <f t="shared" si="3"/>
        <v/>
      </c>
      <c r="C153" s="76" t="str">
        <f t="shared" si="4"/>
        <v/>
      </c>
      <c r="D153" s="76" t="str">
        <f>'Manual Entry'!D125</f>
        <v/>
      </c>
      <c r="E153" s="76" t="str">
        <f>'Manual Entry'!B125</f>
        <v/>
      </c>
      <c r="F153" s="76" t="str">
        <f>'Manual Entry'!F125</f>
        <v/>
      </c>
      <c r="G153" s="76" t="str">
        <f>'Manual Entry'!G125</f>
        <v/>
      </c>
      <c r="H153" s="76" t="str">
        <f>'Manual Entry'!H125</f>
        <v/>
      </c>
      <c r="I153" s="78" t="str">
        <f>'Manual Entry'!I125</f>
        <v/>
      </c>
      <c r="J153" s="78" t="str">
        <f>'Manual Entry'!J125</f>
        <v/>
      </c>
      <c r="K153" s="78" t="str">
        <f>'Manual Entry'!K125</f>
        <v/>
      </c>
      <c r="L153" s="78" t="str">
        <f>'Manual Entry'!L125</f>
        <v/>
      </c>
      <c r="M153" s="78" t="str">
        <f>'Manual Entry'!M125</f>
        <v/>
      </c>
      <c r="N153" s="78" t="str">
        <f>'Manual Entry'!N125</f>
        <v/>
      </c>
      <c r="O153" s="76">
        <f t="shared" si="6"/>
        <v>0</v>
      </c>
      <c r="P153" s="76">
        <f t="shared" si="7"/>
        <v>0</v>
      </c>
      <c r="Q153" s="76">
        <f t="shared" si="8"/>
        <v>0</v>
      </c>
      <c r="R153" s="76">
        <f t="shared" si="9"/>
        <v>0</v>
      </c>
      <c r="S153" s="76" t="str">
        <f t="shared" si="10"/>
        <v/>
      </c>
      <c r="T153" s="76" t="str">
        <f t="shared" si="11"/>
        <v/>
      </c>
      <c r="U153" s="76" t="str">
        <f t="shared" si="12"/>
        <v/>
      </c>
      <c r="V153" s="76" t="str">
        <f t="shared" si="13"/>
        <v/>
      </c>
      <c r="W153" s="76" t="str">
        <f t="shared" si="14"/>
        <v/>
      </c>
      <c r="X153" s="76" t="str">
        <f t="shared" si="15"/>
        <v/>
      </c>
      <c r="Y153" s="76" t="str">
        <f t="shared" si="16"/>
        <v/>
      </c>
      <c r="Z153" s="76" t="str">
        <f t="shared" si="17"/>
        <v/>
      </c>
      <c r="AA153" s="76" t="str">
        <f t="shared" si="18"/>
        <v/>
      </c>
      <c r="AB153" s="76" t="str">
        <f t="shared" si="19"/>
        <v/>
      </c>
      <c r="AC153" s="76" t="str">
        <f t="shared" si="20"/>
        <v/>
      </c>
      <c r="AD153" s="76" t="str">
        <f t="shared" si="21"/>
        <v/>
      </c>
      <c r="AE153" s="76" t="str">
        <f t="shared" si="22"/>
        <v/>
      </c>
      <c r="AF153" s="76" t="str">
        <f t="shared" si="23"/>
        <v/>
      </c>
      <c r="AG153" s="76" t="str">
        <f t="shared" si="24"/>
        <v/>
      </c>
      <c r="AH153" s="76" t="str">
        <f t="shared" si="25"/>
        <v/>
      </c>
      <c r="AI153" s="76" t="str">
        <f t="shared" si="26"/>
        <v/>
      </c>
      <c r="AJ153" s="76" t="str">
        <f t="shared" si="27"/>
        <v/>
      </c>
      <c r="AK153" s="76" t="str">
        <f t="shared" si="28"/>
        <v/>
      </c>
      <c r="AL153" s="76" t="str">
        <f t="shared" si="29"/>
        <v/>
      </c>
      <c r="AM153" s="76" t="str">
        <f t="shared" si="30"/>
        <v/>
      </c>
      <c r="AN153" s="76" t="str">
        <f t="shared" si="31"/>
        <v/>
      </c>
      <c r="AO153" s="76" t="str">
        <f t="shared" si="32"/>
        <v/>
      </c>
      <c r="AP153" s="76" t="str">
        <f t="shared" si="33"/>
        <v/>
      </c>
    </row>
    <row r="154" ht="15.75" customHeight="1">
      <c r="A154" s="76" t="str">
        <f>IF('Manual Entry'!A126="","",'Manual Entry'!A126)</f>
        <v/>
      </c>
      <c r="B154" s="76" t="str">
        <f t="shared" si="3"/>
        <v/>
      </c>
      <c r="C154" s="76" t="str">
        <f t="shared" si="4"/>
        <v/>
      </c>
      <c r="D154" s="76" t="str">
        <f>'Manual Entry'!D126</f>
        <v/>
      </c>
      <c r="E154" s="76" t="str">
        <f>'Manual Entry'!B126</f>
        <v/>
      </c>
      <c r="F154" s="76" t="str">
        <f>'Manual Entry'!F126</f>
        <v/>
      </c>
      <c r="G154" s="76" t="str">
        <f>'Manual Entry'!G126</f>
        <v/>
      </c>
      <c r="H154" s="76" t="str">
        <f>'Manual Entry'!H126</f>
        <v/>
      </c>
      <c r="I154" s="78" t="str">
        <f>'Manual Entry'!I126</f>
        <v/>
      </c>
      <c r="J154" s="78" t="str">
        <f>'Manual Entry'!J126</f>
        <v/>
      </c>
      <c r="K154" s="78" t="str">
        <f>'Manual Entry'!K126</f>
        <v/>
      </c>
      <c r="L154" s="78" t="str">
        <f>'Manual Entry'!L126</f>
        <v/>
      </c>
      <c r="M154" s="78" t="str">
        <f>'Manual Entry'!M126</f>
        <v/>
      </c>
      <c r="N154" s="78" t="str">
        <f>'Manual Entry'!N126</f>
        <v/>
      </c>
      <c r="O154" s="76">
        <f t="shared" si="6"/>
        <v>0</v>
      </c>
      <c r="P154" s="76">
        <f t="shared" si="7"/>
        <v>0</v>
      </c>
      <c r="Q154" s="76">
        <f t="shared" si="8"/>
        <v>0</v>
      </c>
      <c r="R154" s="76">
        <f t="shared" si="9"/>
        <v>0</v>
      </c>
      <c r="S154" s="76" t="str">
        <f t="shared" si="10"/>
        <v/>
      </c>
      <c r="T154" s="76" t="str">
        <f t="shared" si="11"/>
        <v/>
      </c>
      <c r="U154" s="76" t="str">
        <f t="shared" si="12"/>
        <v/>
      </c>
      <c r="V154" s="76" t="str">
        <f t="shared" si="13"/>
        <v/>
      </c>
      <c r="W154" s="76" t="str">
        <f t="shared" si="14"/>
        <v/>
      </c>
      <c r="X154" s="76" t="str">
        <f t="shared" si="15"/>
        <v/>
      </c>
      <c r="Y154" s="76" t="str">
        <f t="shared" si="16"/>
        <v/>
      </c>
      <c r="Z154" s="76" t="str">
        <f t="shared" si="17"/>
        <v/>
      </c>
      <c r="AA154" s="76" t="str">
        <f t="shared" si="18"/>
        <v/>
      </c>
      <c r="AB154" s="76" t="str">
        <f t="shared" si="19"/>
        <v/>
      </c>
      <c r="AC154" s="76" t="str">
        <f t="shared" si="20"/>
        <v/>
      </c>
      <c r="AD154" s="76" t="str">
        <f t="shared" si="21"/>
        <v/>
      </c>
      <c r="AE154" s="76" t="str">
        <f t="shared" si="22"/>
        <v/>
      </c>
      <c r="AF154" s="76" t="str">
        <f t="shared" si="23"/>
        <v/>
      </c>
      <c r="AG154" s="76" t="str">
        <f t="shared" si="24"/>
        <v/>
      </c>
      <c r="AH154" s="76" t="str">
        <f t="shared" si="25"/>
        <v/>
      </c>
      <c r="AI154" s="76" t="str">
        <f t="shared" si="26"/>
        <v/>
      </c>
      <c r="AJ154" s="76" t="str">
        <f t="shared" si="27"/>
        <v/>
      </c>
      <c r="AK154" s="76" t="str">
        <f t="shared" si="28"/>
        <v/>
      </c>
      <c r="AL154" s="76" t="str">
        <f t="shared" si="29"/>
        <v/>
      </c>
      <c r="AM154" s="76" t="str">
        <f t="shared" si="30"/>
        <v/>
      </c>
      <c r="AN154" s="76" t="str">
        <f t="shared" si="31"/>
        <v/>
      </c>
      <c r="AO154" s="76" t="str">
        <f t="shared" si="32"/>
        <v/>
      </c>
      <c r="AP154" s="76" t="str">
        <f t="shared" si="33"/>
        <v/>
      </c>
    </row>
    <row r="155" ht="15.75" customHeight="1">
      <c r="A155" s="76" t="str">
        <f>IF('Manual Entry'!A127="","",'Manual Entry'!A127)</f>
        <v/>
      </c>
      <c r="B155" s="76" t="str">
        <f t="shared" si="3"/>
        <v/>
      </c>
      <c r="C155" s="76" t="str">
        <f t="shared" si="4"/>
        <v/>
      </c>
      <c r="D155" s="76" t="str">
        <f>'Manual Entry'!D127</f>
        <v/>
      </c>
      <c r="E155" s="76" t="str">
        <f>'Manual Entry'!B127</f>
        <v/>
      </c>
      <c r="F155" s="76" t="str">
        <f>'Manual Entry'!F127</f>
        <v/>
      </c>
      <c r="G155" s="76" t="str">
        <f>'Manual Entry'!G127</f>
        <v/>
      </c>
      <c r="H155" s="76" t="str">
        <f>'Manual Entry'!H127</f>
        <v/>
      </c>
      <c r="I155" s="78" t="str">
        <f>'Manual Entry'!I127</f>
        <v/>
      </c>
      <c r="J155" s="78" t="str">
        <f>'Manual Entry'!J127</f>
        <v/>
      </c>
      <c r="K155" s="78" t="str">
        <f>'Manual Entry'!K127</f>
        <v/>
      </c>
      <c r="L155" s="78" t="str">
        <f>'Manual Entry'!L127</f>
        <v/>
      </c>
      <c r="M155" s="78" t="str">
        <f>'Manual Entry'!M127</f>
        <v/>
      </c>
      <c r="N155" s="78" t="str">
        <f>'Manual Entry'!N127</f>
        <v/>
      </c>
      <c r="O155" s="76">
        <f t="shared" si="6"/>
        <v>0</v>
      </c>
      <c r="P155" s="76">
        <f t="shared" si="7"/>
        <v>0</v>
      </c>
      <c r="Q155" s="76">
        <f t="shared" si="8"/>
        <v>0</v>
      </c>
      <c r="R155" s="76">
        <f t="shared" si="9"/>
        <v>0</v>
      </c>
      <c r="S155" s="76" t="str">
        <f t="shared" si="10"/>
        <v/>
      </c>
      <c r="T155" s="76" t="str">
        <f t="shared" si="11"/>
        <v/>
      </c>
      <c r="U155" s="76" t="str">
        <f t="shared" si="12"/>
        <v/>
      </c>
      <c r="V155" s="76" t="str">
        <f t="shared" si="13"/>
        <v/>
      </c>
      <c r="W155" s="76" t="str">
        <f t="shared" si="14"/>
        <v/>
      </c>
      <c r="X155" s="76" t="str">
        <f t="shared" si="15"/>
        <v/>
      </c>
      <c r="Y155" s="76" t="str">
        <f t="shared" si="16"/>
        <v/>
      </c>
      <c r="Z155" s="76" t="str">
        <f t="shared" si="17"/>
        <v/>
      </c>
      <c r="AA155" s="76" t="str">
        <f t="shared" si="18"/>
        <v/>
      </c>
      <c r="AB155" s="76" t="str">
        <f t="shared" si="19"/>
        <v/>
      </c>
      <c r="AC155" s="76" t="str">
        <f t="shared" si="20"/>
        <v/>
      </c>
      <c r="AD155" s="76" t="str">
        <f t="shared" si="21"/>
        <v/>
      </c>
      <c r="AE155" s="76" t="str">
        <f t="shared" si="22"/>
        <v/>
      </c>
      <c r="AF155" s="76" t="str">
        <f t="shared" si="23"/>
        <v/>
      </c>
      <c r="AG155" s="76" t="str">
        <f t="shared" si="24"/>
        <v/>
      </c>
      <c r="AH155" s="76" t="str">
        <f t="shared" si="25"/>
        <v/>
      </c>
      <c r="AI155" s="76" t="str">
        <f t="shared" si="26"/>
        <v/>
      </c>
      <c r="AJ155" s="76" t="str">
        <f t="shared" si="27"/>
        <v/>
      </c>
      <c r="AK155" s="76" t="str">
        <f t="shared" si="28"/>
        <v/>
      </c>
      <c r="AL155" s="76" t="str">
        <f t="shared" si="29"/>
        <v/>
      </c>
      <c r="AM155" s="76" t="str">
        <f t="shared" si="30"/>
        <v/>
      </c>
      <c r="AN155" s="76" t="str">
        <f t="shared" si="31"/>
        <v/>
      </c>
      <c r="AO155" s="76" t="str">
        <f t="shared" si="32"/>
        <v/>
      </c>
      <c r="AP155" s="76" t="str">
        <f t="shared" si="33"/>
        <v/>
      </c>
    </row>
    <row r="156" ht="15.75" customHeight="1">
      <c r="A156" s="76" t="str">
        <f>IF('Manual Entry'!A128="","",'Manual Entry'!A128)</f>
        <v/>
      </c>
      <c r="B156" s="76" t="str">
        <f t="shared" si="3"/>
        <v/>
      </c>
      <c r="C156" s="76" t="str">
        <f t="shared" si="4"/>
        <v/>
      </c>
      <c r="D156" s="76" t="str">
        <f>'Manual Entry'!D128</f>
        <v/>
      </c>
      <c r="E156" s="76" t="str">
        <f>'Manual Entry'!B128</f>
        <v/>
      </c>
      <c r="F156" s="76" t="str">
        <f>'Manual Entry'!F128</f>
        <v/>
      </c>
      <c r="G156" s="76" t="str">
        <f>'Manual Entry'!G128</f>
        <v/>
      </c>
      <c r="H156" s="76" t="str">
        <f>'Manual Entry'!H128</f>
        <v/>
      </c>
      <c r="I156" s="78" t="str">
        <f>'Manual Entry'!I128</f>
        <v/>
      </c>
      <c r="J156" s="78" t="str">
        <f>'Manual Entry'!J128</f>
        <v/>
      </c>
      <c r="K156" s="78" t="str">
        <f>'Manual Entry'!K128</f>
        <v/>
      </c>
      <c r="L156" s="78" t="str">
        <f>'Manual Entry'!L128</f>
        <v/>
      </c>
      <c r="M156" s="78" t="str">
        <f>'Manual Entry'!M128</f>
        <v/>
      </c>
      <c r="N156" s="78" t="str">
        <f>'Manual Entry'!N128</f>
        <v/>
      </c>
      <c r="O156" s="76">
        <f t="shared" si="6"/>
        <v>0</v>
      </c>
      <c r="P156" s="76">
        <f t="shared" si="7"/>
        <v>0</v>
      </c>
      <c r="Q156" s="76">
        <f t="shared" si="8"/>
        <v>0</v>
      </c>
      <c r="R156" s="76">
        <f t="shared" si="9"/>
        <v>0</v>
      </c>
      <c r="S156" s="76" t="str">
        <f t="shared" si="10"/>
        <v/>
      </c>
      <c r="T156" s="76" t="str">
        <f t="shared" si="11"/>
        <v/>
      </c>
      <c r="U156" s="76" t="str">
        <f t="shared" si="12"/>
        <v/>
      </c>
      <c r="V156" s="76" t="str">
        <f t="shared" si="13"/>
        <v/>
      </c>
      <c r="W156" s="76" t="str">
        <f t="shared" si="14"/>
        <v/>
      </c>
      <c r="X156" s="76" t="str">
        <f t="shared" si="15"/>
        <v/>
      </c>
      <c r="Y156" s="76" t="str">
        <f t="shared" si="16"/>
        <v/>
      </c>
      <c r="Z156" s="76" t="str">
        <f t="shared" si="17"/>
        <v/>
      </c>
      <c r="AA156" s="76" t="str">
        <f t="shared" si="18"/>
        <v/>
      </c>
      <c r="AB156" s="76" t="str">
        <f t="shared" si="19"/>
        <v/>
      </c>
      <c r="AC156" s="76" t="str">
        <f t="shared" si="20"/>
        <v/>
      </c>
      <c r="AD156" s="76" t="str">
        <f t="shared" si="21"/>
        <v/>
      </c>
      <c r="AE156" s="76" t="str">
        <f t="shared" si="22"/>
        <v/>
      </c>
      <c r="AF156" s="76" t="str">
        <f t="shared" si="23"/>
        <v/>
      </c>
      <c r="AG156" s="76" t="str">
        <f t="shared" si="24"/>
        <v/>
      </c>
      <c r="AH156" s="76" t="str">
        <f t="shared" si="25"/>
        <v/>
      </c>
      <c r="AI156" s="76" t="str">
        <f t="shared" si="26"/>
        <v/>
      </c>
      <c r="AJ156" s="76" t="str">
        <f t="shared" si="27"/>
        <v/>
      </c>
      <c r="AK156" s="76" t="str">
        <f t="shared" si="28"/>
        <v/>
      </c>
      <c r="AL156" s="76" t="str">
        <f t="shared" si="29"/>
        <v/>
      </c>
      <c r="AM156" s="76" t="str">
        <f t="shared" si="30"/>
        <v/>
      </c>
      <c r="AN156" s="76" t="str">
        <f t="shared" si="31"/>
        <v/>
      </c>
      <c r="AO156" s="76" t="str">
        <f t="shared" si="32"/>
        <v/>
      </c>
      <c r="AP156" s="76" t="str">
        <f t="shared" si="33"/>
        <v/>
      </c>
    </row>
    <row r="157" ht="15.75" customHeight="1">
      <c r="A157" s="76" t="str">
        <f>IF('Manual Entry'!A129="","",'Manual Entry'!A129)</f>
        <v/>
      </c>
      <c r="B157" s="76" t="str">
        <f t="shared" si="3"/>
        <v/>
      </c>
      <c r="C157" s="76" t="str">
        <f t="shared" si="4"/>
        <v/>
      </c>
      <c r="D157" s="76" t="str">
        <f>'Manual Entry'!D129</f>
        <v/>
      </c>
      <c r="E157" s="76" t="str">
        <f>'Manual Entry'!B129</f>
        <v/>
      </c>
      <c r="F157" s="76" t="str">
        <f>'Manual Entry'!F129</f>
        <v/>
      </c>
      <c r="G157" s="76" t="str">
        <f>'Manual Entry'!G129</f>
        <v/>
      </c>
      <c r="H157" s="76" t="str">
        <f>'Manual Entry'!H129</f>
        <v/>
      </c>
      <c r="I157" s="78" t="str">
        <f>'Manual Entry'!I129</f>
        <v/>
      </c>
      <c r="J157" s="78" t="str">
        <f>'Manual Entry'!J129</f>
        <v/>
      </c>
      <c r="K157" s="78" t="str">
        <f>'Manual Entry'!K129</f>
        <v/>
      </c>
      <c r="L157" s="78" t="str">
        <f>'Manual Entry'!L129</f>
        <v/>
      </c>
      <c r="M157" s="78" t="str">
        <f>'Manual Entry'!M129</f>
        <v/>
      </c>
      <c r="N157" s="78" t="str">
        <f>'Manual Entry'!N129</f>
        <v/>
      </c>
      <c r="O157" s="76">
        <f t="shared" si="6"/>
        <v>0</v>
      </c>
      <c r="P157" s="76">
        <f t="shared" si="7"/>
        <v>0</v>
      </c>
      <c r="Q157" s="76">
        <f t="shared" si="8"/>
        <v>0</v>
      </c>
      <c r="R157" s="76">
        <f t="shared" si="9"/>
        <v>0</v>
      </c>
      <c r="S157" s="76" t="str">
        <f t="shared" si="10"/>
        <v/>
      </c>
      <c r="T157" s="76" t="str">
        <f t="shared" si="11"/>
        <v/>
      </c>
      <c r="U157" s="76" t="str">
        <f t="shared" si="12"/>
        <v/>
      </c>
      <c r="V157" s="76" t="str">
        <f t="shared" si="13"/>
        <v/>
      </c>
      <c r="W157" s="76" t="str">
        <f t="shared" si="14"/>
        <v/>
      </c>
      <c r="X157" s="76" t="str">
        <f t="shared" si="15"/>
        <v/>
      </c>
      <c r="Y157" s="76" t="str">
        <f t="shared" si="16"/>
        <v/>
      </c>
      <c r="Z157" s="76" t="str">
        <f t="shared" si="17"/>
        <v/>
      </c>
      <c r="AA157" s="76" t="str">
        <f t="shared" si="18"/>
        <v/>
      </c>
      <c r="AB157" s="76" t="str">
        <f t="shared" si="19"/>
        <v/>
      </c>
      <c r="AC157" s="76" t="str">
        <f t="shared" si="20"/>
        <v/>
      </c>
      <c r="AD157" s="76" t="str">
        <f t="shared" si="21"/>
        <v/>
      </c>
      <c r="AE157" s="76" t="str">
        <f t="shared" si="22"/>
        <v/>
      </c>
      <c r="AF157" s="76" t="str">
        <f t="shared" si="23"/>
        <v/>
      </c>
      <c r="AG157" s="76" t="str">
        <f t="shared" si="24"/>
        <v/>
      </c>
      <c r="AH157" s="76" t="str">
        <f t="shared" si="25"/>
        <v/>
      </c>
      <c r="AI157" s="76" t="str">
        <f t="shared" si="26"/>
        <v/>
      </c>
      <c r="AJ157" s="76" t="str">
        <f t="shared" si="27"/>
        <v/>
      </c>
      <c r="AK157" s="76" t="str">
        <f t="shared" si="28"/>
        <v/>
      </c>
      <c r="AL157" s="76" t="str">
        <f t="shared" si="29"/>
        <v/>
      </c>
      <c r="AM157" s="76" t="str">
        <f t="shared" si="30"/>
        <v/>
      </c>
      <c r="AN157" s="76" t="str">
        <f t="shared" si="31"/>
        <v/>
      </c>
      <c r="AO157" s="76" t="str">
        <f t="shared" si="32"/>
        <v/>
      </c>
      <c r="AP157" s="76" t="str">
        <f t="shared" si="33"/>
        <v/>
      </c>
    </row>
    <row r="158" ht="15.75" customHeight="1">
      <c r="A158" s="76" t="str">
        <f>IF('Manual Entry'!A130="","",'Manual Entry'!A130)</f>
        <v/>
      </c>
      <c r="B158" s="76" t="str">
        <f t="shared" si="3"/>
        <v/>
      </c>
      <c r="C158" s="76" t="str">
        <f t="shared" si="4"/>
        <v/>
      </c>
      <c r="D158" s="76" t="str">
        <f>'Manual Entry'!D130</f>
        <v/>
      </c>
      <c r="E158" s="76" t="str">
        <f>'Manual Entry'!B130</f>
        <v/>
      </c>
      <c r="F158" s="76" t="str">
        <f>'Manual Entry'!F130</f>
        <v/>
      </c>
      <c r="G158" s="76" t="str">
        <f>'Manual Entry'!G130</f>
        <v/>
      </c>
      <c r="H158" s="76" t="str">
        <f>'Manual Entry'!H130</f>
        <v/>
      </c>
      <c r="I158" s="78" t="str">
        <f>'Manual Entry'!I130</f>
        <v/>
      </c>
      <c r="J158" s="78" t="str">
        <f>'Manual Entry'!J130</f>
        <v/>
      </c>
      <c r="K158" s="78" t="str">
        <f>'Manual Entry'!K130</f>
        <v/>
      </c>
      <c r="L158" s="78" t="str">
        <f>'Manual Entry'!L130</f>
        <v/>
      </c>
      <c r="M158" s="78" t="str">
        <f>'Manual Entry'!M130</f>
        <v/>
      </c>
      <c r="N158" s="78" t="str">
        <f>'Manual Entry'!N130</f>
        <v/>
      </c>
      <c r="O158" s="76">
        <f t="shared" si="6"/>
        <v>0</v>
      </c>
      <c r="P158" s="76">
        <f t="shared" si="7"/>
        <v>0</v>
      </c>
      <c r="Q158" s="76">
        <f t="shared" si="8"/>
        <v>0</v>
      </c>
      <c r="R158" s="76">
        <f t="shared" si="9"/>
        <v>0</v>
      </c>
      <c r="S158" s="76" t="str">
        <f t="shared" si="10"/>
        <v/>
      </c>
      <c r="T158" s="76" t="str">
        <f t="shared" si="11"/>
        <v/>
      </c>
      <c r="U158" s="76" t="str">
        <f t="shared" si="12"/>
        <v/>
      </c>
      <c r="V158" s="76" t="str">
        <f t="shared" si="13"/>
        <v/>
      </c>
      <c r="W158" s="76" t="str">
        <f t="shared" si="14"/>
        <v/>
      </c>
      <c r="X158" s="76" t="str">
        <f t="shared" si="15"/>
        <v/>
      </c>
      <c r="Y158" s="76" t="str">
        <f t="shared" si="16"/>
        <v/>
      </c>
      <c r="Z158" s="76" t="str">
        <f t="shared" si="17"/>
        <v/>
      </c>
      <c r="AA158" s="76" t="str">
        <f t="shared" si="18"/>
        <v/>
      </c>
      <c r="AB158" s="76" t="str">
        <f t="shared" si="19"/>
        <v/>
      </c>
      <c r="AC158" s="76" t="str">
        <f t="shared" si="20"/>
        <v/>
      </c>
      <c r="AD158" s="76" t="str">
        <f t="shared" si="21"/>
        <v/>
      </c>
      <c r="AE158" s="76" t="str">
        <f t="shared" si="22"/>
        <v/>
      </c>
      <c r="AF158" s="76" t="str">
        <f t="shared" si="23"/>
        <v/>
      </c>
      <c r="AG158" s="76" t="str">
        <f t="shared" si="24"/>
        <v/>
      </c>
      <c r="AH158" s="76" t="str">
        <f t="shared" si="25"/>
        <v/>
      </c>
      <c r="AI158" s="76" t="str">
        <f t="shared" si="26"/>
        <v/>
      </c>
      <c r="AJ158" s="76" t="str">
        <f t="shared" si="27"/>
        <v/>
      </c>
      <c r="AK158" s="76" t="str">
        <f t="shared" si="28"/>
        <v/>
      </c>
      <c r="AL158" s="76" t="str">
        <f t="shared" si="29"/>
        <v/>
      </c>
      <c r="AM158" s="76" t="str">
        <f t="shared" si="30"/>
        <v/>
      </c>
      <c r="AN158" s="76" t="str">
        <f t="shared" si="31"/>
        <v/>
      </c>
      <c r="AO158" s="76" t="str">
        <f t="shared" si="32"/>
        <v/>
      </c>
      <c r="AP158" s="76" t="str">
        <f t="shared" si="33"/>
        <v/>
      </c>
    </row>
    <row r="159" ht="15.75" customHeight="1">
      <c r="A159" s="76" t="str">
        <f>IF('Manual Entry'!A131="","",'Manual Entry'!A131)</f>
        <v/>
      </c>
      <c r="B159" s="76" t="str">
        <f t="shared" si="3"/>
        <v/>
      </c>
      <c r="C159" s="76" t="str">
        <f t="shared" si="4"/>
        <v/>
      </c>
      <c r="D159" s="76" t="str">
        <f>'Manual Entry'!D131</f>
        <v/>
      </c>
      <c r="E159" s="76" t="str">
        <f>'Manual Entry'!B131</f>
        <v/>
      </c>
      <c r="F159" s="76" t="str">
        <f>'Manual Entry'!F131</f>
        <v/>
      </c>
      <c r="G159" s="76" t="str">
        <f>'Manual Entry'!G131</f>
        <v/>
      </c>
      <c r="H159" s="76" t="str">
        <f>'Manual Entry'!H131</f>
        <v/>
      </c>
      <c r="I159" s="78" t="str">
        <f>'Manual Entry'!I131</f>
        <v/>
      </c>
      <c r="J159" s="78" t="str">
        <f>'Manual Entry'!J131</f>
        <v/>
      </c>
      <c r="K159" s="78" t="str">
        <f>'Manual Entry'!K131</f>
        <v/>
      </c>
      <c r="L159" s="78" t="str">
        <f>'Manual Entry'!L131</f>
        <v/>
      </c>
      <c r="M159" s="78" t="str">
        <f>'Manual Entry'!M131</f>
        <v/>
      </c>
      <c r="N159" s="78" t="str">
        <f>'Manual Entry'!N131</f>
        <v/>
      </c>
      <c r="O159" s="76">
        <f t="shared" si="6"/>
        <v>0</v>
      </c>
      <c r="P159" s="76">
        <f t="shared" si="7"/>
        <v>0</v>
      </c>
      <c r="Q159" s="76">
        <f t="shared" si="8"/>
        <v>0</v>
      </c>
      <c r="R159" s="76">
        <f t="shared" si="9"/>
        <v>0</v>
      </c>
      <c r="S159" s="76" t="str">
        <f t="shared" si="10"/>
        <v/>
      </c>
      <c r="T159" s="76" t="str">
        <f t="shared" si="11"/>
        <v/>
      </c>
      <c r="U159" s="76" t="str">
        <f t="shared" si="12"/>
        <v/>
      </c>
      <c r="V159" s="76" t="str">
        <f t="shared" si="13"/>
        <v/>
      </c>
      <c r="W159" s="76" t="str">
        <f t="shared" si="14"/>
        <v/>
      </c>
      <c r="X159" s="76" t="str">
        <f t="shared" si="15"/>
        <v/>
      </c>
      <c r="Y159" s="76" t="str">
        <f t="shared" si="16"/>
        <v/>
      </c>
      <c r="Z159" s="76" t="str">
        <f t="shared" si="17"/>
        <v/>
      </c>
      <c r="AA159" s="76" t="str">
        <f t="shared" si="18"/>
        <v/>
      </c>
      <c r="AB159" s="76" t="str">
        <f t="shared" si="19"/>
        <v/>
      </c>
      <c r="AC159" s="76" t="str">
        <f t="shared" si="20"/>
        <v/>
      </c>
      <c r="AD159" s="76" t="str">
        <f t="shared" si="21"/>
        <v/>
      </c>
      <c r="AE159" s="76" t="str">
        <f t="shared" si="22"/>
        <v/>
      </c>
      <c r="AF159" s="76" t="str">
        <f t="shared" si="23"/>
        <v/>
      </c>
      <c r="AG159" s="76" t="str">
        <f t="shared" si="24"/>
        <v/>
      </c>
      <c r="AH159" s="76" t="str">
        <f t="shared" si="25"/>
        <v/>
      </c>
      <c r="AI159" s="76" t="str">
        <f t="shared" si="26"/>
        <v/>
      </c>
      <c r="AJ159" s="76" t="str">
        <f t="shared" si="27"/>
        <v/>
      </c>
      <c r="AK159" s="76" t="str">
        <f t="shared" si="28"/>
        <v/>
      </c>
      <c r="AL159" s="76" t="str">
        <f t="shared" si="29"/>
        <v/>
      </c>
      <c r="AM159" s="76" t="str">
        <f t="shared" si="30"/>
        <v/>
      </c>
      <c r="AN159" s="76" t="str">
        <f t="shared" si="31"/>
        <v/>
      </c>
      <c r="AO159" s="76" t="str">
        <f t="shared" si="32"/>
        <v/>
      </c>
      <c r="AP159" s="76" t="str">
        <f t="shared" si="33"/>
        <v/>
      </c>
    </row>
    <row r="160" ht="15.75" customHeight="1">
      <c r="A160" s="76" t="str">
        <f>IF('Manual Entry'!A132="","",'Manual Entry'!A132)</f>
        <v/>
      </c>
      <c r="B160" s="76" t="str">
        <f t="shared" si="3"/>
        <v/>
      </c>
      <c r="C160" s="76" t="str">
        <f t="shared" si="4"/>
        <v/>
      </c>
      <c r="D160" s="76" t="str">
        <f>'Manual Entry'!D132</f>
        <v/>
      </c>
      <c r="E160" s="76" t="str">
        <f>'Manual Entry'!B132</f>
        <v/>
      </c>
      <c r="F160" s="76" t="str">
        <f>'Manual Entry'!F132</f>
        <v/>
      </c>
      <c r="G160" s="76" t="str">
        <f>'Manual Entry'!G132</f>
        <v/>
      </c>
      <c r="H160" s="76" t="str">
        <f>'Manual Entry'!H132</f>
        <v/>
      </c>
      <c r="I160" s="78" t="str">
        <f>'Manual Entry'!I132</f>
        <v/>
      </c>
      <c r="J160" s="78" t="str">
        <f>'Manual Entry'!J132</f>
        <v/>
      </c>
      <c r="K160" s="78" t="str">
        <f>'Manual Entry'!K132</f>
        <v/>
      </c>
      <c r="L160" s="78" t="str">
        <f>'Manual Entry'!L132</f>
        <v/>
      </c>
      <c r="M160" s="78" t="str">
        <f>'Manual Entry'!M132</f>
        <v/>
      </c>
      <c r="N160" s="78" t="str">
        <f>'Manual Entry'!N132</f>
        <v/>
      </c>
      <c r="O160" s="76">
        <f t="shared" si="6"/>
        <v>0</v>
      </c>
      <c r="P160" s="76">
        <f t="shared" si="7"/>
        <v>0</v>
      </c>
      <c r="Q160" s="76">
        <f t="shared" si="8"/>
        <v>0</v>
      </c>
      <c r="R160" s="76">
        <f t="shared" si="9"/>
        <v>0</v>
      </c>
      <c r="S160" s="76" t="str">
        <f t="shared" si="10"/>
        <v/>
      </c>
      <c r="T160" s="76" t="str">
        <f t="shared" si="11"/>
        <v/>
      </c>
      <c r="U160" s="76" t="str">
        <f t="shared" si="12"/>
        <v/>
      </c>
      <c r="V160" s="76" t="str">
        <f t="shared" si="13"/>
        <v/>
      </c>
      <c r="W160" s="76" t="str">
        <f t="shared" si="14"/>
        <v/>
      </c>
      <c r="X160" s="76" t="str">
        <f t="shared" si="15"/>
        <v/>
      </c>
      <c r="Y160" s="76" t="str">
        <f t="shared" si="16"/>
        <v/>
      </c>
      <c r="Z160" s="76" t="str">
        <f t="shared" si="17"/>
        <v/>
      </c>
      <c r="AA160" s="76" t="str">
        <f t="shared" si="18"/>
        <v/>
      </c>
      <c r="AB160" s="76" t="str">
        <f t="shared" si="19"/>
        <v/>
      </c>
      <c r="AC160" s="76" t="str">
        <f t="shared" si="20"/>
        <v/>
      </c>
      <c r="AD160" s="76" t="str">
        <f t="shared" si="21"/>
        <v/>
      </c>
      <c r="AE160" s="76" t="str">
        <f t="shared" si="22"/>
        <v/>
      </c>
      <c r="AF160" s="76" t="str">
        <f t="shared" si="23"/>
        <v/>
      </c>
      <c r="AG160" s="76" t="str">
        <f t="shared" si="24"/>
        <v/>
      </c>
      <c r="AH160" s="76" t="str">
        <f t="shared" si="25"/>
        <v/>
      </c>
      <c r="AI160" s="76" t="str">
        <f t="shared" si="26"/>
        <v/>
      </c>
      <c r="AJ160" s="76" t="str">
        <f t="shared" si="27"/>
        <v/>
      </c>
      <c r="AK160" s="76" t="str">
        <f t="shared" si="28"/>
        <v/>
      </c>
      <c r="AL160" s="76" t="str">
        <f t="shared" si="29"/>
        <v/>
      </c>
      <c r="AM160" s="76" t="str">
        <f t="shared" si="30"/>
        <v/>
      </c>
      <c r="AN160" s="76" t="str">
        <f t="shared" si="31"/>
        <v/>
      </c>
      <c r="AO160" s="76" t="str">
        <f t="shared" si="32"/>
        <v/>
      </c>
      <c r="AP160" s="76" t="str">
        <f t="shared" si="33"/>
        <v/>
      </c>
    </row>
    <row r="161" ht="15.75" customHeight="1">
      <c r="A161" s="76" t="str">
        <f>IF('Manual Entry'!A133="","",'Manual Entry'!A133)</f>
        <v/>
      </c>
      <c r="B161" s="76" t="str">
        <f t="shared" si="3"/>
        <v/>
      </c>
      <c r="C161" s="76" t="str">
        <f t="shared" si="4"/>
        <v/>
      </c>
      <c r="D161" s="76" t="str">
        <f>'Manual Entry'!D133</f>
        <v/>
      </c>
      <c r="E161" s="76" t="str">
        <f>'Manual Entry'!B133</f>
        <v/>
      </c>
      <c r="F161" s="76" t="str">
        <f>'Manual Entry'!F133</f>
        <v/>
      </c>
      <c r="G161" s="76" t="str">
        <f>'Manual Entry'!G133</f>
        <v/>
      </c>
      <c r="H161" s="76" t="str">
        <f>'Manual Entry'!H133</f>
        <v/>
      </c>
      <c r="I161" s="78" t="str">
        <f>'Manual Entry'!I133</f>
        <v/>
      </c>
      <c r="J161" s="78" t="str">
        <f>'Manual Entry'!J133</f>
        <v/>
      </c>
      <c r="K161" s="78" t="str">
        <f>'Manual Entry'!K133</f>
        <v/>
      </c>
      <c r="L161" s="78" t="str">
        <f>'Manual Entry'!L133</f>
        <v/>
      </c>
      <c r="M161" s="78" t="str">
        <f>'Manual Entry'!M133</f>
        <v/>
      </c>
      <c r="N161" s="78" t="str">
        <f>'Manual Entry'!N133</f>
        <v/>
      </c>
      <c r="O161" s="76">
        <f t="shared" si="6"/>
        <v>0</v>
      </c>
      <c r="P161" s="76">
        <f t="shared" si="7"/>
        <v>0</v>
      </c>
      <c r="Q161" s="76">
        <f t="shared" si="8"/>
        <v>0</v>
      </c>
      <c r="R161" s="76">
        <f t="shared" si="9"/>
        <v>0</v>
      </c>
      <c r="S161" s="76" t="str">
        <f t="shared" si="10"/>
        <v/>
      </c>
      <c r="T161" s="76" t="str">
        <f t="shared" si="11"/>
        <v/>
      </c>
      <c r="U161" s="76" t="str">
        <f t="shared" si="12"/>
        <v/>
      </c>
      <c r="V161" s="76" t="str">
        <f t="shared" si="13"/>
        <v/>
      </c>
      <c r="W161" s="76" t="str">
        <f t="shared" si="14"/>
        <v/>
      </c>
      <c r="X161" s="76" t="str">
        <f t="shared" si="15"/>
        <v/>
      </c>
      <c r="Y161" s="76" t="str">
        <f t="shared" si="16"/>
        <v/>
      </c>
      <c r="Z161" s="76" t="str">
        <f t="shared" si="17"/>
        <v/>
      </c>
      <c r="AA161" s="76" t="str">
        <f t="shared" si="18"/>
        <v/>
      </c>
      <c r="AB161" s="76" t="str">
        <f t="shared" si="19"/>
        <v/>
      </c>
      <c r="AC161" s="76" t="str">
        <f t="shared" si="20"/>
        <v/>
      </c>
      <c r="AD161" s="76" t="str">
        <f t="shared" si="21"/>
        <v/>
      </c>
      <c r="AE161" s="76" t="str">
        <f t="shared" si="22"/>
        <v/>
      </c>
      <c r="AF161" s="76" t="str">
        <f t="shared" si="23"/>
        <v/>
      </c>
      <c r="AG161" s="76" t="str">
        <f t="shared" si="24"/>
        <v/>
      </c>
      <c r="AH161" s="76" t="str">
        <f t="shared" si="25"/>
        <v/>
      </c>
      <c r="AI161" s="76" t="str">
        <f t="shared" si="26"/>
        <v/>
      </c>
      <c r="AJ161" s="76" t="str">
        <f t="shared" si="27"/>
        <v/>
      </c>
      <c r="AK161" s="76" t="str">
        <f t="shared" si="28"/>
        <v/>
      </c>
      <c r="AL161" s="76" t="str">
        <f t="shared" si="29"/>
        <v/>
      </c>
      <c r="AM161" s="76" t="str">
        <f t="shared" si="30"/>
        <v/>
      </c>
      <c r="AN161" s="76" t="str">
        <f t="shared" si="31"/>
        <v/>
      </c>
      <c r="AO161" s="76" t="str">
        <f t="shared" si="32"/>
        <v/>
      </c>
      <c r="AP161" s="76" t="str">
        <f t="shared" si="33"/>
        <v/>
      </c>
    </row>
    <row r="162" ht="15.75" customHeight="1">
      <c r="A162" s="76" t="str">
        <f>IF('Manual Entry'!A134="","",'Manual Entry'!A134)</f>
        <v/>
      </c>
      <c r="B162" s="76" t="str">
        <f t="shared" si="3"/>
        <v/>
      </c>
      <c r="C162" s="76" t="str">
        <f t="shared" si="4"/>
        <v/>
      </c>
      <c r="D162" s="76" t="str">
        <f>'Manual Entry'!D134</f>
        <v/>
      </c>
      <c r="E162" s="76" t="str">
        <f>'Manual Entry'!B134</f>
        <v/>
      </c>
      <c r="F162" s="76" t="str">
        <f>'Manual Entry'!F134</f>
        <v/>
      </c>
      <c r="G162" s="76" t="str">
        <f>'Manual Entry'!G134</f>
        <v/>
      </c>
      <c r="H162" s="76" t="str">
        <f>'Manual Entry'!H134</f>
        <v/>
      </c>
      <c r="I162" s="78" t="str">
        <f>'Manual Entry'!I134</f>
        <v/>
      </c>
      <c r="J162" s="78" t="str">
        <f>'Manual Entry'!J134</f>
        <v/>
      </c>
      <c r="K162" s="78" t="str">
        <f>'Manual Entry'!K134</f>
        <v/>
      </c>
      <c r="L162" s="78" t="str">
        <f>'Manual Entry'!L134</f>
        <v/>
      </c>
      <c r="M162" s="78" t="str">
        <f>'Manual Entry'!M134</f>
        <v/>
      </c>
      <c r="N162" s="78" t="str">
        <f>'Manual Entry'!N134</f>
        <v/>
      </c>
      <c r="O162" s="76">
        <f t="shared" si="6"/>
        <v>0</v>
      </c>
      <c r="P162" s="76">
        <f t="shared" si="7"/>
        <v>0</v>
      </c>
      <c r="Q162" s="76">
        <f t="shared" si="8"/>
        <v>0</v>
      </c>
      <c r="R162" s="76">
        <f t="shared" si="9"/>
        <v>0</v>
      </c>
      <c r="S162" s="76" t="str">
        <f t="shared" si="10"/>
        <v/>
      </c>
      <c r="T162" s="76" t="str">
        <f t="shared" si="11"/>
        <v/>
      </c>
      <c r="U162" s="76" t="str">
        <f t="shared" si="12"/>
        <v/>
      </c>
      <c r="V162" s="76" t="str">
        <f t="shared" si="13"/>
        <v/>
      </c>
      <c r="W162" s="76" t="str">
        <f t="shared" si="14"/>
        <v/>
      </c>
      <c r="X162" s="76" t="str">
        <f t="shared" si="15"/>
        <v/>
      </c>
      <c r="Y162" s="76" t="str">
        <f t="shared" si="16"/>
        <v/>
      </c>
      <c r="Z162" s="76" t="str">
        <f t="shared" si="17"/>
        <v/>
      </c>
      <c r="AA162" s="76" t="str">
        <f t="shared" si="18"/>
        <v/>
      </c>
      <c r="AB162" s="76" t="str">
        <f t="shared" si="19"/>
        <v/>
      </c>
      <c r="AC162" s="76" t="str">
        <f t="shared" si="20"/>
        <v/>
      </c>
      <c r="AD162" s="76" t="str">
        <f t="shared" si="21"/>
        <v/>
      </c>
      <c r="AE162" s="76" t="str">
        <f t="shared" si="22"/>
        <v/>
      </c>
      <c r="AF162" s="76" t="str">
        <f t="shared" si="23"/>
        <v/>
      </c>
      <c r="AG162" s="76" t="str">
        <f t="shared" si="24"/>
        <v/>
      </c>
      <c r="AH162" s="76" t="str">
        <f t="shared" si="25"/>
        <v/>
      </c>
      <c r="AI162" s="76" t="str">
        <f t="shared" si="26"/>
        <v/>
      </c>
      <c r="AJ162" s="76" t="str">
        <f t="shared" si="27"/>
        <v/>
      </c>
      <c r="AK162" s="76" t="str">
        <f t="shared" si="28"/>
        <v/>
      </c>
      <c r="AL162" s="76" t="str">
        <f t="shared" si="29"/>
        <v/>
      </c>
      <c r="AM162" s="76" t="str">
        <f t="shared" si="30"/>
        <v/>
      </c>
      <c r="AN162" s="76" t="str">
        <f t="shared" si="31"/>
        <v/>
      </c>
      <c r="AO162" s="76" t="str">
        <f t="shared" si="32"/>
        <v/>
      </c>
      <c r="AP162" s="76" t="str">
        <f t="shared" si="33"/>
        <v/>
      </c>
    </row>
    <row r="163" ht="15.75" customHeight="1">
      <c r="A163" s="76" t="str">
        <f>IF('Manual Entry'!A135="","",'Manual Entry'!A135)</f>
        <v/>
      </c>
      <c r="B163" s="76" t="str">
        <f t="shared" si="3"/>
        <v/>
      </c>
      <c r="C163" s="76" t="str">
        <f t="shared" si="4"/>
        <v/>
      </c>
      <c r="D163" s="76" t="str">
        <f>'Manual Entry'!D135</f>
        <v/>
      </c>
      <c r="E163" s="76" t="str">
        <f>'Manual Entry'!B135</f>
        <v/>
      </c>
      <c r="F163" s="76" t="str">
        <f>'Manual Entry'!F135</f>
        <v/>
      </c>
      <c r="G163" s="76" t="str">
        <f>'Manual Entry'!G135</f>
        <v/>
      </c>
      <c r="H163" s="76" t="str">
        <f>'Manual Entry'!H135</f>
        <v/>
      </c>
      <c r="I163" s="78" t="str">
        <f>'Manual Entry'!I135</f>
        <v/>
      </c>
      <c r="J163" s="78" t="str">
        <f>'Manual Entry'!J135</f>
        <v/>
      </c>
      <c r="K163" s="78" t="str">
        <f>'Manual Entry'!K135</f>
        <v/>
      </c>
      <c r="L163" s="78" t="str">
        <f>'Manual Entry'!L135</f>
        <v/>
      </c>
      <c r="M163" s="78" t="str">
        <f>'Manual Entry'!M135</f>
        <v/>
      </c>
      <c r="N163" s="78" t="str">
        <f>'Manual Entry'!N135</f>
        <v/>
      </c>
      <c r="O163" s="76">
        <f t="shared" si="6"/>
        <v>0</v>
      </c>
      <c r="P163" s="76">
        <f t="shared" si="7"/>
        <v>0</v>
      </c>
      <c r="Q163" s="76">
        <f t="shared" si="8"/>
        <v>0</v>
      </c>
      <c r="R163" s="76">
        <f t="shared" si="9"/>
        <v>0</v>
      </c>
      <c r="S163" s="76" t="str">
        <f t="shared" si="10"/>
        <v/>
      </c>
      <c r="T163" s="76" t="str">
        <f t="shared" si="11"/>
        <v/>
      </c>
      <c r="U163" s="76" t="str">
        <f t="shared" si="12"/>
        <v/>
      </c>
      <c r="V163" s="76" t="str">
        <f t="shared" si="13"/>
        <v/>
      </c>
      <c r="W163" s="76" t="str">
        <f t="shared" si="14"/>
        <v/>
      </c>
      <c r="X163" s="76" t="str">
        <f t="shared" si="15"/>
        <v/>
      </c>
      <c r="Y163" s="76" t="str">
        <f t="shared" si="16"/>
        <v/>
      </c>
      <c r="Z163" s="76" t="str">
        <f t="shared" si="17"/>
        <v/>
      </c>
      <c r="AA163" s="76" t="str">
        <f t="shared" si="18"/>
        <v/>
      </c>
      <c r="AB163" s="76" t="str">
        <f t="shared" si="19"/>
        <v/>
      </c>
      <c r="AC163" s="76" t="str">
        <f t="shared" si="20"/>
        <v/>
      </c>
      <c r="AD163" s="76" t="str">
        <f t="shared" si="21"/>
        <v/>
      </c>
      <c r="AE163" s="76" t="str">
        <f t="shared" si="22"/>
        <v/>
      </c>
      <c r="AF163" s="76" t="str">
        <f t="shared" si="23"/>
        <v/>
      </c>
      <c r="AG163" s="76" t="str">
        <f t="shared" si="24"/>
        <v/>
      </c>
      <c r="AH163" s="76" t="str">
        <f t="shared" si="25"/>
        <v/>
      </c>
      <c r="AI163" s="76" t="str">
        <f t="shared" si="26"/>
        <v/>
      </c>
      <c r="AJ163" s="76" t="str">
        <f t="shared" si="27"/>
        <v/>
      </c>
      <c r="AK163" s="76" t="str">
        <f t="shared" si="28"/>
        <v/>
      </c>
      <c r="AL163" s="76" t="str">
        <f t="shared" si="29"/>
        <v/>
      </c>
      <c r="AM163" s="76" t="str">
        <f t="shared" si="30"/>
        <v/>
      </c>
      <c r="AN163" s="76" t="str">
        <f t="shared" si="31"/>
        <v/>
      </c>
      <c r="AO163" s="76" t="str">
        <f t="shared" si="32"/>
        <v/>
      </c>
      <c r="AP163" s="76" t="str">
        <f t="shared" si="33"/>
        <v/>
      </c>
    </row>
    <row r="164" ht="15.75" customHeight="1">
      <c r="A164" s="76" t="str">
        <f>IF('Manual Entry'!A136="","",'Manual Entry'!A136)</f>
        <v/>
      </c>
      <c r="B164" s="76" t="str">
        <f t="shared" si="3"/>
        <v/>
      </c>
      <c r="C164" s="76" t="str">
        <f t="shared" si="4"/>
        <v/>
      </c>
      <c r="D164" s="76" t="str">
        <f>'Manual Entry'!D136</f>
        <v/>
      </c>
      <c r="E164" s="76" t="str">
        <f>'Manual Entry'!B136</f>
        <v/>
      </c>
      <c r="F164" s="76" t="str">
        <f>'Manual Entry'!F136</f>
        <v/>
      </c>
      <c r="G164" s="76" t="str">
        <f>'Manual Entry'!G136</f>
        <v/>
      </c>
      <c r="H164" s="76" t="str">
        <f>'Manual Entry'!H136</f>
        <v/>
      </c>
      <c r="I164" s="78" t="str">
        <f>'Manual Entry'!I136</f>
        <v/>
      </c>
      <c r="J164" s="78" t="str">
        <f>'Manual Entry'!J136</f>
        <v/>
      </c>
      <c r="K164" s="78" t="str">
        <f>'Manual Entry'!K136</f>
        <v/>
      </c>
      <c r="L164" s="78" t="str">
        <f>'Manual Entry'!L136</f>
        <v/>
      </c>
      <c r="M164" s="78" t="str">
        <f>'Manual Entry'!M136</f>
        <v/>
      </c>
      <c r="N164" s="78" t="str">
        <f>'Manual Entry'!N136</f>
        <v/>
      </c>
      <c r="O164" s="76">
        <f t="shared" si="6"/>
        <v>0</v>
      </c>
      <c r="P164" s="76">
        <f t="shared" si="7"/>
        <v>0</v>
      </c>
      <c r="Q164" s="76">
        <f t="shared" si="8"/>
        <v>0</v>
      </c>
      <c r="R164" s="76">
        <f t="shared" si="9"/>
        <v>0</v>
      </c>
      <c r="S164" s="76" t="str">
        <f t="shared" si="10"/>
        <v/>
      </c>
      <c r="T164" s="76" t="str">
        <f t="shared" si="11"/>
        <v/>
      </c>
      <c r="U164" s="76" t="str">
        <f t="shared" si="12"/>
        <v/>
      </c>
      <c r="V164" s="76" t="str">
        <f t="shared" si="13"/>
        <v/>
      </c>
      <c r="W164" s="76" t="str">
        <f t="shared" si="14"/>
        <v/>
      </c>
      <c r="X164" s="76" t="str">
        <f t="shared" si="15"/>
        <v/>
      </c>
      <c r="Y164" s="76" t="str">
        <f t="shared" si="16"/>
        <v/>
      </c>
      <c r="Z164" s="76" t="str">
        <f t="shared" si="17"/>
        <v/>
      </c>
      <c r="AA164" s="76" t="str">
        <f t="shared" si="18"/>
        <v/>
      </c>
      <c r="AB164" s="76" t="str">
        <f t="shared" si="19"/>
        <v/>
      </c>
      <c r="AC164" s="76" t="str">
        <f t="shared" si="20"/>
        <v/>
      </c>
      <c r="AD164" s="76" t="str">
        <f t="shared" si="21"/>
        <v/>
      </c>
      <c r="AE164" s="76" t="str">
        <f t="shared" si="22"/>
        <v/>
      </c>
      <c r="AF164" s="76" t="str">
        <f t="shared" si="23"/>
        <v/>
      </c>
      <c r="AG164" s="76" t="str">
        <f t="shared" si="24"/>
        <v/>
      </c>
      <c r="AH164" s="76" t="str">
        <f t="shared" si="25"/>
        <v/>
      </c>
      <c r="AI164" s="76" t="str">
        <f t="shared" si="26"/>
        <v/>
      </c>
      <c r="AJ164" s="76" t="str">
        <f t="shared" si="27"/>
        <v/>
      </c>
      <c r="AK164" s="76" t="str">
        <f t="shared" si="28"/>
        <v/>
      </c>
      <c r="AL164" s="76" t="str">
        <f t="shared" si="29"/>
        <v/>
      </c>
      <c r="AM164" s="76" t="str">
        <f t="shared" si="30"/>
        <v/>
      </c>
      <c r="AN164" s="76" t="str">
        <f t="shared" si="31"/>
        <v/>
      </c>
      <c r="AO164" s="76" t="str">
        <f t="shared" si="32"/>
        <v/>
      </c>
      <c r="AP164" s="76" t="str">
        <f t="shared" si="33"/>
        <v/>
      </c>
    </row>
    <row r="165" ht="15.75" customHeight="1">
      <c r="A165" s="76" t="str">
        <f>IF('Manual Entry'!A137="","",'Manual Entry'!A137)</f>
        <v/>
      </c>
      <c r="B165" s="76" t="str">
        <f t="shared" si="3"/>
        <v/>
      </c>
      <c r="C165" s="76" t="str">
        <f t="shared" si="4"/>
        <v/>
      </c>
      <c r="D165" s="76" t="str">
        <f>'Manual Entry'!D137</f>
        <v/>
      </c>
      <c r="E165" s="76" t="str">
        <f>'Manual Entry'!B137</f>
        <v/>
      </c>
      <c r="F165" s="76" t="str">
        <f>'Manual Entry'!F137</f>
        <v/>
      </c>
      <c r="G165" s="76" t="str">
        <f>'Manual Entry'!G137</f>
        <v/>
      </c>
      <c r="H165" s="76" t="str">
        <f>'Manual Entry'!H137</f>
        <v/>
      </c>
      <c r="I165" s="78" t="str">
        <f>'Manual Entry'!I137</f>
        <v/>
      </c>
      <c r="J165" s="78" t="str">
        <f>'Manual Entry'!J137</f>
        <v/>
      </c>
      <c r="K165" s="78" t="str">
        <f>'Manual Entry'!K137</f>
        <v/>
      </c>
      <c r="L165" s="78" t="str">
        <f>'Manual Entry'!L137</f>
        <v/>
      </c>
      <c r="M165" s="78" t="str">
        <f>'Manual Entry'!M137</f>
        <v/>
      </c>
      <c r="N165" s="78" t="str">
        <f>'Manual Entry'!N137</f>
        <v/>
      </c>
      <c r="O165" s="76">
        <f t="shared" si="6"/>
        <v>0</v>
      </c>
      <c r="P165" s="76">
        <f t="shared" si="7"/>
        <v>0</v>
      </c>
      <c r="Q165" s="76">
        <f t="shared" si="8"/>
        <v>0</v>
      </c>
      <c r="R165" s="76">
        <f t="shared" si="9"/>
        <v>0</v>
      </c>
      <c r="S165" s="76" t="str">
        <f t="shared" si="10"/>
        <v/>
      </c>
      <c r="T165" s="76" t="str">
        <f t="shared" si="11"/>
        <v/>
      </c>
      <c r="U165" s="76" t="str">
        <f t="shared" si="12"/>
        <v/>
      </c>
      <c r="V165" s="76" t="str">
        <f t="shared" si="13"/>
        <v/>
      </c>
      <c r="W165" s="76" t="str">
        <f t="shared" si="14"/>
        <v/>
      </c>
      <c r="X165" s="76" t="str">
        <f t="shared" si="15"/>
        <v/>
      </c>
      <c r="Y165" s="76" t="str">
        <f t="shared" si="16"/>
        <v/>
      </c>
      <c r="Z165" s="76" t="str">
        <f t="shared" si="17"/>
        <v/>
      </c>
      <c r="AA165" s="76" t="str">
        <f t="shared" si="18"/>
        <v/>
      </c>
      <c r="AB165" s="76" t="str">
        <f t="shared" si="19"/>
        <v/>
      </c>
      <c r="AC165" s="76" t="str">
        <f t="shared" si="20"/>
        <v/>
      </c>
      <c r="AD165" s="76" t="str">
        <f t="shared" si="21"/>
        <v/>
      </c>
      <c r="AE165" s="76" t="str">
        <f t="shared" si="22"/>
        <v/>
      </c>
      <c r="AF165" s="76" t="str">
        <f t="shared" si="23"/>
        <v/>
      </c>
      <c r="AG165" s="76" t="str">
        <f t="shared" si="24"/>
        <v/>
      </c>
      <c r="AH165" s="76" t="str">
        <f t="shared" si="25"/>
        <v/>
      </c>
      <c r="AI165" s="76" t="str">
        <f t="shared" si="26"/>
        <v/>
      </c>
      <c r="AJ165" s="76" t="str">
        <f t="shared" si="27"/>
        <v/>
      </c>
      <c r="AK165" s="76" t="str">
        <f t="shared" si="28"/>
        <v/>
      </c>
      <c r="AL165" s="76" t="str">
        <f t="shared" si="29"/>
        <v/>
      </c>
      <c r="AM165" s="76" t="str">
        <f t="shared" si="30"/>
        <v/>
      </c>
      <c r="AN165" s="76" t="str">
        <f t="shared" si="31"/>
        <v/>
      </c>
      <c r="AO165" s="76" t="str">
        <f t="shared" si="32"/>
        <v/>
      </c>
      <c r="AP165" s="76" t="str">
        <f t="shared" si="33"/>
        <v/>
      </c>
    </row>
    <row r="166" ht="15.75" customHeight="1">
      <c r="A166" s="76" t="str">
        <f>IF('Manual Entry'!A138="","",'Manual Entry'!A138)</f>
        <v/>
      </c>
      <c r="B166" s="76" t="str">
        <f t="shared" si="3"/>
        <v/>
      </c>
      <c r="C166" s="76" t="str">
        <f t="shared" si="4"/>
        <v/>
      </c>
      <c r="D166" s="76" t="str">
        <f>'Manual Entry'!D138</f>
        <v/>
      </c>
      <c r="E166" s="76" t="str">
        <f>'Manual Entry'!B138</f>
        <v/>
      </c>
      <c r="F166" s="76" t="str">
        <f>'Manual Entry'!F138</f>
        <v/>
      </c>
      <c r="G166" s="76" t="str">
        <f>'Manual Entry'!G138</f>
        <v/>
      </c>
      <c r="H166" s="76" t="str">
        <f>'Manual Entry'!H138</f>
        <v/>
      </c>
      <c r="I166" s="78" t="str">
        <f>'Manual Entry'!I138</f>
        <v/>
      </c>
      <c r="J166" s="78" t="str">
        <f>'Manual Entry'!J138</f>
        <v/>
      </c>
      <c r="K166" s="78" t="str">
        <f>'Manual Entry'!K138</f>
        <v/>
      </c>
      <c r="L166" s="78" t="str">
        <f>'Manual Entry'!L138</f>
        <v/>
      </c>
      <c r="M166" s="78" t="str">
        <f>'Manual Entry'!M138</f>
        <v/>
      </c>
      <c r="N166" s="78" t="str">
        <f>'Manual Entry'!N138</f>
        <v/>
      </c>
      <c r="O166" s="76">
        <f t="shared" si="6"/>
        <v>0</v>
      </c>
      <c r="P166" s="76">
        <f t="shared" si="7"/>
        <v>0</v>
      </c>
      <c r="Q166" s="76">
        <f t="shared" si="8"/>
        <v>0</v>
      </c>
      <c r="R166" s="76">
        <f t="shared" si="9"/>
        <v>0</v>
      </c>
      <c r="S166" s="76" t="str">
        <f t="shared" si="10"/>
        <v/>
      </c>
      <c r="T166" s="76" t="str">
        <f t="shared" si="11"/>
        <v/>
      </c>
      <c r="U166" s="76" t="str">
        <f t="shared" si="12"/>
        <v/>
      </c>
      <c r="V166" s="76" t="str">
        <f t="shared" si="13"/>
        <v/>
      </c>
      <c r="W166" s="76" t="str">
        <f t="shared" si="14"/>
        <v/>
      </c>
      <c r="X166" s="76" t="str">
        <f t="shared" si="15"/>
        <v/>
      </c>
      <c r="Y166" s="76" t="str">
        <f t="shared" si="16"/>
        <v/>
      </c>
      <c r="Z166" s="76" t="str">
        <f t="shared" si="17"/>
        <v/>
      </c>
      <c r="AA166" s="76" t="str">
        <f t="shared" si="18"/>
        <v/>
      </c>
      <c r="AB166" s="76" t="str">
        <f t="shared" si="19"/>
        <v/>
      </c>
      <c r="AC166" s="76" t="str">
        <f t="shared" si="20"/>
        <v/>
      </c>
      <c r="AD166" s="76" t="str">
        <f t="shared" si="21"/>
        <v/>
      </c>
      <c r="AE166" s="76" t="str">
        <f t="shared" si="22"/>
        <v/>
      </c>
      <c r="AF166" s="76" t="str">
        <f t="shared" si="23"/>
        <v/>
      </c>
      <c r="AG166" s="76" t="str">
        <f t="shared" si="24"/>
        <v/>
      </c>
      <c r="AH166" s="76" t="str">
        <f t="shared" si="25"/>
        <v/>
      </c>
      <c r="AI166" s="76" t="str">
        <f t="shared" si="26"/>
        <v/>
      </c>
      <c r="AJ166" s="76" t="str">
        <f t="shared" si="27"/>
        <v/>
      </c>
      <c r="AK166" s="76" t="str">
        <f t="shared" si="28"/>
        <v/>
      </c>
      <c r="AL166" s="76" t="str">
        <f t="shared" si="29"/>
        <v/>
      </c>
      <c r="AM166" s="76" t="str">
        <f t="shared" si="30"/>
        <v/>
      </c>
      <c r="AN166" s="76" t="str">
        <f t="shared" si="31"/>
        <v/>
      </c>
      <c r="AO166" s="76" t="str">
        <f t="shared" si="32"/>
        <v/>
      </c>
      <c r="AP166" s="76" t="str">
        <f t="shared" si="33"/>
        <v/>
      </c>
    </row>
    <row r="167" ht="15.75" customHeight="1">
      <c r="A167" s="76" t="str">
        <f>IF('Manual Entry'!A139="","",'Manual Entry'!A139)</f>
        <v/>
      </c>
      <c r="B167" s="76" t="str">
        <f t="shared" si="3"/>
        <v/>
      </c>
      <c r="C167" s="76" t="str">
        <f t="shared" si="4"/>
        <v/>
      </c>
      <c r="D167" s="76" t="str">
        <f>'Manual Entry'!D139</f>
        <v/>
      </c>
      <c r="E167" s="76" t="str">
        <f>'Manual Entry'!B139</f>
        <v/>
      </c>
      <c r="F167" s="76" t="str">
        <f>'Manual Entry'!F139</f>
        <v/>
      </c>
      <c r="G167" s="76" t="str">
        <f>'Manual Entry'!G139</f>
        <v/>
      </c>
      <c r="H167" s="76" t="str">
        <f>'Manual Entry'!H139</f>
        <v/>
      </c>
      <c r="I167" s="78" t="str">
        <f>'Manual Entry'!I139</f>
        <v/>
      </c>
      <c r="J167" s="78" t="str">
        <f>'Manual Entry'!J139</f>
        <v/>
      </c>
      <c r="K167" s="78" t="str">
        <f>'Manual Entry'!K139</f>
        <v/>
      </c>
      <c r="L167" s="78" t="str">
        <f>'Manual Entry'!L139</f>
        <v/>
      </c>
      <c r="M167" s="78" t="str">
        <f>'Manual Entry'!M139</f>
        <v/>
      </c>
      <c r="N167" s="78" t="str">
        <f>'Manual Entry'!N139</f>
        <v/>
      </c>
      <c r="O167" s="76">
        <f t="shared" si="6"/>
        <v>0</v>
      </c>
      <c r="P167" s="76">
        <f t="shared" si="7"/>
        <v>0</v>
      </c>
      <c r="Q167" s="76">
        <f t="shared" si="8"/>
        <v>0</v>
      </c>
      <c r="R167" s="76">
        <f t="shared" si="9"/>
        <v>0</v>
      </c>
      <c r="S167" s="76" t="str">
        <f t="shared" si="10"/>
        <v/>
      </c>
      <c r="T167" s="76" t="str">
        <f t="shared" si="11"/>
        <v/>
      </c>
      <c r="U167" s="76" t="str">
        <f t="shared" si="12"/>
        <v/>
      </c>
      <c r="V167" s="76" t="str">
        <f t="shared" si="13"/>
        <v/>
      </c>
      <c r="W167" s="76" t="str">
        <f t="shared" si="14"/>
        <v/>
      </c>
      <c r="X167" s="76" t="str">
        <f t="shared" si="15"/>
        <v/>
      </c>
      <c r="Y167" s="76" t="str">
        <f t="shared" si="16"/>
        <v/>
      </c>
      <c r="Z167" s="76" t="str">
        <f t="shared" si="17"/>
        <v/>
      </c>
      <c r="AA167" s="76" t="str">
        <f t="shared" si="18"/>
        <v/>
      </c>
      <c r="AB167" s="76" t="str">
        <f t="shared" si="19"/>
        <v/>
      </c>
      <c r="AC167" s="76" t="str">
        <f t="shared" si="20"/>
        <v/>
      </c>
      <c r="AD167" s="76" t="str">
        <f t="shared" si="21"/>
        <v/>
      </c>
      <c r="AE167" s="76" t="str">
        <f t="shared" si="22"/>
        <v/>
      </c>
      <c r="AF167" s="76" t="str">
        <f t="shared" si="23"/>
        <v/>
      </c>
      <c r="AG167" s="76" t="str">
        <f t="shared" si="24"/>
        <v/>
      </c>
      <c r="AH167" s="76" t="str">
        <f t="shared" si="25"/>
        <v/>
      </c>
      <c r="AI167" s="76" t="str">
        <f t="shared" si="26"/>
        <v/>
      </c>
      <c r="AJ167" s="76" t="str">
        <f t="shared" si="27"/>
        <v/>
      </c>
      <c r="AK167" s="76" t="str">
        <f t="shared" si="28"/>
        <v/>
      </c>
      <c r="AL167" s="76" t="str">
        <f t="shared" si="29"/>
        <v/>
      </c>
      <c r="AM167" s="76" t="str">
        <f t="shared" si="30"/>
        <v/>
      </c>
      <c r="AN167" s="76" t="str">
        <f t="shared" si="31"/>
        <v/>
      </c>
      <c r="AO167" s="76" t="str">
        <f t="shared" si="32"/>
        <v/>
      </c>
      <c r="AP167" s="76" t="str">
        <f t="shared" si="33"/>
        <v/>
      </c>
    </row>
    <row r="168" ht="15.75" customHeight="1">
      <c r="A168" s="76" t="str">
        <f>IF('Manual Entry'!A140="","",'Manual Entry'!A140)</f>
        <v/>
      </c>
      <c r="B168" s="76" t="str">
        <f t="shared" si="3"/>
        <v/>
      </c>
      <c r="C168" s="76" t="str">
        <f t="shared" si="4"/>
        <v/>
      </c>
      <c r="D168" s="76" t="str">
        <f>'Manual Entry'!D140</f>
        <v/>
      </c>
      <c r="E168" s="76" t="str">
        <f>'Manual Entry'!B140</f>
        <v/>
      </c>
      <c r="F168" s="76" t="str">
        <f>'Manual Entry'!F140</f>
        <v/>
      </c>
      <c r="G168" s="76" t="str">
        <f>'Manual Entry'!G140</f>
        <v/>
      </c>
      <c r="H168" s="76" t="str">
        <f>'Manual Entry'!H140</f>
        <v/>
      </c>
      <c r="I168" s="78" t="str">
        <f>'Manual Entry'!I140</f>
        <v/>
      </c>
      <c r="J168" s="78" t="str">
        <f>'Manual Entry'!J140</f>
        <v/>
      </c>
      <c r="K168" s="78" t="str">
        <f>'Manual Entry'!K140</f>
        <v/>
      </c>
      <c r="L168" s="78" t="str">
        <f>'Manual Entry'!L140</f>
        <v/>
      </c>
      <c r="M168" s="78" t="str">
        <f>'Manual Entry'!M140</f>
        <v/>
      </c>
      <c r="N168" s="78" t="str">
        <f>'Manual Entry'!N140</f>
        <v/>
      </c>
      <c r="O168" s="76">
        <f t="shared" si="6"/>
        <v>0</v>
      </c>
      <c r="P168" s="76">
        <f t="shared" si="7"/>
        <v>0</v>
      </c>
      <c r="Q168" s="76">
        <f t="shared" si="8"/>
        <v>0</v>
      </c>
      <c r="R168" s="76">
        <f t="shared" si="9"/>
        <v>0</v>
      </c>
      <c r="S168" s="76" t="str">
        <f t="shared" si="10"/>
        <v/>
      </c>
      <c r="T168" s="76" t="str">
        <f t="shared" si="11"/>
        <v/>
      </c>
      <c r="U168" s="76" t="str">
        <f t="shared" si="12"/>
        <v/>
      </c>
      <c r="V168" s="76" t="str">
        <f t="shared" si="13"/>
        <v/>
      </c>
      <c r="W168" s="76" t="str">
        <f t="shared" si="14"/>
        <v/>
      </c>
      <c r="X168" s="76" t="str">
        <f t="shared" si="15"/>
        <v/>
      </c>
      <c r="Y168" s="76" t="str">
        <f t="shared" si="16"/>
        <v/>
      </c>
      <c r="Z168" s="76" t="str">
        <f t="shared" si="17"/>
        <v/>
      </c>
      <c r="AA168" s="76" t="str">
        <f t="shared" si="18"/>
        <v/>
      </c>
      <c r="AB168" s="76" t="str">
        <f t="shared" si="19"/>
        <v/>
      </c>
      <c r="AC168" s="76" t="str">
        <f t="shared" si="20"/>
        <v/>
      </c>
      <c r="AD168" s="76" t="str">
        <f t="shared" si="21"/>
        <v/>
      </c>
      <c r="AE168" s="76" t="str">
        <f t="shared" si="22"/>
        <v/>
      </c>
      <c r="AF168" s="76" t="str">
        <f t="shared" si="23"/>
        <v/>
      </c>
      <c r="AG168" s="76" t="str">
        <f t="shared" si="24"/>
        <v/>
      </c>
      <c r="AH168" s="76" t="str">
        <f t="shared" si="25"/>
        <v/>
      </c>
      <c r="AI168" s="76" t="str">
        <f t="shared" si="26"/>
        <v/>
      </c>
      <c r="AJ168" s="76" t="str">
        <f t="shared" si="27"/>
        <v/>
      </c>
      <c r="AK168" s="76" t="str">
        <f t="shared" si="28"/>
        <v/>
      </c>
      <c r="AL168" s="76" t="str">
        <f t="shared" si="29"/>
        <v/>
      </c>
      <c r="AM168" s="76" t="str">
        <f t="shared" si="30"/>
        <v/>
      </c>
      <c r="AN168" s="76" t="str">
        <f t="shared" si="31"/>
        <v/>
      </c>
      <c r="AO168" s="76" t="str">
        <f t="shared" si="32"/>
        <v/>
      </c>
      <c r="AP168" s="76" t="str">
        <f t="shared" si="33"/>
        <v/>
      </c>
    </row>
    <row r="169" ht="15.75" customHeight="1">
      <c r="A169" s="76" t="str">
        <f>IF('Manual Entry'!A141="","",'Manual Entry'!A141)</f>
        <v/>
      </c>
      <c r="B169" s="76" t="str">
        <f t="shared" si="3"/>
        <v/>
      </c>
      <c r="C169" s="76" t="str">
        <f t="shared" si="4"/>
        <v/>
      </c>
      <c r="D169" s="76" t="str">
        <f>'Manual Entry'!D141</f>
        <v/>
      </c>
      <c r="E169" s="76" t="str">
        <f>'Manual Entry'!B141</f>
        <v/>
      </c>
      <c r="F169" s="76" t="str">
        <f>'Manual Entry'!F141</f>
        <v/>
      </c>
      <c r="G169" s="76" t="str">
        <f>'Manual Entry'!G141</f>
        <v/>
      </c>
      <c r="H169" s="76" t="str">
        <f>'Manual Entry'!H141</f>
        <v/>
      </c>
      <c r="I169" s="78" t="str">
        <f>'Manual Entry'!I141</f>
        <v/>
      </c>
      <c r="J169" s="78" t="str">
        <f>'Manual Entry'!J141</f>
        <v/>
      </c>
      <c r="K169" s="78" t="str">
        <f>'Manual Entry'!K141</f>
        <v/>
      </c>
      <c r="L169" s="78" t="str">
        <f>'Manual Entry'!L141</f>
        <v/>
      </c>
      <c r="M169" s="78" t="str">
        <f>'Manual Entry'!M141</f>
        <v/>
      </c>
      <c r="N169" s="78" t="str">
        <f>'Manual Entry'!N141</f>
        <v/>
      </c>
      <c r="O169" s="76">
        <f t="shared" si="6"/>
        <v>0</v>
      </c>
      <c r="P169" s="76">
        <f t="shared" si="7"/>
        <v>0</v>
      </c>
      <c r="Q169" s="76">
        <f t="shared" si="8"/>
        <v>0</v>
      </c>
      <c r="R169" s="76">
        <f t="shared" si="9"/>
        <v>0</v>
      </c>
      <c r="S169" s="76" t="str">
        <f t="shared" si="10"/>
        <v/>
      </c>
      <c r="T169" s="76" t="str">
        <f t="shared" si="11"/>
        <v/>
      </c>
      <c r="U169" s="76" t="str">
        <f t="shared" si="12"/>
        <v/>
      </c>
      <c r="V169" s="76" t="str">
        <f t="shared" si="13"/>
        <v/>
      </c>
      <c r="W169" s="76" t="str">
        <f t="shared" si="14"/>
        <v/>
      </c>
      <c r="X169" s="76" t="str">
        <f t="shared" si="15"/>
        <v/>
      </c>
      <c r="Y169" s="76" t="str">
        <f t="shared" si="16"/>
        <v/>
      </c>
      <c r="Z169" s="76" t="str">
        <f t="shared" si="17"/>
        <v/>
      </c>
      <c r="AA169" s="76" t="str">
        <f t="shared" si="18"/>
        <v/>
      </c>
      <c r="AB169" s="76" t="str">
        <f t="shared" si="19"/>
        <v/>
      </c>
      <c r="AC169" s="76" t="str">
        <f t="shared" si="20"/>
        <v/>
      </c>
      <c r="AD169" s="76" t="str">
        <f t="shared" si="21"/>
        <v/>
      </c>
      <c r="AE169" s="76" t="str">
        <f t="shared" si="22"/>
        <v/>
      </c>
      <c r="AF169" s="76" t="str">
        <f t="shared" si="23"/>
        <v/>
      </c>
      <c r="AG169" s="76" t="str">
        <f t="shared" si="24"/>
        <v/>
      </c>
      <c r="AH169" s="76" t="str">
        <f t="shared" si="25"/>
        <v/>
      </c>
      <c r="AI169" s="76" t="str">
        <f t="shared" si="26"/>
        <v/>
      </c>
      <c r="AJ169" s="76" t="str">
        <f t="shared" si="27"/>
        <v/>
      </c>
      <c r="AK169" s="76" t="str">
        <f t="shared" si="28"/>
        <v/>
      </c>
      <c r="AL169" s="76" t="str">
        <f t="shared" si="29"/>
        <v/>
      </c>
      <c r="AM169" s="76" t="str">
        <f t="shared" si="30"/>
        <v/>
      </c>
      <c r="AN169" s="76" t="str">
        <f t="shared" si="31"/>
        <v/>
      </c>
      <c r="AO169" s="76" t="str">
        <f t="shared" si="32"/>
        <v/>
      </c>
      <c r="AP169" s="76" t="str">
        <f t="shared" si="33"/>
        <v/>
      </c>
    </row>
    <row r="170" ht="15.75" customHeight="1">
      <c r="A170" s="76" t="str">
        <f>IF('Manual Entry'!A142="","",'Manual Entry'!A142)</f>
        <v/>
      </c>
      <c r="B170" s="76" t="str">
        <f t="shared" si="3"/>
        <v/>
      </c>
      <c r="C170" s="76" t="str">
        <f t="shared" si="4"/>
        <v/>
      </c>
      <c r="D170" s="76" t="str">
        <f>'Manual Entry'!D142</f>
        <v/>
      </c>
      <c r="E170" s="76" t="str">
        <f>'Manual Entry'!B142</f>
        <v/>
      </c>
      <c r="F170" s="76" t="str">
        <f>'Manual Entry'!F142</f>
        <v/>
      </c>
      <c r="G170" s="76" t="str">
        <f>'Manual Entry'!G142</f>
        <v/>
      </c>
      <c r="H170" s="76" t="str">
        <f>'Manual Entry'!H142</f>
        <v/>
      </c>
      <c r="I170" s="78" t="str">
        <f>'Manual Entry'!I142</f>
        <v/>
      </c>
      <c r="J170" s="78" t="str">
        <f>'Manual Entry'!J142</f>
        <v/>
      </c>
      <c r="K170" s="78" t="str">
        <f>'Manual Entry'!K142</f>
        <v/>
      </c>
      <c r="L170" s="78" t="str">
        <f>'Manual Entry'!L142</f>
        <v/>
      </c>
      <c r="M170" s="78" t="str">
        <f>'Manual Entry'!M142</f>
        <v/>
      </c>
      <c r="N170" s="78" t="str">
        <f>'Manual Entry'!N142</f>
        <v/>
      </c>
      <c r="O170" s="76">
        <f t="shared" si="6"/>
        <v>0</v>
      </c>
      <c r="P170" s="76">
        <f t="shared" si="7"/>
        <v>0</v>
      </c>
      <c r="Q170" s="76">
        <f t="shared" si="8"/>
        <v>0</v>
      </c>
      <c r="R170" s="76">
        <f t="shared" si="9"/>
        <v>0</v>
      </c>
      <c r="S170" s="76" t="str">
        <f t="shared" si="10"/>
        <v/>
      </c>
      <c r="T170" s="76" t="str">
        <f t="shared" si="11"/>
        <v/>
      </c>
      <c r="U170" s="76" t="str">
        <f t="shared" si="12"/>
        <v/>
      </c>
      <c r="V170" s="76" t="str">
        <f t="shared" si="13"/>
        <v/>
      </c>
      <c r="W170" s="76" t="str">
        <f t="shared" si="14"/>
        <v/>
      </c>
      <c r="X170" s="76" t="str">
        <f t="shared" si="15"/>
        <v/>
      </c>
      <c r="Y170" s="76" t="str">
        <f t="shared" si="16"/>
        <v/>
      </c>
      <c r="Z170" s="76" t="str">
        <f t="shared" si="17"/>
        <v/>
      </c>
      <c r="AA170" s="76" t="str">
        <f t="shared" si="18"/>
        <v/>
      </c>
      <c r="AB170" s="76" t="str">
        <f t="shared" si="19"/>
        <v/>
      </c>
      <c r="AC170" s="76" t="str">
        <f t="shared" si="20"/>
        <v/>
      </c>
      <c r="AD170" s="76" t="str">
        <f t="shared" si="21"/>
        <v/>
      </c>
      <c r="AE170" s="76" t="str">
        <f t="shared" si="22"/>
        <v/>
      </c>
      <c r="AF170" s="76" t="str">
        <f t="shared" si="23"/>
        <v/>
      </c>
      <c r="AG170" s="76" t="str">
        <f t="shared" si="24"/>
        <v/>
      </c>
      <c r="AH170" s="76" t="str">
        <f t="shared" si="25"/>
        <v/>
      </c>
      <c r="AI170" s="76" t="str">
        <f t="shared" si="26"/>
        <v/>
      </c>
      <c r="AJ170" s="76" t="str">
        <f t="shared" si="27"/>
        <v/>
      </c>
      <c r="AK170" s="76" t="str">
        <f t="shared" si="28"/>
        <v/>
      </c>
      <c r="AL170" s="76" t="str">
        <f t="shared" si="29"/>
        <v/>
      </c>
      <c r="AM170" s="76" t="str">
        <f t="shared" si="30"/>
        <v/>
      </c>
      <c r="AN170" s="76" t="str">
        <f t="shared" si="31"/>
        <v/>
      </c>
      <c r="AO170" s="76" t="str">
        <f t="shared" si="32"/>
        <v/>
      </c>
      <c r="AP170" s="76" t="str">
        <f t="shared" si="33"/>
        <v/>
      </c>
    </row>
    <row r="171" ht="15.75" customHeight="1">
      <c r="A171" s="76" t="str">
        <f>IF('Manual Entry'!A143="","",'Manual Entry'!A143)</f>
        <v/>
      </c>
      <c r="B171" s="76" t="str">
        <f t="shared" si="3"/>
        <v/>
      </c>
      <c r="C171" s="76" t="str">
        <f t="shared" si="4"/>
        <v/>
      </c>
      <c r="D171" s="76" t="str">
        <f>'Manual Entry'!D143</f>
        <v/>
      </c>
      <c r="E171" s="76" t="str">
        <f>'Manual Entry'!B143</f>
        <v/>
      </c>
      <c r="F171" s="76" t="str">
        <f>'Manual Entry'!F143</f>
        <v/>
      </c>
      <c r="G171" s="76" t="str">
        <f>'Manual Entry'!G143</f>
        <v/>
      </c>
      <c r="H171" s="76" t="str">
        <f>'Manual Entry'!H143</f>
        <v/>
      </c>
      <c r="I171" s="78" t="str">
        <f>'Manual Entry'!I143</f>
        <v/>
      </c>
      <c r="J171" s="78" t="str">
        <f>'Manual Entry'!J143</f>
        <v/>
      </c>
      <c r="K171" s="78" t="str">
        <f>'Manual Entry'!K143</f>
        <v/>
      </c>
      <c r="L171" s="78" t="str">
        <f>'Manual Entry'!L143</f>
        <v/>
      </c>
      <c r="M171" s="78" t="str">
        <f>'Manual Entry'!M143</f>
        <v/>
      </c>
      <c r="N171" s="78" t="str">
        <f>'Manual Entry'!N143</f>
        <v/>
      </c>
      <c r="O171" s="76">
        <f t="shared" si="6"/>
        <v>0</v>
      </c>
      <c r="P171" s="76">
        <f t="shared" si="7"/>
        <v>0</v>
      </c>
      <c r="Q171" s="76">
        <f t="shared" si="8"/>
        <v>0</v>
      </c>
      <c r="R171" s="76">
        <f t="shared" si="9"/>
        <v>0</v>
      </c>
      <c r="S171" s="76" t="str">
        <f t="shared" si="10"/>
        <v/>
      </c>
      <c r="T171" s="76" t="str">
        <f t="shared" si="11"/>
        <v/>
      </c>
      <c r="U171" s="76" t="str">
        <f t="shared" si="12"/>
        <v/>
      </c>
      <c r="V171" s="76" t="str">
        <f t="shared" si="13"/>
        <v/>
      </c>
      <c r="W171" s="76" t="str">
        <f t="shared" si="14"/>
        <v/>
      </c>
      <c r="X171" s="76" t="str">
        <f t="shared" si="15"/>
        <v/>
      </c>
      <c r="Y171" s="76" t="str">
        <f t="shared" si="16"/>
        <v/>
      </c>
      <c r="Z171" s="76" t="str">
        <f t="shared" si="17"/>
        <v/>
      </c>
      <c r="AA171" s="76" t="str">
        <f t="shared" si="18"/>
        <v/>
      </c>
      <c r="AB171" s="76" t="str">
        <f t="shared" si="19"/>
        <v/>
      </c>
      <c r="AC171" s="76" t="str">
        <f t="shared" si="20"/>
        <v/>
      </c>
      <c r="AD171" s="76" t="str">
        <f t="shared" si="21"/>
        <v/>
      </c>
      <c r="AE171" s="76" t="str">
        <f t="shared" si="22"/>
        <v/>
      </c>
      <c r="AF171" s="76" t="str">
        <f t="shared" si="23"/>
        <v/>
      </c>
      <c r="AG171" s="76" t="str">
        <f t="shared" si="24"/>
        <v/>
      </c>
      <c r="AH171" s="76" t="str">
        <f t="shared" si="25"/>
        <v/>
      </c>
      <c r="AI171" s="76" t="str">
        <f t="shared" si="26"/>
        <v/>
      </c>
      <c r="AJ171" s="76" t="str">
        <f t="shared" si="27"/>
        <v/>
      </c>
      <c r="AK171" s="76" t="str">
        <f t="shared" si="28"/>
        <v/>
      </c>
      <c r="AL171" s="76" t="str">
        <f t="shared" si="29"/>
        <v/>
      </c>
      <c r="AM171" s="76" t="str">
        <f t="shared" si="30"/>
        <v/>
      </c>
      <c r="AN171" s="76" t="str">
        <f t="shared" si="31"/>
        <v/>
      </c>
      <c r="AO171" s="76" t="str">
        <f t="shared" si="32"/>
        <v/>
      </c>
      <c r="AP171" s="76" t="str">
        <f t="shared" si="33"/>
        <v/>
      </c>
    </row>
    <row r="172" ht="15.75" customHeight="1">
      <c r="A172" s="76" t="str">
        <f>IF('Manual Entry'!A144="","",'Manual Entry'!A144)</f>
        <v/>
      </c>
      <c r="B172" s="76" t="str">
        <f t="shared" si="3"/>
        <v/>
      </c>
      <c r="C172" s="76" t="str">
        <f t="shared" si="4"/>
        <v/>
      </c>
      <c r="D172" s="76" t="str">
        <f>'Manual Entry'!D144</f>
        <v/>
      </c>
      <c r="E172" s="76" t="str">
        <f>'Manual Entry'!B144</f>
        <v/>
      </c>
      <c r="F172" s="76" t="str">
        <f>'Manual Entry'!F144</f>
        <v/>
      </c>
      <c r="G172" s="76" t="str">
        <f>'Manual Entry'!G144</f>
        <v/>
      </c>
      <c r="H172" s="76" t="str">
        <f>'Manual Entry'!H144</f>
        <v/>
      </c>
      <c r="I172" s="78" t="str">
        <f>'Manual Entry'!I144</f>
        <v/>
      </c>
      <c r="J172" s="78" t="str">
        <f>'Manual Entry'!J144</f>
        <v/>
      </c>
      <c r="K172" s="78" t="str">
        <f>'Manual Entry'!K144</f>
        <v/>
      </c>
      <c r="L172" s="78" t="str">
        <f>'Manual Entry'!L144</f>
        <v/>
      </c>
      <c r="M172" s="78" t="str">
        <f>'Manual Entry'!M144</f>
        <v/>
      </c>
      <c r="N172" s="78" t="str">
        <f>'Manual Entry'!N144</f>
        <v/>
      </c>
      <c r="O172" s="76">
        <f t="shared" si="6"/>
        <v>0</v>
      </c>
      <c r="P172" s="76">
        <f t="shared" si="7"/>
        <v>0</v>
      </c>
      <c r="Q172" s="76">
        <f t="shared" si="8"/>
        <v>0</v>
      </c>
      <c r="R172" s="76">
        <f t="shared" si="9"/>
        <v>0</v>
      </c>
      <c r="S172" s="76" t="str">
        <f t="shared" si="10"/>
        <v/>
      </c>
      <c r="T172" s="76" t="str">
        <f t="shared" si="11"/>
        <v/>
      </c>
      <c r="U172" s="76" t="str">
        <f t="shared" si="12"/>
        <v/>
      </c>
      <c r="V172" s="76" t="str">
        <f t="shared" si="13"/>
        <v/>
      </c>
      <c r="W172" s="76" t="str">
        <f t="shared" si="14"/>
        <v/>
      </c>
      <c r="X172" s="76" t="str">
        <f t="shared" si="15"/>
        <v/>
      </c>
      <c r="Y172" s="76" t="str">
        <f t="shared" si="16"/>
        <v/>
      </c>
      <c r="Z172" s="76" t="str">
        <f t="shared" si="17"/>
        <v/>
      </c>
      <c r="AA172" s="76" t="str">
        <f t="shared" si="18"/>
        <v/>
      </c>
      <c r="AB172" s="76" t="str">
        <f t="shared" si="19"/>
        <v/>
      </c>
      <c r="AC172" s="76" t="str">
        <f t="shared" si="20"/>
        <v/>
      </c>
      <c r="AD172" s="76" t="str">
        <f t="shared" si="21"/>
        <v/>
      </c>
      <c r="AE172" s="76" t="str">
        <f t="shared" si="22"/>
        <v/>
      </c>
      <c r="AF172" s="76" t="str">
        <f t="shared" si="23"/>
        <v/>
      </c>
      <c r="AG172" s="76" t="str">
        <f t="shared" si="24"/>
        <v/>
      </c>
      <c r="AH172" s="76" t="str">
        <f t="shared" si="25"/>
        <v/>
      </c>
      <c r="AI172" s="76" t="str">
        <f t="shared" si="26"/>
        <v/>
      </c>
      <c r="AJ172" s="76" t="str">
        <f t="shared" si="27"/>
        <v/>
      </c>
      <c r="AK172" s="76" t="str">
        <f t="shared" si="28"/>
        <v/>
      </c>
      <c r="AL172" s="76" t="str">
        <f t="shared" si="29"/>
        <v/>
      </c>
      <c r="AM172" s="76" t="str">
        <f t="shared" si="30"/>
        <v/>
      </c>
      <c r="AN172" s="76" t="str">
        <f t="shared" si="31"/>
        <v/>
      </c>
      <c r="AO172" s="76" t="str">
        <f t="shared" si="32"/>
        <v/>
      </c>
      <c r="AP172" s="76" t="str">
        <f t="shared" si="33"/>
        <v/>
      </c>
    </row>
    <row r="173" ht="15.75" customHeight="1">
      <c r="A173" s="76" t="str">
        <f>IF('Manual Entry'!A145="","",'Manual Entry'!A145)</f>
        <v/>
      </c>
      <c r="B173" s="76" t="str">
        <f t="shared" si="3"/>
        <v/>
      </c>
      <c r="C173" s="76" t="str">
        <f t="shared" si="4"/>
        <v/>
      </c>
      <c r="D173" s="76" t="str">
        <f>'Manual Entry'!D145</f>
        <v/>
      </c>
      <c r="E173" s="76" t="str">
        <f>'Manual Entry'!B145</f>
        <v/>
      </c>
      <c r="F173" s="76" t="str">
        <f>'Manual Entry'!F145</f>
        <v/>
      </c>
      <c r="G173" s="76" t="str">
        <f>'Manual Entry'!G145</f>
        <v/>
      </c>
      <c r="H173" s="76" t="str">
        <f>'Manual Entry'!H145</f>
        <v/>
      </c>
      <c r="I173" s="78" t="str">
        <f>'Manual Entry'!I145</f>
        <v/>
      </c>
      <c r="J173" s="78" t="str">
        <f>'Manual Entry'!J145</f>
        <v/>
      </c>
      <c r="K173" s="78" t="str">
        <f>'Manual Entry'!K145</f>
        <v/>
      </c>
      <c r="L173" s="78" t="str">
        <f>'Manual Entry'!L145</f>
        <v/>
      </c>
      <c r="M173" s="78" t="str">
        <f>'Manual Entry'!M145</f>
        <v/>
      </c>
      <c r="N173" s="78" t="str">
        <f>'Manual Entry'!N145</f>
        <v/>
      </c>
      <c r="O173" s="76">
        <f t="shared" si="6"/>
        <v>0</v>
      </c>
      <c r="P173" s="76">
        <f t="shared" si="7"/>
        <v>0</v>
      </c>
      <c r="Q173" s="76">
        <f t="shared" si="8"/>
        <v>0</v>
      </c>
      <c r="R173" s="76">
        <f t="shared" si="9"/>
        <v>0</v>
      </c>
      <c r="S173" s="76" t="str">
        <f t="shared" si="10"/>
        <v/>
      </c>
      <c r="T173" s="76" t="str">
        <f t="shared" si="11"/>
        <v/>
      </c>
      <c r="U173" s="76" t="str">
        <f t="shared" si="12"/>
        <v/>
      </c>
      <c r="V173" s="76" t="str">
        <f t="shared" si="13"/>
        <v/>
      </c>
      <c r="W173" s="76" t="str">
        <f t="shared" si="14"/>
        <v/>
      </c>
      <c r="X173" s="76" t="str">
        <f t="shared" si="15"/>
        <v/>
      </c>
      <c r="Y173" s="76" t="str">
        <f t="shared" si="16"/>
        <v/>
      </c>
      <c r="Z173" s="76" t="str">
        <f t="shared" si="17"/>
        <v/>
      </c>
      <c r="AA173" s="76" t="str">
        <f t="shared" si="18"/>
        <v/>
      </c>
      <c r="AB173" s="76" t="str">
        <f t="shared" si="19"/>
        <v/>
      </c>
      <c r="AC173" s="76" t="str">
        <f t="shared" si="20"/>
        <v/>
      </c>
      <c r="AD173" s="76" t="str">
        <f t="shared" si="21"/>
        <v/>
      </c>
      <c r="AE173" s="76" t="str">
        <f t="shared" si="22"/>
        <v/>
      </c>
      <c r="AF173" s="76" t="str">
        <f t="shared" si="23"/>
        <v/>
      </c>
      <c r="AG173" s="76" t="str">
        <f t="shared" si="24"/>
        <v/>
      </c>
      <c r="AH173" s="76" t="str">
        <f t="shared" si="25"/>
        <v/>
      </c>
      <c r="AI173" s="76" t="str">
        <f t="shared" si="26"/>
        <v/>
      </c>
      <c r="AJ173" s="76" t="str">
        <f t="shared" si="27"/>
        <v/>
      </c>
      <c r="AK173" s="76" t="str">
        <f t="shared" si="28"/>
        <v/>
      </c>
      <c r="AL173" s="76" t="str">
        <f t="shared" si="29"/>
        <v/>
      </c>
      <c r="AM173" s="76" t="str">
        <f t="shared" si="30"/>
        <v/>
      </c>
      <c r="AN173" s="76" t="str">
        <f t="shared" si="31"/>
        <v/>
      </c>
      <c r="AO173" s="76" t="str">
        <f t="shared" si="32"/>
        <v/>
      </c>
      <c r="AP173" s="76" t="str">
        <f t="shared" si="33"/>
        <v/>
      </c>
    </row>
    <row r="174" ht="15.75" customHeight="1">
      <c r="A174" s="76" t="str">
        <f>IF('Manual Entry'!A146="","",'Manual Entry'!A146)</f>
        <v/>
      </c>
      <c r="B174" s="76" t="str">
        <f t="shared" si="3"/>
        <v/>
      </c>
      <c r="C174" s="76" t="str">
        <f t="shared" si="4"/>
        <v/>
      </c>
      <c r="D174" s="76" t="str">
        <f>'Manual Entry'!D146</f>
        <v/>
      </c>
      <c r="E174" s="76" t="str">
        <f>'Manual Entry'!B146</f>
        <v/>
      </c>
      <c r="F174" s="76" t="str">
        <f>'Manual Entry'!F146</f>
        <v/>
      </c>
      <c r="G174" s="76" t="str">
        <f>'Manual Entry'!G146</f>
        <v/>
      </c>
      <c r="H174" s="76" t="str">
        <f>'Manual Entry'!H146</f>
        <v/>
      </c>
      <c r="I174" s="78" t="str">
        <f>'Manual Entry'!I146</f>
        <v/>
      </c>
      <c r="J174" s="78" t="str">
        <f>'Manual Entry'!J146</f>
        <v/>
      </c>
      <c r="K174" s="78" t="str">
        <f>'Manual Entry'!K146</f>
        <v/>
      </c>
      <c r="L174" s="78" t="str">
        <f>'Manual Entry'!L146</f>
        <v/>
      </c>
      <c r="M174" s="78" t="str">
        <f>'Manual Entry'!M146</f>
        <v/>
      </c>
      <c r="N174" s="78" t="str">
        <f>'Manual Entry'!N146</f>
        <v/>
      </c>
      <c r="O174" s="76">
        <f t="shared" si="6"/>
        <v>0</v>
      </c>
      <c r="P174" s="76">
        <f t="shared" si="7"/>
        <v>0</v>
      </c>
      <c r="Q174" s="76">
        <f t="shared" si="8"/>
        <v>0</v>
      </c>
      <c r="R174" s="76">
        <f t="shared" si="9"/>
        <v>0</v>
      </c>
      <c r="S174" s="76" t="str">
        <f t="shared" si="10"/>
        <v/>
      </c>
      <c r="T174" s="76" t="str">
        <f t="shared" si="11"/>
        <v/>
      </c>
      <c r="U174" s="76" t="str">
        <f t="shared" si="12"/>
        <v/>
      </c>
      <c r="V174" s="76" t="str">
        <f t="shared" si="13"/>
        <v/>
      </c>
      <c r="W174" s="76" t="str">
        <f t="shared" si="14"/>
        <v/>
      </c>
      <c r="X174" s="76" t="str">
        <f t="shared" si="15"/>
        <v/>
      </c>
      <c r="Y174" s="76" t="str">
        <f t="shared" si="16"/>
        <v/>
      </c>
      <c r="Z174" s="76" t="str">
        <f t="shared" si="17"/>
        <v/>
      </c>
      <c r="AA174" s="76" t="str">
        <f t="shared" si="18"/>
        <v/>
      </c>
      <c r="AB174" s="76" t="str">
        <f t="shared" si="19"/>
        <v/>
      </c>
      <c r="AC174" s="76" t="str">
        <f t="shared" si="20"/>
        <v/>
      </c>
      <c r="AD174" s="76" t="str">
        <f t="shared" si="21"/>
        <v/>
      </c>
      <c r="AE174" s="76" t="str">
        <f t="shared" si="22"/>
        <v/>
      </c>
      <c r="AF174" s="76" t="str">
        <f t="shared" si="23"/>
        <v/>
      </c>
      <c r="AG174" s="76" t="str">
        <f t="shared" si="24"/>
        <v/>
      </c>
      <c r="AH174" s="76" t="str">
        <f t="shared" si="25"/>
        <v/>
      </c>
      <c r="AI174" s="76" t="str">
        <f t="shared" si="26"/>
        <v/>
      </c>
      <c r="AJ174" s="76" t="str">
        <f t="shared" si="27"/>
        <v/>
      </c>
      <c r="AK174" s="76" t="str">
        <f t="shared" si="28"/>
        <v/>
      </c>
      <c r="AL174" s="76" t="str">
        <f t="shared" si="29"/>
        <v/>
      </c>
      <c r="AM174" s="76" t="str">
        <f t="shared" si="30"/>
        <v/>
      </c>
      <c r="AN174" s="76" t="str">
        <f t="shared" si="31"/>
        <v/>
      </c>
      <c r="AO174" s="76" t="str">
        <f t="shared" si="32"/>
        <v/>
      </c>
      <c r="AP174" s="76" t="str">
        <f t="shared" si="33"/>
        <v/>
      </c>
    </row>
    <row r="175" ht="15.75" customHeight="1">
      <c r="A175" s="76" t="str">
        <f>IF('Manual Entry'!A147="","",'Manual Entry'!A147)</f>
        <v/>
      </c>
      <c r="B175" s="76" t="str">
        <f t="shared" si="3"/>
        <v/>
      </c>
      <c r="C175" s="76" t="str">
        <f t="shared" si="4"/>
        <v/>
      </c>
      <c r="D175" s="76" t="str">
        <f>'Manual Entry'!D147</f>
        <v/>
      </c>
      <c r="E175" s="76" t="str">
        <f>'Manual Entry'!B147</f>
        <v/>
      </c>
      <c r="F175" s="76" t="str">
        <f>'Manual Entry'!F147</f>
        <v/>
      </c>
      <c r="G175" s="76" t="str">
        <f>'Manual Entry'!G147</f>
        <v/>
      </c>
      <c r="H175" s="76" t="str">
        <f>'Manual Entry'!H147</f>
        <v/>
      </c>
      <c r="I175" s="78" t="str">
        <f>'Manual Entry'!I147</f>
        <v/>
      </c>
      <c r="J175" s="78" t="str">
        <f>'Manual Entry'!J147</f>
        <v/>
      </c>
      <c r="K175" s="78" t="str">
        <f>'Manual Entry'!K147</f>
        <v/>
      </c>
      <c r="L175" s="78" t="str">
        <f>'Manual Entry'!L147</f>
        <v/>
      </c>
      <c r="M175" s="78" t="str">
        <f>'Manual Entry'!M147</f>
        <v/>
      </c>
      <c r="N175" s="78" t="str">
        <f>'Manual Entry'!N147</f>
        <v/>
      </c>
      <c r="O175" s="76">
        <f t="shared" si="6"/>
        <v>0</v>
      </c>
      <c r="P175" s="76">
        <f t="shared" si="7"/>
        <v>0</v>
      </c>
      <c r="Q175" s="76">
        <f t="shared" si="8"/>
        <v>0</v>
      </c>
      <c r="R175" s="76">
        <f t="shared" si="9"/>
        <v>0</v>
      </c>
      <c r="S175" s="76" t="str">
        <f t="shared" si="10"/>
        <v/>
      </c>
      <c r="T175" s="76" t="str">
        <f t="shared" si="11"/>
        <v/>
      </c>
      <c r="U175" s="76" t="str">
        <f t="shared" si="12"/>
        <v/>
      </c>
      <c r="V175" s="76" t="str">
        <f t="shared" si="13"/>
        <v/>
      </c>
      <c r="W175" s="76" t="str">
        <f t="shared" si="14"/>
        <v/>
      </c>
      <c r="X175" s="76" t="str">
        <f t="shared" si="15"/>
        <v/>
      </c>
      <c r="Y175" s="76" t="str">
        <f t="shared" si="16"/>
        <v/>
      </c>
      <c r="Z175" s="76" t="str">
        <f t="shared" si="17"/>
        <v/>
      </c>
      <c r="AA175" s="76" t="str">
        <f t="shared" si="18"/>
        <v/>
      </c>
      <c r="AB175" s="76" t="str">
        <f t="shared" si="19"/>
        <v/>
      </c>
      <c r="AC175" s="76" t="str">
        <f t="shared" si="20"/>
        <v/>
      </c>
      <c r="AD175" s="76" t="str">
        <f t="shared" si="21"/>
        <v/>
      </c>
      <c r="AE175" s="76" t="str">
        <f t="shared" si="22"/>
        <v/>
      </c>
      <c r="AF175" s="76" t="str">
        <f t="shared" si="23"/>
        <v/>
      </c>
      <c r="AG175" s="76" t="str">
        <f t="shared" si="24"/>
        <v/>
      </c>
      <c r="AH175" s="76" t="str">
        <f t="shared" si="25"/>
        <v/>
      </c>
      <c r="AI175" s="76" t="str">
        <f t="shared" si="26"/>
        <v/>
      </c>
      <c r="AJ175" s="76" t="str">
        <f t="shared" si="27"/>
        <v/>
      </c>
      <c r="AK175" s="76" t="str">
        <f t="shared" si="28"/>
        <v/>
      </c>
      <c r="AL175" s="76" t="str">
        <f t="shared" si="29"/>
        <v/>
      </c>
      <c r="AM175" s="76" t="str">
        <f t="shared" si="30"/>
        <v/>
      </c>
      <c r="AN175" s="76" t="str">
        <f t="shared" si="31"/>
        <v/>
      </c>
      <c r="AO175" s="76" t="str">
        <f t="shared" si="32"/>
        <v/>
      </c>
      <c r="AP175" s="76" t="str">
        <f t="shared" si="33"/>
        <v/>
      </c>
    </row>
    <row r="176" ht="15.75" customHeight="1">
      <c r="A176" s="76" t="str">
        <f>IF('Manual Entry'!A148="","",'Manual Entry'!A148)</f>
        <v/>
      </c>
      <c r="B176" s="76" t="str">
        <f t="shared" si="3"/>
        <v/>
      </c>
      <c r="C176" s="76" t="str">
        <f t="shared" si="4"/>
        <v/>
      </c>
      <c r="D176" s="76" t="str">
        <f>'Manual Entry'!D148</f>
        <v/>
      </c>
      <c r="E176" s="76" t="str">
        <f>'Manual Entry'!B148</f>
        <v/>
      </c>
      <c r="F176" s="76" t="str">
        <f>'Manual Entry'!F148</f>
        <v/>
      </c>
      <c r="G176" s="76" t="str">
        <f>'Manual Entry'!G148</f>
        <v/>
      </c>
      <c r="H176" s="76" t="str">
        <f>'Manual Entry'!H148</f>
        <v/>
      </c>
      <c r="I176" s="78" t="str">
        <f>'Manual Entry'!I148</f>
        <v/>
      </c>
      <c r="J176" s="78" t="str">
        <f>'Manual Entry'!J148</f>
        <v/>
      </c>
      <c r="K176" s="78" t="str">
        <f>'Manual Entry'!K148</f>
        <v/>
      </c>
      <c r="L176" s="78" t="str">
        <f>'Manual Entry'!L148</f>
        <v/>
      </c>
      <c r="M176" s="78" t="str">
        <f>'Manual Entry'!M148</f>
        <v/>
      </c>
      <c r="N176" s="78" t="str">
        <f>'Manual Entry'!N148</f>
        <v/>
      </c>
      <c r="O176" s="76">
        <f t="shared" si="6"/>
        <v>0</v>
      </c>
      <c r="P176" s="76">
        <f t="shared" si="7"/>
        <v>0</v>
      </c>
      <c r="Q176" s="76">
        <f t="shared" si="8"/>
        <v>0</v>
      </c>
      <c r="R176" s="76">
        <f t="shared" si="9"/>
        <v>0</v>
      </c>
      <c r="S176" s="76" t="str">
        <f t="shared" si="10"/>
        <v/>
      </c>
      <c r="T176" s="76" t="str">
        <f t="shared" si="11"/>
        <v/>
      </c>
      <c r="U176" s="76" t="str">
        <f t="shared" si="12"/>
        <v/>
      </c>
      <c r="V176" s="76" t="str">
        <f t="shared" si="13"/>
        <v/>
      </c>
      <c r="W176" s="76" t="str">
        <f t="shared" si="14"/>
        <v/>
      </c>
      <c r="X176" s="76" t="str">
        <f t="shared" si="15"/>
        <v/>
      </c>
      <c r="Y176" s="76" t="str">
        <f t="shared" si="16"/>
        <v/>
      </c>
      <c r="Z176" s="76" t="str">
        <f t="shared" si="17"/>
        <v/>
      </c>
      <c r="AA176" s="76" t="str">
        <f t="shared" si="18"/>
        <v/>
      </c>
      <c r="AB176" s="76" t="str">
        <f t="shared" si="19"/>
        <v/>
      </c>
      <c r="AC176" s="76" t="str">
        <f t="shared" si="20"/>
        <v/>
      </c>
      <c r="AD176" s="76" t="str">
        <f t="shared" si="21"/>
        <v/>
      </c>
      <c r="AE176" s="76" t="str">
        <f t="shared" si="22"/>
        <v/>
      </c>
      <c r="AF176" s="76" t="str">
        <f t="shared" si="23"/>
        <v/>
      </c>
      <c r="AG176" s="76" t="str">
        <f t="shared" si="24"/>
        <v/>
      </c>
      <c r="AH176" s="76" t="str">
        <f t="shared" si="25"/>
        <v/>
      </c>
      <c r="AI176" s="76" t="str">
        <f t="shared" si="26"/>
        <v/>
      </c>
      <c r="AJ176" s="76" t="str">
        <f t="shared" si="27"/>
        <v/>
      </c>
      <c r="AK176" s="76" t="str">
        <f t="shared" si="28"/>
        <v/>
      </c>
      <c r="AL176" s="76" t="str">
        <f t="shared" si="29"/>
        <v/>
      </c>
      <c r="AM176" s="76" t="str">
        <f t="shared" si="30"/>
        <v/>
      </c>
      <c r="AN176" s="76" t="str">
        <f t="shared" si="31"/>
        <v/>
      </c>
      <c r="AO176" s="76" t="str">
        <f t="shared" si="32"/>
        <v/>
      </c>
      <c r="AP176" s="76" t="str">
        <f t="shared" si="33"/>
        <v/>
      </c>
    </row>
    <row r="177" ht="15.75" customHeight="1">
      <c r="A177" s="76" t="str">
        <f>IF('Manual Entry'!A149="","",'Manual Entry'!A149)</f>
        <v/>
      </c>
      <c r="B177" s="76" t="str">
        <f t="shared" si="3"/>
        <v/>
      </c>
      <c r="C177" s="76" t="str">
        <f t="shared" si="4"/>
        <v/>
      </c>
      <c r="D177" s="76" t="str">
        <f>'Manual Entry'!D149</f>
        <v/>
      </c>
      <c r="E177" s="76" t="str">
        <f>'Manual Entry'!B149</f>
        <v/>
      </c>
      <c r="F177" s="76" t="str">
        <f>'Manual Entry'!F149</f>
        <v/>
      </c>
      <c r="G177" s="76" t="str">
        <f>'Manual Entry'!G149</f>
        <v/>
      </c>
      <c r="H177" s="76" t="str">
        <f>'Manual Entry'!H149</f>
        <v/>
      </c>
      <c r="I177" s="78" t="str">
        <f>'Manual Entry'!I149</f>
        <v/>
      </c>
      <c r="J177" s="78" t="str">
        <f>'Manual Entry'!J149</f>
        <v/>
      </c>
      <c r="K177" s="78" t="str">
        <f>'Manual Entry'!K149</f>
        <v/>
      </c>
      <c r="L177" s="78" t="str">
        <f>'Manual Entry'!L149</f>
        <v/>
      </c>
      <c r="M177" s="78" t="str">
        <f>'Manual Entry'!M149</f>
        <v/>
      </c>
      <c r="N177" s="78" t="str">
        <f>'Manual Entry'!N149</f>
        <v/>
      </c>
      <c r="O177" s="76">
        <f t="shared" si="6"/>
        <v>0</v>
      </c>
      <c r="P177" s="76">
        <f t="shared" si="7"/>
        <v>0</v>
      </c>
      <c r="Q177" s="76">
        <f t="shared" si="8"/>
        <v>0</v>
      </c>
      <c r="R177" s="76">
        <f t="shared" si="9"/>
        <v>0</v>
      </c>
      <c r="S177" s="76" t="str">
        <f t="shared" si="10"/>
        <v/>
      </c>
      <c r="T177" s="76" t="str">
        <f t="shared" si="11"/>
        <v/>
      </c>
      <c r="U177" s="76" t="str">
        <f t="shared" si="12"/>
        <v/>
      </c>
      <c r="V177" s="76" t="str">
        <f t="shared" si="13"/>
        <v/>
      </c>
      <c r="W177" s="76" t="str">
        <f t="shared" si="14"/>
        <v/>
      </c>
      <c r="X177" s="76" t="str">
        <f t="shared" si="15"/>
        <v/>
      </c>
      <c r="Y177" s="76" t="str">
        <f t="shared" si="16"/>
        <v/>
      </c>
      <c r="Z177" s="76" t="str">
        <f t="shared" si="17"/>
        <v/>
      </c>
      <c r="AA177" s="76" t="str">
        <f t="shared" si="18"/>
        <v/>
      </c>
      <c r="AB177" s="76" t="str">
        <f t="shared" si="19"/>
        <v/>
      </c>
      <c r="AC177" s="76" t="str">
        <f t="shared" si="20"/>
        <v/>
      </c>
      <c r="AD177" s="76" t="str">
        <f t="shared" si="21"/>
        <v/>
      </c>
      <c r="AE177" s="76" t="str">
        <f t="shared" si="22"/>
        <v/>
      </c>
      <c r="AF177" s="76" t="str">
        <f t="shared" si="23"/>
        <v/>
      </c>
      <c r="AG177" s="76" t="str">
        <f t="shared" si="24"/>
        <v/>
      </c>
      <c r="AH177" s="76" t="str">
        <f t="shared" si="25"/>
        <v/>
      </c>
      <c r="AI177" s="76" t="str">
        <f t="shared" si="26"/>
        <v/>
      </c>
      <c r="AJ177" s="76" t="str">
        <f t="shared" si="27"/>
        <v/>
      </c>
      <c r="AK177" s="76" t="str">
        <f t="shared" si="28"/>
        <v/>
      </c>
      <c r="AL177" s="76" t="str">
        <f t="shared" si="29"/>
        <v/>
      </c>
      <c r="AM177" s="76" t="str">
        <f t="shared" si="30"/>
        <v/>
      </c>
      <c r="AN177" s="76" t="str">
        <f t="shared" si="31"/>
        <v/>
      </c>
      <c r="AO177" s="76" t="str">
        <f t="shared" si="32"/>
        <v/>
      </c>
      <c r="AP177" s="76" t="str">
        <f t="shared" si="33"/>
        <v/>
      </c>
    </row>
    <row r="178" ht="15.75" customHeight="1">
      <c r="A178" s="76" t="str">
        <f>IF('Manual Entry'!A150="","",'Manual Entry'!A150)</f>
        <v/>
      </c>
      <c r="B178" s="76" t="str">
        <f t="shared" si="3"/>
        <v/>
      </c>
      <c r="C178" s="76" t="str">
        <f t="shared" si="4"/>
        <v/>
      </c>
      <c r="D178" s="76" t="str">
        <f>'Manual Entry'!D150</f>
        <v/>
      </c>
      <c r="E178" s="76" t="str">
        <f>'Manual Entry'!B150</f>
        <v/>
      </c>
      <c r="F178" s="76" t="str">
        <f>'Manual Entry'!F150</f>
        <v/>
      </c>
      <c r="G178" s="76" t="str">
        <f>'Manual Entry'!G150</f>
        <v/>
      </c>
      <c r="H178" s="76" t="str">
        <f>'Manual Entry'!H150</f>
        <v/>
      </c>
      <c r="I178" s="78" t="str">
        <f>'Manual Entry'!I150</f>
        <v/>
      </c>
      <c r="J178" s="78" t="str">
        <f>'Manual Entry'!J150</f>
        <v/>
      </c>
      <c r="K178" s="78" t="str">
        <f>'Manual Entry'!K150</f>
        <v/>
      </c>
      <c r="L178" s="78" t="str">
        <f>'Manual Entry'!L150</f>
        <v/>
      </c>
      <c r="M178" s="78" t="str">
        <f>'Manual Entry'!M150</f>
        <v/>
      </c>
      <c r="N178" s="78" t="str">
        <f>'Manual Entry'!N150</f>
        <v/>
      </c>
      <c r="O178" s="76">
        <f t="shared" si="6"/>
        <v>0</v>
      </c>
      <c r="P178" s="76">
        <f t="shared" si="7"/>
        <v>0</v>
      </c>
      <c r="Q178" s="76">
        <f t="shared" si="8"/>
        <v>0</v>
      </c>
      <c r="R178" s="76">
        <f t="shared" si="9"/>
        <v>0</v>
      </c>
      <c r="S178" s="76" t="str">
        <f t="shared" si="10"/>
        <v/>
      </c>
      <c r="T178" s="76" t="str">
        <f t="shared" si="11"/>
        <v/>
      </c>
      <c r="U178" s="76" t="str">
        <f t="shared" si="12"/>
        <v/>
      </c>
      <c r="V178" s="76" t="str">
        <f t="shared" si="13"/>
        <v/>
      </c>
      <c r="W178" s="76" t="str">
        <f t="shared" si="14"/>
        <v/>
      </c>
      <c r="X178" s="76" t="str">
        <f t="shared" si="15"/>
        <v/>
      </c>
      <c r="Y178" s="76" t="str">
        <f t="shared" si="16"/>
        <v/>
      </c>
      <c r="Z178" s="76" t="str">
        <f t="shared" si="17"/>
        <v/>
      </c>
      <c r="AA178" s="76" t="str">
        <f t="shared" si="18"/>
        <v/>
      </c>
      <c r="AB178" s="76" t="str">
        <f t="shared" si="19"/>
        <v/>
      </c>
      <c r="AC178" s="76" t="str">
        <f t="shared" si="20"/>
        <v/>
      </c>
      <c r="AD178" s="76" t="str">
        <f t="shared" si="21"/>
        <v/>
      </c>
      <c r="AE178" s="76" t="str">
        <f t="shared" si="22"/>
        <v/>
      </c>
      <c r="AF178" s="76" t="str">
        <f t="shared" si="23"/>
        <v/>
      </c>
      <c r="AG178" s="76" t="str">
        <f t="shared" si="24"/>
        <v/>
      </c>
      <c r="AH178" s="76" t="str">
        <f t="shared" si="25"/>
        <v/>
      </c>
      <c r="AI178" s="76" t="str">
        <f t="shared" si="26"/>
        <v/>
      </c>
      <c r="AJ178" s="76" t="str">
        <f t="shared" si="27"/>
        <v/>
      </c>
      <c r="AK178" s="76" t="str">
        <f t="shared" si="28"/>
        <v/>
      </c>
      <c r="AL178" s="76" t="str">
        <f t="shared" si="29"/>
        <v/>
      </c>
      <c r="AM178" s="76" t="str">
        <f t="shared" si="30"/>
        <v/>
      </c>
      <c r="AN178" s="76" t="str">
        <f t="shared" si="31"/>
        <v/>
      </c>
      <c r="AO178" s="76" t="str">
        <f t="shared" si="32"/>
        <v/>
      </c>
      <c r="AP178" s="76" t="str">
        <f t="shared" si="33"/>
        <v/>
      </c>
    </row>
    <row r="179" ht="15.75" customHeight="1">
      <c r="A179" s="76" t="str">
        <f>IF('Manual Entry'!A151="","",'Manual Entry'!A151)</f>
        <v/>
      </c>
      <c r="B179" s="76" t="str">
        <f t="shared" si="3"/>
        <v/>
      </c>
      <c r="C179" s="76" t="str">
        <f t="shared" si="4"/>
        <v/>
      </c>
      <c r="D179" s="76" t="str">
        <f>'Manual Entry'!D151</f>
        <v/>
      </c>
      <c r="E179" s="76" t="str">
        <f>'Manual Entry'!B151</f>
        <v/>
      </c>
      <c r="F179" s="76" t="str">
        <f>'Manual Entry'!F151</f>
        <v/>
      </c>
      <c r="G179" s="76" t="str">
        <f>'Manual Entry'!G151</f>
        <v/>
      </c>
      <c r="H179" s="76" t="str">
        <f>'Manual Entry'!H151</f>
        <v/>
      </c>
      <c r="I179" s="78" t="str">
        <f>'Manual Entry'!I151</f>
        <v/>
      </c>
      <c r="J179" s="78" t="str">
        <f>'Manual Entry'!J151</f>
        <v/>
      </c>
      <c r="K179" s="78" t="str">
        <f>'Manual Entry'!K151</f>
        <v/>
      </c>
      <c r="L179" s="78" t="str">
        <f>'Manual Entry'!L151</f>
        <v/>
      </c>
      <c r="M179" s="78" t="str">
        <f>'Manual Entry'!M151</f>
        <v/>
      </c>
      <c r="N179" s="78" t="str">
        <f>'Manual Entry'!N151</f>
        <v/>
      </c>
      <c r="O179" s="76">
        <f t="shared" si="6"/>
        <v>0</v>
      </c>
      <c r="P179" s="76">
        <f t="shared" si="7"/>
        <v>0</v>
      </c>
      <c r="Q179" s="76">
        <f t="shared" si="8"/>
        <v>0</v>
      </c>
      <c r="R179" s="76">
        <f t="shared" si="9"/>
        <v>0</v>
      </c>
      <c r="S179" s="76" t="str">
        <f t="shared" si="10"/>
        <v/>
      </c>
      <c r="T179" s="76" t="str">
        <f t="shared" si="11"/>
        <v/>
      </c>
      <c r="U179" s="76" t="str">
        <f t="shared" si="12"/>
        <v/>
      </c>
      <c r="V179" s="76" t="str">
        <f t="shared" si="13"/>
        <v/>
      </c>
      <c r="W179" s="76" t="str">
        <f t="shared" si="14"/>
        <v/>
      </c>
      <c r="X179" s="76" t="str">
        <f t="shared" si="15"/>
        <v/>
      </c>
      <c r="Y179" s="76" t="str">
        <f t="shared" si="16"/>
        <v/>
      </c>
      <c r="Z179" s="76" t="str">
        <f t="shared" si="17"/>
        <v/>
      </c>
      <c r="AA179" s="76" t="str">
        <f t="shared" si="18"/>
        <v/>
      </c>
      <c r="AB179" s="76" t="str">
        <f t="shared" si="19"/>
        <v/>
      </c>
      <c r="AC179" s="76" t="str">
        <f t="shared" si="20"/>
        <v/>
      </c>
      <c r="AD179" s="76" t="str">
        <f t="shared" si="21"/>
        <v/>
      </c>
      <c r="AE179" s="76" t="str">
        <f t="shared" si="22"/>
        <v/>
      </c>
      <c r="AF179" s="76" t="str">
        <f t="shared" si="23"/>
        <v/>
      </c>
      <c r="AG179" s="76" t="str">
        <f t="shared" si="24"/>
        <v/>
      </c>
      <c r="AH179" s="76" t="str">
        <f t="shared" si="25"/>
        <v/>
      </c>
      <c r="AI179" s="76" t="str">
        <f t="shared" si="26"/>
        <v/>
      </c>
      <c r="AJ179" s="76" t="str">
        <f t="shared" si="27"/>
        <v/>
      </c>
      <c r="AK179" s="76" t="str">
        <f t="shared" si="28"/>
        <v/>
      </c>
      <c r="AL179" s="76" t="str">
        <f t="shared" si="29"/>
        <v/>
      </c>
      <c r="AM179" s="76" t="str">
        <f t="shared" si="30"/>
        <v/>
      </c>
      <c r="AN179" s="76" t="str">
        <f t="shared" si="31"/>
        <v/>
      </c>
      <c r="AO179" s="76" t="str">
        <f t="shared" si="32"/>
        <v/>
      </c>
      <c r="AP179" s="76" t="str">
        <f t="shared" si="33"/>
        <v/>
      </c>
    </row>
    <row r="180" ht="15.75" customHeight="1">
      <c r="A180" s="76" t="str">
        <f>IF('Manual Entry'!A152="","",'Manual Entry'!A152)</f>
        <v/>
      </c>
      <c r="B180" s="76" t="str">
        <f t="shared" si="3"/>
        <v/>
      </c>
      <c r="C180" s="76" t="str">
        <f t="shared" si="4"/>
        <v/>
      </c>
      <c r="D180" s="76" t="str">
        <f>'Manual Entry'!D152</f>
        <v/>
      </c>
      <c r="E180" s="76" t="str">
        <f>'Manual Entry'!B152</f>
        <v/>
      </c>
      <c r="F180" s="76" t="str">
        <f>'Manual Entry'!F152</f>
        <v/>
      </c>
      <c r="G180" s="76" t="str">
        <f>'Manual Entry'!G152</f>
        <v/>
      </c>
      <c r="H180" s="76" t="str">
        <f>'Manual Entry'!H152</f>
        <v/>
      </c>
      <c r="I180" s="78" t="str">
        <f>'Manual Entry'!I152</f>
        <v/>
      </c>
      <c r="J180" s="78" t="str">
        <f>'Manual Entry'!J152</f>
        <v/>
      </c>
      <c r="K180" s="78" t="str">
        <f>'Manual Entry'!K152</f>
        <v/>
      </c>
      <c r="L180" s="78" t="str">
        <f>'Manual Entry'!L152</f>
        <v/>
      </c>
      <c r="M180" s="78" t="str">
        <f>'Manual Entry'!M152</f>
        <v/>
      </c>
      <c r="N180" s="78" t="str">
        <f>'Manual Entry'!N152</f>
        <v/>
      </c>
      <c r="O180" s="76">
        <f t="shared" si="6"/>
        <v>0</v>
      </c>
      <c r="P180" s="76">
        <f t="shared" si="7"/>
        <v>0</v>
      </c>
      <c r="Q180" s="76">
        <f t="shared" si="8"/>
        <v>0</v>
      </c>
      <c r="R180" s="76">
        <f t="shared" si="9"/>
        <v>0</v>
      </c>
      <c r="S180" s="76" t="str">
        <f t="shared" si="10"/>
        <v/>
      </c>
      <c r="T180" s="76" t="str">
        <f t="shared" si="11"/>
        <v/>
      </c>
      <c r="U180" s="76" t="str">
        <f t="shared" si="12"/>
        <v/>
      </c>
      <c r="V180" s="76" t="str">
        <f t="shared" si="13"/>
        <v/>
      </c>
      <c r="W180" s="76" t="str">
        <f t="shared" si="14"/>
        <v/>
      </c>
      <c r="X180" s="76" t="str">
        <f t="shared" si="15"/>
        <v/>
      </c>
      <c r="Y180" s="76" t="str">
        <f t="shared" si="16"/>
        <v/>
      </c>
      <c r="Z180" s="76" t="str">
        <f t="shared" si="17"/>
        <v/>
      </c>
      <c r="AA180" s="76" t="str">
        <f t="shared" si="18"/>
        <v/>
      </c>
      <c r="AB180" s="76" t="str">
        <f t="shared" si="19"/>
        <v/>
      </c>
      <c r="AC180" s="76" t="str">
        <f t="shared" si="20"/>
        <v/>
      </c>
      <c r="AD180" s="76" t="str">
        <f t="shared" si="21"/>
        <v/>
      </c>
      <c r="AE180" s="76" t="str">
        <f t="shared" si="22"/>
        <v/>
      </c>
      <c r="AF180" s="76" t="str">
        <f t="shared" si="23"/>
        <v/>
      </c>
      <c r="AG180" s="76" t="str">
        <f t="shared" si="24"/>
        <v/>
      </c>
      <c r="AH180" s="76" t="str">
        <f t="shared" si="25"/>
        <v/>
      </c>
      <c r="AI180" s="76" t="str">
        <f t="shared" si="26"/>
        <v/>
      </c>
      <c r="AJ180" s="76" t="str">
        <f t="shared" si="27"/>
        <v/>
      </c>
      <c r="AK180" s="76" t="str">
        <f t="shared" si="28"/>
        <v/>
      </c>
      <c r="AL180" s="76" t="str">
        <f t="shared" si="29"/>
        <v/>
      </c>
      <c r="AM180" s="76" t="str">
        <f t="shared" si="30"/>
        <v/>
      </c>
      <c r="AN180" s="76" t="str">
        <f t="shared" si="31"/>
        <v/>
      </c>
      <c r="AO180" s="76" t="str">
        <f t="shared" si="32"/>
        <v/>
      </c>
      <c r="AP180" s="76" t="str">
        <f t="shared" si="33"/>
        <v/>
      </c>
    </row>
    <row r="181" ht="15.75" customHeight="1">
      <c r="A181" s="76" t="str">
        <f>IF('Manual Entry'!A153="","",'Manual Entry'!A153)</f>
        <v/>
      </c>
      <c r="B181" s="76" t="str">
        <f t="shared" si="3"/>
        <v/>
      </c>
      <c r="C181" s="76" t="str">
        <f t="shared" si="4"/>
        <v/>
      </c>
      <c r="D181" s="76" t="str">
        <f>'Manual Entry'!D153</f>
        <v/>
      </c>
      <c r="E181" s="76" t="str">
        <f>'Manual Entry'!B153</f>
        <v/>
      </c>
      <c r="F181" s="76" t="str">
        <f>'Manual Entry'!F153</f>
        <v/>
      </c>
      <c r="G181" s="76" t="str">
        <f>'Manual Entry'!G153</f>
        <v/>
      </c>
      <c r="H181" s="76" t="str">
        <f>'Manual Entry'!H153</f>
        <v/>
      </c>
      <c r="I181" s="78" t="str">
        <f>'Manual Entry'!I153</f>
        <v/>
      </c>
      <c r="J181" s="78" t="str">
        <f>'Manual Entry'!J153</f>
        <v/>
      </c>
      <c r="K181" s="78" t="str">
        <f>'Manual Entry'!K153</f>
        <v/>
      </c>
      <c r="L181" s="78" t="str">
        <f>'Manual Entry'!L153</f>
        <v/>
      </c>
      <c r="M181" s="78" t="str">
        <f>'Manual Entry'!M153</f>
        <v/>
      </c>
      <c r="N181" s="78" t="str">
        <f>'Manual Entry'!N153</f>
        <v/>
      </c>
      <c r="O181" s="76">
        <f t="shared" si="6"/>
        <v>0</v>
      </c>
      <c r="P181" s="76">
        <f t="shared" si="7"/>
        <v>0</v>
      </c>
      <c r="Q181" s="76">
        <f t="shared" si="8"/>
        <v>0</v>
      </c>
      <c r="R181" s="76">
        <f t="shared" si="9"/>
        <v>0</v>
      </c>
      <c r="S181" s="76" t="str">
        <f t="shared" si="10"/>
        <v/>
      </c>
      <c r="T181" s="76" t="str">
        <f t="shared" si="11"/>
        <v/>
      </c>
      <c r="U181" s="76" t="str">
        <f t="shared" si="12"/>
        <v/>
      </c>
      <c r="V181" s="76" t="str">
        <f t="shared" si="13"/>
        <v/>
      </c>
      <c r="W181" s="76" t="str">
        <f t="shared" si="14"/>
        <v/>
      </c>
      <c r="X181" s="76" t="str">
        <f t="shared" si="15"/>
        <v/>
      </c>
      <c r="Y181" s="76" t="str">
        <f t="shared" si="16"/>
        <v/>
      </c>
      <c r="Z181" s="76" t="str">
        <f t="shared" si="17"/>
        <v/>
      </c>
      <c r="AA181" s="76" t="str">
        <f t="shared" si="18"/>
        <v/>
      </c>
      <c r="AB181" s="76" t="str">
        <f t="shared" si="19"/>
        <v/>
      </c>
      <c r="AC181" s="76" t="str">
        <f t="shared" si="20"/>
        <v/>
      </c>
      <c r="AD181" s="76" t="str">
        <f t="shared" si="21"/>
        <v/>
      </c>
      <c r="AE181" s="76" t="str">
        <f t="shared" si="22"/>
        <v/>
      </c>
      <c r="AF181" s="76" t="str">
        <f t="shared" si="23"/>
        <v/>
      </c>
      <c r="AG181" s="76" t="str">
        <f t="shared" si="24"/>
        <v/>
      </c>
      <c r="AH181" s="76" t="str">
        <f t="shared" si="25"/>
        <v/>
      </c>
      <c r="AI181" s="76" t="str">
        <f t="shared" si="26"/>
        <v/>
      </c>
      <c r="AJ181" s="76" t="str">
        <f t="shared" si="27"/>
        <v/>
      </c>
      <c r="AK181" s="76" t="str">
        <f t="shared" si="28"/>
        <v/>
      </c>
      <c r="AL181" s="76" t="str">
        <f t="shared" si="29"/>
        <v/>
      </c>
      <c r="AM181" s="76" t="str">
        <f t="shared" si="30"/>
        <v/>
      </c>
      <c r="AN181" s="76" t="str">
        <f t="shared" si="31"/>
        <v/>
      </c>
      <c r="AO181" s="76" t="str">
        <f t="shared" si="32"/>
        <v/>
      </c>
      <c r="AP181" s="76" t="str">
        <f t="shared" si="33"/>
        <v/>
      </c>
    </row>
    <row r="182" ht="15.75" customHeight="1">
      <c r="A182" s="76" t="str">
        <f>IF('Manual Entry'!A154="","",'Manual Entry'!A154)</f>
        <v/>
      </c>
      <c r="B182" s="76" t="str">
        <f t="shared" si="3"/>
        <v/>
      </c>
      <c r="C182" s="76" t="str">
        <f t="shared" si="4"/>
        <v/>
      </c>
      <c r="D182" s="76" t="str">
        <f>'Manual Entry'!D154</f>
        <v/>
      </c>
      <c r="E182" s="76" t="str">
        <f>'Manual Entry'!B154</f>
        <v/>
      </c>
      <c r="F182" s="76" t="str">
        <f>'Manual Entry'!F154</f>
        <v/>
      </c>
      <c r="G182" s="76" t="str">
        <f>'Manual Entry'!G154</f>
        <v/>
      </c>
      <c r="H182" s="76" t="str">
        <f>'Manual Entry'!H154</f>
        <v/>
      </c>
      <c r="I182" s="78" t="str">
        <f>'Manual Entry'!I154</f>
        <v/>
      </c>
      <c r="J182" s="78" t="str">
        <f>'Manual Entry'!J154</f>
        <v/>
      </c>
      <c r="K182" s="78" t="str">
        <f>'Manual Entry'!K154</f>
        <v/>
      </c>
      <c r="L182" s="78" t="str">
        <f>'Manual Entry'!L154</f>
        <v/>
      </c>
      <c r="M182" s="78" t="str">
        <f>'Manual Entry'!M154</f>
        <v/>
      </c>
      <c r="N182" s="78" t="str">
        <f>'Manual Entry'!N154</f>
        <v/>
      </c>
      <c r="O182" s="76">
        <f t="shared" si="6"/>
        <v>0</v>
      </c>
      <c r="P182" s="76">
        <f t="shared" si="7"/>
        <v>0</v>
      </c>
      <c r="Q182" s="76">
        <f t="shared" si="8"/>
        <v>0</v>
      </c>
      <c r="R182" s="76">
        <f t="shared" si="9"/>
        <v>0</v>
      </c>
      <c r="S182" s="76" t="str">
        <f t="shared" si="10"/>
        <v/>
      </c>
      <c r="T182" s="76" t="str">
        <f t="shared" si="11"/>
        <v/>
      </c>
      <c r="U182" s="76" t="str">
        <f t="shared" si="12"/>
        <v/>
      </c>
      <c r="V182" s="76" t="str">
        <f t="shared" si="13"/>
        <v/>
      </c>
      <c r="W182" s="76" t="str">
        <f t="shared" si="14"/>
        <v/>
      </c>
      <c r="X182" s="76" t="str">
        <f t="shared" si="15"/>
        <v/>
      </c>
      <c r="Y182" s="76" t="str">
        <f t="shared" si="16"/>
        <v/>
      </c>
      <c r="Z182" s="76" t="str">
        <f t="shared" si="17"/>
        <v/>
      </c>
      <c r="AA182" s="76" t="str">
        <f t="shared" si="18"/>
        <v/>
      </c>
      <c r="AB182" s="76" t="str">
        <f t="shared" si="19"/>
        <v/>
      </c>
      <c r="AC182" s="76" t="str">
        <f t="shared" si="20"/>
        <v/>
      </c>
      <c r="AD182" s="76" t="str">
        <f t="shared" si="21"/>
        <v/>
      </c>
      <c r="AE182" s="76" t="str">
        <f t="shared" si="22"/>
        <v/>
      </c>
      <c r="AF182" s="76" t="str">
        <f t="shared" si="23"/>
        <v/>
      </c>
      <c r="AG182" s="76" t="str">
        <f t="shared" si="24"/>
        <v/>
      </c>
      <c r="AH182" s="76" t="str">
        <f t="shared" si="25"/>
        <v/>
      </c>
      <c r="AI182" s="76" t="str">
        <f t="shared" si="26"/>
        <v/>
      </c>
      <c r="AJ182" s="76" t="str">
        <f t="shared" si="27"/>
        <v/>
      </c>
      <c r="AK182" s="76" t="str">
        <f t="shared" si="28"/>
        <v/>
      </c>
      <c r="AL182" s="76" t="str">
        <f t="shared" si="29"/>
        <v/>
      </c>
      <c r="AM182" s="76" t="str">
        <f t="shared" si="30"/>
        <v/>
      </c>
      <c r="AN182" s="76" t="str">
        <f t="shared" si="31"/>
        <v/>
      </c>
      <c r="AO182" s="76" t="str">
        <f t="shared" si="32"/>
        <v/>
      </c>
      <c r="AP182" s="76" t="str">
        <f t="shared" si="33"/>
        <v/>
      </c>
    </row>
    <row r="183" ht="15.75" customHeight="1">
      <c r="A183" s="76" t="str">
        <f>IF('Manual Entry'!A155="","",'Manual Entry'!A155)</f>
        <v/>
      </c>
      <c r="B183" s="76" t="str">
        <f t="shared" si="3"/>
        <v/>
      </c>
      <c r="C183" s="76" t="str">
        <f t="shared" si="4"/>
        <v/>
      </c>
      <c r="D183" s="76" t="str">
        <f>'Manual Entry'!D155</f>
        <v/>
      </c>
      <c r="E183" s="76" t="str">
        <f>'Manual Entry'!B155</f>
        <v/>
      </c>
      <c r="F183" s="76" t="str">
        <f>'Manual Entry'!F155</f>
        <v/>
      </c>
      <c r="G183" s="76" t="str">
        <f>'Manual Entry'!G155</f>
        <v/>
      </c>
      <c r="H183" s="76" t="str">
        <f>'Manual Entry'!H155</f>
        <v/>
      </c>
      <c r="I183" s="78" t="str">
        <f>'Manual Entry'!I155</f>
        <v/>
      </c>
      <c r="J183" s="78" t="str">
        <f>'Manual Entry'!J155</f>
        <v/>
      </c>
      <c r="K183" s="78" t="str">
        <f>'Manual Entry'!K155</f>
        <v/>
      </c>
      <c r="L183" s="78" t="str">
        <f>'Manual Entry'!L155</f>
        <v/>
      </c>
      <c r="M183" s="78" t="str">
        <f>'Manual Entry'!M155</f>
        <v/>
      </c>
      <c r="N183" s="78" t="str">
        <f>'Manual Entry'!N155</f>
        <v/>
      </c>
      <c r="O183" s="76">
        <f t="shared" si="6"/>
        <v>0</v>
      </c>
      <c r="P183" s="76">
        <f t="shared" si="7"/>
        <v>0</v>
      </c>
      <c r="Q183" s="76">
        <f t="shared" si="8"/>
        <v>0</v>
      </c>
      <c r="R183" s="76">
        <f t="shared" si="9"/>
        <v>0</v>
      </c>
      <c r="S183" s="76" t="str">
        <f t="shared" si="10"/>
        <v/>
      </c>
      <c r="T183" s="76" t="str">
        <f t="shared" si="11"/>
        <v/>
      </c>
      <c r="U183" s="76" t="str">
        <f t="shared" si="12"/>
        <v/>
      </c>
      <c r="V183" s="76" t="str">
        <f t="shared" si="13"/>
        <v/>
      </c>
      <c r="W183" s="76" t="str">
        <f t="shared" si="14"/>
        <v/>
      </c>
      <c r="X183" s="76" t="str">
        <f t="shared" si="15"/>
        <v/>
      </c>
      <c r="Y183" s="76" t="str">
        <f t="shared" si="16"/>
        <v/>
      </c>
      <c r="Z183" s="76" t="str">
        <f t="shared" si="17"/>
        <v/>
      </c>
      <c r="AA183" s="76" t="str">
        <f t="shared" si="18"/>
        <v/>
      </c>
      <c r="AB183" s="76" t="str">
        <f t="shared" si="19"/>
        <v/>
      </c>
      <c r="AC183" s="76" t="str">
        <f t="shared" si="20"/>
        <v/>
      </c>
      <c r="AD183" s="76" t="str">
        <f t="shared" si="21"/>
        <v/>
      </c>
      <c r="AE183" s="76" t="str">
        <f t="shared" si="22"/>
        <v/>
      </c>
      <c r="AF183" s="76" t="str">
        <f t="shared" si="23"/>
        <v/>
      </c>
      <c r="AG183" s="76" t="str">
        <f t="shared" si="24"/>
        <v/>
      </c>
      <c r="AH183" s="76" t="str">
        <f t="shared" si="25"/>
        <v/>
      </c>
      <c r="AI183" s="76" t="str">
        <f t="shared" si="26"/>
        <v/>
      </c>
      <c r="AJ183" s="76" t="str">
        <f t="shared" si="27"/>
        <v/>
      </c>
      <c r="AK183" s="76" t="str">
        <f t="shared" si="28"/>
        <v/>
      </c>
      <c r="AL183" s="76" t="str">
        <f t="shared" si="29"/>
        <v/>
      </c>
      <c r="AM183" s="76" t="str">
        <f t="shared" si="30"/>
        <v/>
      </c>
      <c r="AN183" s="76" t="str">
        <f t="shared" si="31"/>
        <v/>
      </c>
      <c r="AO183" s="76" t="str">
        <f t="shared" si="32"/>
        <v/>
      </c>
      <c r="AP183" s="76" t="str">
        <f t="shared" si="33"/>
        <v/>
      </c>
    </row>
    <row r="184" ht="15.75" customHeight="1">
      <c r="A184" s="76" t="str">
        <f>IF('Manual Entry'!A156="","",'Manual Entry'!A156)</f>
        <v/>
      </c>
      <c r="B184" s="76" t="str">
        <f t="shared" si="3"/>
        <v/>
      </c>
      <c r="C184" s="76" t="str">
        <f t="shared" si="4"/>
        <v/>
      </c>
      <c r="D184" s="76" t="str">
        <f>'Manual Entry'!D156</f>
        <v/>
      </c>
      <c r="E184" s="76" t="str">
        <f>'Manual Entry'!B156</f>
        <v/>
      </c>
      <c r="F184" s="76" t="str">
        <f>'Manual Entry'!F156</f>
        <v/>
      </c>
      <c r="G184" s="76" t="str">
        <f>'Manual Entry'!G156</f>
        <v/>
      </c>
      <c r="H184" s="76" t="str">
        <f>'Manual Entry'!H156</f>
        <v/>
      </c>
      <c r="I184" s="78" t="str">
        <f>'Manual Entry'!I156</f>
        <v/>
      </c>
      <c r="J184" s="78" t="str">
        <f>'Manual Entry'!J156</f>
        <v/>
      </c>
      <c r="K184" s="78" t="str">
        <f>'Manual Entry'!K156</f>
        <v/>
      </c>
      <c r="L184" s="78" t="str">
        <f>'Manual Entry'!L156</f>
        <v/>
      </c>
      <c r="M184" s="78" t="str">
        <f>'Manual Entry'!M156</f>
        <v/>
      </c>
      <c r="N184" s="78" t="str">
        <f>'Manual Entry'!N156</f>
        <v/>
      </c>
      <c r="O184" s="76">
        <f t="shared" si="6"/>
        <v>0</v>
      </c>
      <c r="P184" s="76">
        <f t="shared" si="7"/>
        <v>0</v>
      </c>
      <c r="Q184" s="76">
        <f t="shared" si="8"/>
        <v>0</v>
      </c>
      <c r="R184" s="76">
        <f t="shared" si="9"/>
        <v>0</v>
      </c>
      <c r="S184" s="76" t="str">
        <f t="shared" si="10"/>
        <v/>
      </c>
      <c r="T184" s="76" t="str">
        <f t="shared" si="11"/>
        <v/>
      </c>
      <c r="U184" s="76" t="str">
        <f t="shared" si="12"/>
        <v/>
      </c>
      <c r="V184" s="76" t="str">
        <f t="shared" si="13"/>
        <v/>
      </c>
      <c r="W184" s="76" t="str">
        <f t="shared" si="14"/>
        <v/>
      </c>
      <c r="X184" s="76" t="str">
        <f t="shared" si="15"/>
        <v/>
      </c>
      <c r="Y184" s="76" t="str">
        <f t="shared" si="16"/>
        <v/>
      </c>
      <c r="Z184" s="76" t="str">
        <f t="shared" si="17"/>
        <v/>
      </c>
      <c r="AA184" s="76" t="str">
        <f t="shared" si="18"/>
        <v/>
      </c>
      <c r="AB184" s="76" t="str">
        <f t="shared" si="19"/>
        <v/>
      </c>
      <c r="AC184" s="76" t="str">
        <f t="shared" si="20"/>
        <v/>
      </c>
      <c r="AD184" s="76" t="str">
        <f t="shared" si="21"/>
        <v/>
      </c>
      <c r="AE184" s="76" t="str">
        <f t="shared" si="22"/>
        <v/>
      </c>
      <c r="AF184" s="76" t="str">
        <f t="shared" si="23"/>
        <v/>
      </c>
      <c r="AG184" s="76" t="str">
        <f t="shared" si="24"/>
        <v/>
      </c>
      <c r="AH184" s="76" t="str">
        <f t="shared" si="25"/>
        <v/>
      </c>
      <c r="AI184" s="76" t="str">
        <f t="shared" si="26"/>
        <v/>
      </c>
      <c r="AJ184" s="76" t="str">
        <f t="shared" si="27"/>
        <v/>
      </c>
      <c r="AK184" s="76" t="str">
        <f t="shared" si="28"/>
        <v/>
      </c>
      <c r="AL184" s="76" t="str">
        <f t="shared" si="29"/>
        <v/>
      </c>
      <c r="AM184" s="76" t="str">
        <f t="shared" si="30"/>
        <v/>
      </c>
      <c r="AN184" s="76" t="str">
        <f t="shared" si="31"/>
        <v/>
      </c>
      <c r="AO184" s="76" t="str">
        <f t="shared" si="32"/>
        <v/>
      </c>
      <c r="AP184" s="76" t="str">
        <f t="shared" si="33"/>
        <v/>
      </c>
    </row>
    <row r="185" ht="15.75" customHeight="1">
      <c r="A185" s="76" t="str">
        <f>IF('Manual Entry'!A157="","",'Manual Entry'!A157)</f>
        <v/>
      </c>
      <c r="B185" s="76" t="str">
        <f t="shared" si="3"/>
        <v/>
      </c>
      <c r="C185" s="76" t="str">
        <f t="shared" si="4"/>
        <v/>
      </c>
      <c r="D185" s="76" t="str">
        <f>'Manual Entry'!D157</f>
        <v/>
      </c>
      <c r="E185" s="76" t="str">
        <f>'Manual Entry'!B157</f>
        <v/>
      </c>
      <c r="F185" s="76" t="str">
        <f>'Manual Entry'!F157</f>
        <v/>
      </c>
      <c r="G185" s="76" t="str">
        <f>'Manual Entry'!G157</f>
        <v/>
      </c>
      <c r="H185" s="76" t="str">
        <f>'Manual Entry'!H157</f>
        <v/>
      </c>
      <c r="I185" s="78" t="str">
        <f>'Manual Entry'!I157</f>
        <v/>
      </c>
      <c r="J185" s="78" t="str">
        <f>'Manual Entry'!J157</f>
        <v/>
      </c>
      <c r="K185" s="78" t="str">
        <f>'Manual Entry'!K157</f>
        <v/>
      </c>
      <c r="L185" s="78" t="str">
        <f>'Manual Entry'!L157</f>
        <v/>
      </c>
      <c r="M185" s="78" t="str">
        <f>'Manual Entry'!M157</f>
        <v/>
      </c>
      <c r="N185" s="78" t="str">
        <f>'Manual Entry'!N157</f>
        <v/>
      </c>
      <c r="O185" s="76">
        <f t="shared" si="6"/>
        <v>0</v>
      </c>
      <c r="P185" s="76">
        <f t="shared" si="7"/>
        <v>0</v>
      </c>
      <c r="Q185" s="76">
        <f t="shared" si="8"/>
        <v>0</v>
      </c>
      <c r="R185" s="76">
        <f t="shared" si="9"/>
        <v>0</v>
      </c>
      <c r="S185" s="76" t="str">
        <f t="shared" si="10"/>
        <v/>
      </c>
      <c r="T185" s="76" t="str">
        <f t="shared" si="11"/>
        <v/>
      </c>
      <c r="U185" s="76" t="str">
        <f t="shared" si="12"/>
        <v/>
      </c>
      <c r="V185" s="76" t="str">
        <f t="shared" si="13"/>
        <v/>
      </c>
      <c r="W185" s="76" t="str">
        <f t="shared" si="14"/>
        <v/>
      </c>
      <c r="X185" s="76" t="str">
        <f t="shared" si="15"/>
        <v/>
      </c>
      <c r="Y185" s="76" t="str">
        <f t="shared" si="16"/>
        <v/>
      </c>
      <c r="Z185" s="76" t="str">
        <f t="shared" si="17"/>
        <v/>
      </c>
      <c r="AA185" s="76" t="str">
        <f t="shared" si="18"/>
        <v/>
      </c>
      <c r="AB185" s="76" t="str">
        <f t="shared" si="19"/>
        <v/>
      </c>
      <c r="AC185" s="76" t="str">
        <f t="shared" si="20"/>
        <v/>
      </c>
      <c r="AD185" s="76" t="str">
        <f t="shared" si="21"/>
        <v/>
      </c>
      <c r="AE185" s="76" t="str">
        <f t="shared" si="22"/>
        <v/>
      </c>
      <c r="AF185" s="76" t="str">
        <f t="shared" si="23"/>
        <v/>
      </c>
      <c r="AG185" s="76" t="str">
        <f t="shared" si="24"/>
        <v/>
      </c>
      <c r="AH185" s="76" t="str">
        <f t="shared" si="25"/>
        <v/>
      </c>
      <c r="AI185" s="76" t="str">
        <f t="shared" si="26"/>
        <v/>
      </c>
      <c r="AJ185" s="76" t="str">
        <f t="shared" si="27"/>
        <v/>
      </c>
      <c r="AK185" s="76" t="str">
        <f t="shared" si="28"/>
        <v/>
      </c>
      <c r="AL185" s="76" t="str">
        <f t="shared" si="29"/>
        <v/>
      </c>
      <c r="AM185" s="76" t="str">
        <f t="shared" si="30"/>
        <v/>
      </c>
      <c r="AN185" s="76" t="str">
        <f t="shared" si="31"/>
        <v/>
      </c>
      <c r="AO185" s="76" t="str">
        <f t="shared" si="32"/>
        <v/>
      </c>
      <c r="AP185" s="76" t="str">
        <f t="shared" si="33"/>
        <v/>
      </c>
    </row>
    <row r="186" ht="15.75" customHeight="1">
      <c r="A186" s="76" t="str">
        <f>IF('Manual Entry'!A158="","",'Manual Entry'!A158)</f>
        <v/>
      </c>
      <c r="B186" s="76" t="str">
        <f t="shared" si="3"/>
        <v/>
      </c>
      <c r="C186" s="76" t="str">
        <f t="shared" si="4"/>
        <v/>
      </c>
      <c r="D186" s="76" t="str">
        <f>'Manual Entry'!D158</f>
        <v/>
      </c>
      <c r="E186" s="76" t="str">
        <f>'Manual Entry'!B158</f>
        <v/>
      </c>
      <c r="F186" s="76" t="str">
        <f>'Manual Entry'!F158</f>
        <v/>
      </c>
      <c r="G186" s="76" t="str">
        <f>'Manual Entry'!G158</f>
        <v/>
      </c>
      <c r="H186" s="76" t="str">
        <f>'Manual Entry'!H158</f>
        <v/>
      </c>
      <c r="I186" s="78" t="str">
        <f>'Manual Entry'!I158</f>
        <v/>
      </c>
      <c r="J186" s="78" t="str">
        <f>'Manual Entry'!J158</f>
        <v/>
      </c>
      <c r="K186" s="78" t="str">
        <f>'Manual Entry'!K158</f>
        <v/>
      </c>
      <c r="L186" s="78" t="str">
        <f>'Manual Entry'!L158</f>
        <v/>
      </c>
      <c r="M186" s="78" t="str">
        <f>'Manual Entry'!M158</f>
        <v/>
      </c>
      <c r="N186" s="78" t="str">
        <f>'Manual Entry'!N158</f>
        <v/>
      </c>
      <c r="O186" s="76">
        <f t="shared" si="6"/>
        <v>0</v>
      </c>
      <c r="P186" s="76">
        <f t="shared" si="7"/>
        <v>0</v>
      </c>
      <c r="Q186" s="76">
        <f t="shared" si="8"/>
        <v>0</v>
      </c>
      <c r="R186" s="76">
        <f t="shared" si="9"/>
        <v>0</v>
      </c>
      <c r="S186" s="76" t="str">
        <f t="shared" si="10"/>
        <v/>
      </c>
      <c r="T186" s="76" t="str">
        <f t="shared" si="11"/>
        <v/>
      </c>
      <c r="U186" s="76" t="str">
        <f t="shared" si="12"/>
        <v/>
      </c>
      <c r="V186" s="76" t="str">
        <f t="shared" si="13"/>
        <v/>
      </c>
      <c r="W186" s="76" t="str">
        <f t="shared" si="14"/>
        <v/>
      </c>
      <c r="X186" s="76" t="str">
        <f t="shared" si="15"/>
        <v/>
      </c>
      <c r="Y186" s="76" t="str">
        <f t="shared" si="16"/>
        <v/>
      </c>
      <c r="Z186" s="76" t="str">
        <f t="shared" si="17"/>
        <v/>
      </c>
      <c r="AA186" s="76" t="str">
        <f t="shared" si="18"/>
        <v/>
      </c>
      <c r="AB186" s="76" t="str">
        <f t="shared" si="19"/>
        <v/>
      </c>
      <c r="AC186" s="76" t="str">
        <f t="shared" si="20"/>
        <v/>
      </c>
      <c r="AD186" s="76" t="str">
        <f t="shared" si="21"/>
        <v/>
      </c>
      <c r="AE186" s="76" t="str">
        <f t="shared" si="22"/>
        <v/>
      </c>
      <c r="AF186" s="76" t="str">
        <f t="shared" si="23"/>
        <v/>
      </c>
      <c r="AG186" s="76" t="str">
        <f t="shared" si="24"/>
        <v/>
      </c>
      <c r="AH186" s="76" t="str">
        <f t="shared" si="25"/>
        <v/>
      </c>
      <c r="AI186" s="76" t="str">
        <f t="shared" si="26"/>
        <v/>
      </c>
      <c r="AJ186" s="76" t="str">
        <f t="shared" si="27"/>
        <v/>
      </c>
      <c r="AK186" s="76" t="str">
        <f t="shared" si="28"/>
        <v/>
      </c>
      <c r="AL186" s="76" t="str">
        <f t="shared" si="29"/>
        <v/>
      </c>
      <c r="AM186" s="76" t="str">
        <f t="shared" si="30"/>
        <v/>
      </c>
      <c r="AN186" s="76" t="str">
        <f t="shared" si="31"/>
        <v/>
      </c>
      <c r="AO186" s="76" t="str">
        <f t="shared" si="32"/>
        <v/>
      </c>
      <c r="AP186" s="76" t="str">
        <f t="shared" si="33"/>
        <v/>
      </c>
    </row>
    <row r="187" ht="15.75" customHeight="1">
      <c r="A187" s="76" t="str">
        <f>IF('Manual Entry'!A159="","",'Manual Entry'!A159)</f>
        <v/>
      </c>
      <c r="B187" s="76" t="str">
        <f t="shared" si="3"/>
        <v/>
      </c>
      <c r="C187" s="76" t="str">
        <f t="shared" si="4"/>
        <v/>
      </c>
      <c r="D187" s="76" t="str">
        <f>'Manual Entry'!D159</f>
        <v/>
      </c>
      <c r="E187" s="76" t="str">
        <f>'Manual Entry'!B159</f>
        <v/>
      </c>
      <c r="F187" s="76" t="str">
        <f>'Manual Entry'!F159</f>
        <v/>
      </c>
      <c r="G187" s="76" t="str">
        <f>'Manual Entry'!G159</f>
        <v/>
      </c>
      <c r="H187" s="76" t="str">
        <f>'Manual Entry'!H159</f>
        <v/>
      </c>
      <c r="I187" s="78" t="str">
        <f>'Manual Entry'!I159</f>
        <v/>
      </c>
      <c r="J187" s="78" t="str">
        <f>'Manual Entry'!J159</f>
        <v/>
      </c>
      <c r="K187" s="78" t="str">
        <f>'Manual Entry'!K159</f>
        <v/>
      </c>
      <c r="L187" s="78" t="str">
        <f>'Manual Entry'!L159</f>
        <v/>
      </c>
      <c r="M187" s="78" t="str">
        <f>'Manual Entry'!M159</f>
        <v/>
      </c>
      <c r="N187" s="78" t="str">
        <f>'Manual Entry'!N159</f>
        <v/>
      </c>
      <c r="O187" s="76">
        <f t="shared" si="6"/>
        <v>0</v>
      </c>
      <c r="P187" s="76">
        <f t="shared" si="7"/>
        <v>0</v>
      </c>
      <c r="Q187" s="76">
        <f t="shared" si="8"/>
        <v>0</v>
      </c>
      <c r="R187" s="76">
        <f t="shared" si="9"/>
        <v>0</v>
      </c>
      <c r="S187" s="76" t="str">
        <f t="shared" si="10"/>
        <v/>
      </c>
      <c r="T187" s="76" t="str">
        <f t="shared" si="11"/>
        <v/>
      </c>
      <c r="U187" s="76" t="str">
        <f t="shared" si="12"/>
        <v/>
      </c>
      <c r="V187" s="76" t="str">
        <f t="shared" si="13"/>
        <v/>
      </c>
      <c r="W187" s="76" t="str">
        <f t="shared" si="14"/>
        <v/>
      </c>
      <c r="X187" s="76" t="str">
        <f t="shared" si="15"/>
        <v/>
      </c>
      <c r="Y187" s="76" t="str">
        <f t="shared" si="16"/>
        <v/>
      </c>
      <c r="Z187" s="76" t="str">
        <f t="shared" si="17"/>
        <v/>
      </c>
      <c r="AA187" s="76" t="str">
        <f t="shared" si="18"/>
        <v/>
      </c>
      <c r="AB187" s="76" t="str">
        <f t="shared" si="19"/>
        <v/>
      </c>
      <c r="AC187" s="76" t="str">
        <f t="shared" si="20"/>
        <v/>
      </c>
      <c r="AD187" s="76" t="str">
        <f t="shared" si="21"/>
        <v/>
      </c>
      <c r="AE187" s="76" t="str">
        <f t="shared" si="22"/>
        <v/>
      </c>
      <c r="AF187" s="76" t="str">
        <f t="shared" si="23"/>
        <v/>
      </c>
      <c r="AG187" s="76" t="str">
        <f t="shared" si="24"/>
        <v/>
      </c>
      <c r="AH187" s="76" t="str">
        <f t="shared" si="25"/>
        <v/>
      </c>
      <c r="AI187" s="76" t="str">
        <f t="shared" si="26"/>
        <v/>
      </c>
      <c r="AJ187" s="76" t="str">
        <f t="shared" si="27"/>
        <v/>
      </c>
      <c r="AK187" s="76" t="str">
        <f t="shared" si="28"/>
        <v/>
      </c>
      <c r="AL187" s="76" t="str">
        <f t="shared" si="29"/>
        <v/>
      </c>
      <c r="AM187" s="76" t="str">
        <f t="shared" si="30"/>
        <v/>
      </c>
      <c r="AN187" s="76" t="str">
        <f t="shared" si="31"/>
        <v/>
      </c>
      <c r="AO187" s="76" t="str">
        <f t="shared" si="32"/>
        <v/>
      </c>
      <c r="AP187" s="76" t="str">
        <f t="shared" si="33"/>
        <v/>
      </c>
    </row>
    <row r="188" ht="15.75" customHeight="1">
      <c r="A188" s="76" t="str">
        <f>IF('Manual Entry'!A160="","",'Manual Entry'!A160)</f>
        <v/>
      </c>
      <c r="B188" s="76" t="str">
        <f t="shared" si="3"/>
        <v/>
      </c>
      <c r="C188" s="76" t="str">
        <f t="shared" si="4"/>
        <v/>
      </c>
      <c r="D188" s="76" t="str">
        <f>'Manual Entry'!D160</f>
        <v/>
      </c>
      <c r="E188" s="76" t="str">
        <f>'Manual Entry'!B160</f>
        <v/>
      </c>
      <c r="F188" s="76" t="str">
        <f>'Manual Entry'!F160</f>
        <v/>
      </c>
      <c r="G188" s="76" t="str">
        <f>'Manual Entry'!G160</f>
        <v/>
      </c>
      <c r="H188" s="76" t="str">
        <f>'Manual Entry'!H160</f>
        <v/>
      </c>
      <c r="I188" s="78" t="str">
        <f>'Manual Entry'!I160</f>
        <v/>
      </c>
      <c r="J188" s="78" t="str">
        <f>'Manual Entry'!J160</f>
        <v/>
      </c>
      <c r="K188" s="78" t="str">
        <f>'Manual Entry'!K160</f>
        <v/>
      </c>
      <c r="L188" s="78" t="str">
        <f>'Manual Entry'!L160</f>
        <v/>
      </c>
      <c r="M188" s="78" t="str">
        <f>'Manual Entry'!M160</f>
        <v/>
      </c>
      <c r="N188" s="78" t="str">
        <f>'Manual Entry'!N160</f>
        <v/>
      </c>
      <c r="O188" s="76">
        <f t="shared" si="6"/>
        <v>0</v>
      </c>
      <c r="P188" s="76">
        <f t="shared" si="7"/>
        <v>0</v>
      </c>
      <c r="Q188" s="76">
        <f t="shared" si="8"/>
        <v>0</v>
      </c>
      <c r="R188" s="76">
        <f t="shared" si="9"/>
        <v>0</v>
      </c>
      <c r="S188" s="76" t="str">
        <f t="shared" si="10"/>
        <v/>
      </c>
      <c r="T188" s="76" t="str">
        <f t="shared" si="11"/>
        <v/>
      </c>
      <c r="U188" s="76" t="str">
        <f t="shared" si="12"/>
        <v/>
      </c>
      <c r="V188" s="76" t="str">
        <f t="shared" si="13"/>
        <v/>
      </c>
      <c r="W188" s="76" t="str">
        <f t="shared" si="14"/>
        <v/>
      </c>
      <c r="X188" s="76" t="str">
        <f t="shared" si="15"/>
        <v/>
      </c>
      <c r="Y188" s="76" t="str">
        <f t="shared" si="16"/>
        <v/>
      </c>
      <c r="Z188" s="76" t="str">
        <f t="shared" si="17"/>
        <v/>
      </c>
      <c r="AA188" s="76" t="str">
        <f t="shared" si="18"/>
        <v/>
      </c>
      <c r="AB188" s="76" t="str">
        <f t="shared" si="19"/>
        <v/>
      </c>
      <c r="AC188" s="76" t="str">
        <f t="shared" si="20"/>
        <v/>
      </c>
      <c r="AD188" s="76" t="str">
        <f t="shared" si="21"/>
        <v/>
      </c>
      <c r="AE188" s="76" t="str">
        <f t="shared" si="22"/>
        <v/>
      </c>
      <c r="AF188" s="76" t="str">
        <f t="shared" si="23"/>
        <v/>
      </c>
      <c r="AG188" s="76" t="str">
        <f t="shared" si="24"/>
        <v/>
      </c>
      <c r="AH188" s="76" t="str">
        <f t="shared" si="25"/>
        <v/>
      </c>
      <c r="AI188" s="76" t="str">
        <f t="shared" si="26"/>
        <v/>
      </c>
      <c r="AJ188" s="76" t="str">
        <f t="shared" si="27"/>
        <v/>
      </c>
      <c r="AK188" s="76" t="str">
        <f t="shared" si="28"/>
        <v/>
      </c>
      <c r="AL188" s="76" t="str">
        <f t="shared" si="29"/>
        <v/>
      </c>
      <c r="AM188" s="76" t="str">
        <f t="shared" si="30"/>
        <v/>
      </c>
      <c r="AN188" s="76" t="str">
        <f t="shared" si="31"/>
        <v/>
      </c>
      <c r="AO188" s="76" t="str">
        <f t="shared" si="32"/>
        <v/>
      </c>
      <c r="AP188" s="76" t="str">
        <f t="shared" si="33"/>
        <v/>
      </c>
    </row>
    <row r="189" ht="15.75" customHeight="1">
      <c r="A189" s="76" t="str">
        <f>IF('Manual Entry'!A161="","",'Manual Entry'!A161)</f>
        <v/>
      </c>
      <c r="B189" s="76" t="str">
        <f t="shared" si="3"/>
        <v/>
      </c>
      <c r="C189" s="76" t="str">
        <f t="shared" si="4"/>
        <v/>
      </c>
      <c r="D189" s="76" t="str">
        <f>'Manual Entry'!D161</f>
        <v/>
      </c>
      <c r="E189" s="76" t="str">
        <f>'Manual Entry'!B161</f>
        <v/>
      </c>
      <c r="F189" s="76" t="str">
        <f>'Manual Entry'!F161</f>
        <v/>
      </c>
      <c r="G189" s="76" t="str">
        <f>'Manual Entry'!G161</f>
        <v/>
      </c>
      <c r="H189" s="76" t="str">
        <f>'Manual Entry'!H161</f>
        <v/>
      </c>
      <c r="I189" s="78" t="str">
        <f>'Manual Entry'!I161</f>
        <v/>
      </c>
      <c r="J189" s="78" t="str">
        <f>'Manual Entry'!J161</f>
        <v/>
      </c>
      <c r="K189" s="78" t="str">
        <f>'Manual Entry'!K161</f>
        <v/>
      </c>
      <c r="L189" s="78" t="str">
        <f>'Manual Entry'!L161</f>
        <v/>
      </c>
      <c r="M189" s="78" t="str">
        <f>'Manual Entry'!M161</f>
        <v/>
      </c>
      <c r="N189" s="78" t="str">
        <f>'Manual Entry'!N161</f>
        <v/>
      </c>
      <c r="O189" s="76">
        <f t="shared" si="6"/>
        <v>0</v>
      </c>
      <c r="P189" s="76">
        <f t="shared" si="7"/>
        <v>0</v>
      </c>
      <c r="Q189" s="76">
        <f t="shared" si="8"/>
        <v>0</v>
      </c>
      <c r="R189" s="76">
        <f t="shared" si="9"/>
        <v>0</v>
      </c>
      <c r="S189" s="76" t="str">
        <f t="shared" si="10"/>
        <v/>
      </c>
      <c r="T189" s="76" t="str">
        <f t="shared" si="11"/>
        <v/>
      </c>
      <c r="U189" s="76" t="str">
        <f t="shared" si="12"/>
        <v/>
      </c>
      <c r="V189" s="76" t="str">
        <f t="shared" si="13"/>
        <v/>
      </c>
      <c r="W189" s="76" t="str">
        <f t="shared" si="14"/>
        <v/>
      </c>
      <c r="X189" s="76" t="str">
        <f t="shared" si="15"/>
        <v/>
      </c>
      <c r="Y189" s="76" t="str">
        <f t="shared" si="16"/>
        <v/>
      </c>
      <c r="Z189" s="76" t="str">
        <f t="shared" si="17"/>
        <v/>
      </c>
      <c r="AA189" s="76" t="str">
        <f t="shared" si="18"/>
        <v/>
      </c>
      <c r="AB189" s="76" t="str">
        <f t="shared" si="19"/>
        <v/>
      </c>
      <c r="AC189" s="76" t="str">
        <f t="shared" si="20"/>
        <v/>
      </c>
      <c r="AD189" s="76" t="str">
        <f t="shared" si="21"/>
        <v/>
      </c>
      <c r="AE189" s="76" t="str">
        <f t="shared" si="22"/>
        <v/>
      </c>
      <c r="AF189" s="76" t="str">
        <f t="shared" si="23"/>
        <v/>
      </c>
      <c r="AG189" s="76" t="str">
        <f t="shared" si="24"/>
        <v/>
      </c>
      <c r="AH189" s="76" t="str">
        <f t="shared" si="25"/>
        <v/>
      </c>
      <c r="AI189" s="76" t="str">
        <f t="shared" si="26"/>
        <v/>
      </c>
      <c r="AJ189" s="76" t="str">
        <f t="shared" si="27"/>
        <v/>
      </c>
      <c r="AK189" s="76" t="str">
        <f t="shared" si="28"/>
        <v/>
      </c>
      <c r="AL189" s="76" t="str">
        <f t="shared" si="29"/>
        <v/>
      </c>
      <c r="AM189" s="76" t="str">
        <f t="shared" si="30"/>
        <v/>
      </c>
      <c r="AN189" s="76" t="str">
        <f t="shared" si="31"/>
        <v/>
      </c>
      <c r="AO189" s="76" t="str">
        <f t="shared" si="32"/>
        <v/>
      </c>
      <c r="AP189" s="76" t="str">
        <f t="shared" si="33"/>
        <v/>
      </c>
    </row>
    <row r="190" ht="15.75" customHeight="1">
      <c r="A190" s="76" t="str">
        <f>IF('Manual Entry'!A162="","",'Manual Entry'!A162)</f>
        <v/>
      </c>
      <c r="B190" s="76" t="str">
        <f t="shared" si="3"/>
        <v/>
      </c>
      <c r="C190" s="76" t="str">
        <f t="shared" si="4"/>
        <v/>
      </c>
      <c r="D190" s="76" t="str">
        <f>'Manual Entry'!D162</f>
        <v/>
      </c>
      <c r="E190" s="76" t="str">
        <f>'Manual Entry'!B162</f>
        <v/>
      </c>
      <c r="F190" s="76" t="str">
        <f>'Manual Entry'!F162</f>
        <v/>
      </c>
      <c r="G190" s="76" t="str">
        <f>'Manual Entry'!G162</f>
        <v/>
      </c>
      <c r="H190" s="76" t="str">
        <f>'Manual Entry'!H162</f>
        <v/>
      </c>
      <c r="I190" s="78" t="str">
        <f>'Manual Entry'!I162</f>
        <v/>
      </c>
      <c r="J190" s="78" t="str">
        <f>'Manual Entry'!J162</f>
        <v/>
      </c>
      <c r="K190" s="78" t="str">
        <f>'Manual Entry'!K162</f>
        <v/>
      </c>
      <c r="L190" s="78" t="str">
        <f>'Manual Entry'!L162</f>
        <v/>
      </c>
      <c r="M190" s="78" t="str">
        <f>'Manual Entry'!M162</f>
        <v/>
      </c>
      <c r="N190" s="78" t="str">
        <f>'Manual Entry'!N162</f>
        <v/>
      </c>
      <c r="O190" s="76">
        <f t="shared" si="6"/>
        <v>0</v>
      </c>
      <c r="P190" s="76">
        <f t="shared" si="7"/>
        <v>0</v>
      </c>
      <c r="Q190" s="76">
        <f t="shared" si="8"/>
        <v>0</v>
      </c>
      <c r="R190" s="76">
        <f t="shared" si="9"/>
        <v>0</v>
      </c>
      <c r="S190" s="76" t="str">
        <f t="shared" si="10"/>
        <v/>
      </c>
      <c r="T190" s="76" t="str">
        <f t="shared" si="11"/>
        <v/>
      </c>
      <c r="U190" s="76" t="str">
        <f t="shared" si="12"/>
        <v/>
      </c>
      <c r="V190" s="76" t="str">
        <f t="shared" si="13"/>
        <v/>
      </c>
      <c r="W190" s="76" t="str">
        <f t="shared" si="14"/>
        <v/>
      </c>
      <c r="X190" s="76" t="str">
        <f t="shared" si="15"/>
        <v/>
      </c>
      <c r="Y190" s="76" t="str">
        <f t="shared" si="16"/>
        <v/>
      </c>
      <c r="Z190" s="76" t="str">
        <f t="shared" si="17"/>
        <v/>
      </c>
      <c r="AA190" s="76" t="str">
        <f t="shared" si="18"/>
        <v/>
      </c>
      <c r="AB190" s="76" t="str">
        <f t="shared" si="19"/>
        <v/>
      </c>
      <c r="AC190" s="76" t="str">
        <f t="shared" si="20"/>
        <v/>
      </c>
      <c r="AD190" s="76" t="str">
        <f t="shared" si="21"/>
        <v/>
      </c>
      <c r="AE190" s="76" t="str">
        <f t="shared" si="22"/>
        <v/>
      </c>
      <c r="AF190" s="76" t="str">
        <f t="shared" si="23"/>
        <v/>
      </c>
      <c r="AG190" s="76" t="str">
        <f t="shared" si="24"/>
        <v/>
      </c>
      <c r="AH190" s="76" t="str">
        <f t="shared" si="25"/>
        <v/>
      </c>
      <c r="AI190" s="76" t="str">
        <f t="shared" si="26"/>
        <v/>
      </c>
      <c r="AJ190" s="76" t="str">
        <f t="shared" si="27"/>
        <v/>
      </c>
      <c r="AK190" s="76" t="str">
        <f t="shared" si="28"/>
        <v/>
      </c>
      <c r="AL190" s="76" t="str">
        <f t="shared" si="29"/>
        <v/>
      </c>
      <c r="AM190" s="76" t="str">
        <f t="shared" si="30"/>
        <v/>
      </c>
      <c r="AN190" s="76" t="str">
        <f t="shared" si="31"/>
        <v/>
      </c>
      <c r="AO190" s="76" t="str">
        <f t="shared" si="32"/>
        <v/>
      </c>
      <c r="AP190" s="76" t="str">
        <f t="shared" si="33"/>
        <v/>
      </c>
    </row>
    <row r="191" ht="15.75" customHeight="1">
      <c r="A191" s="76" t="str">
        <f>IF('Manual Entry'!A163="","",'Manual Entry'!A163)</f>
        <v/>
      </c>
      <c r="B191" s="76" t="str">
        <f t="shared" si="3"/>
        <v/>
      </c>
      <c r="C191" s="76" t="str">
        <f t="shared" si="4"/>
        <v/>
      </c>
      <c r="D191" s="76" t="str">
        <f>'Manual Entry'!D163</f>
        <v/>
      </c>
      <c r="E191" s="76" t="str">
        <f>'Manual Entry'!B163</f>
        <v/>
      </c>
      <c r="F191" s="76" t="str">
        <f>'Manual Entry'!F163</f>
        <v/>
      </c>
      <c r="G191" s="76" t="str">
        <f>'Manual Entry'!G163</f>
        <v/>
      </c>
      <c r="H191" s="76" t="str">
        <f>'Manual Entry'!H163</f>
        <v/>
      </c>
      <c r="I191" s="78" t="str">
        <f>'Manual Entry'!I163</f>
        <v/>
      </c>
      <c r="J191" s="78" t="str">
        <f>'Manual Entry'!J163</f>
        <v/>
      </c>
      <c r="K191" s="78" t="str">
        <f>'Manual Entry'!K163</f>
        <v/>
      </c>
      <c r="L191" s="78" t="str">
        <f>'Manual Entry'!L163</f>
        <v/>
      </c>
      <c r="M191" s="78" t="str">
        <f>'Manual Entry'!M163</f>
        <v/>
      </c>
      <c r="N191" s="78" t="str">
        <f>'Manual Entry'!N163</f>
        <v/>
      </c>
      <c r="O191" s="76">
        <f t="shared" si="6"/>
        <v>0</v>
      </c>
      <c r="P191" s="76">
        <f t="shared" si="7"/>
        <v>0</v>
      </c>
      <c r="Q191" s="76">
        <f t="shared" si="8"/>
        <v>0</v>
      </c>
      <c r="R191" s="76">
        <f t="shared" si="9"/>
        <v>0</v>
      </c>
      <c r="S191" s="76" t="str">
        <f t="shared" si="10"/>
        <v/>
      </c>
      <c r="T191" s="76" t="str">
        <f t="shared" si="11"/>
        <v/>
      </c>
      <c r="U191" s="76" t="str">
        <f t="shared" si="12"/>
        <v/>
      </c>
      <c r="V191" s="76" t="str">
        <f t="shared" si="13"/>
        <v/>
      </c>
      <c r="W191" s="76" t="str">
        <f t="shared" si="14"/>
        <v/>
      </c>
      <c r="X191" s="76" t="str">
        <f t="shared" si="15"/>
        <v/>
      </c>
      <c r="Y191" s="76" t="str">
        <f t="shared" si="16"/>
        <v/>
      </c>
      <c r="Z191" s="76" t="str">
        <f t="shared" si="17"/>
        <v/>
      </c>
      <c r="AA191" s="76" t="str">
        <f t="shared" si="18"/>
        <v/>
      </c>
      <c r="AB191" s="76" t="str">
        <f t="shared" si="19"/>
        <v/>
      </c>
      <c r="AC191" s="76" t="str">
        <f t="shared" si="20"/>
        <v/>
      </c>
      <c r="AD191" s="76" t="str">
        <f t="shared" si="21"/>
        <v/>
      </c>
      <c r="AE191" s="76" t="str">
        <f t="shared" si="22"/>
        <v/>
      </c>
      <c r="AF191" s="76" t="str">
        <f t="shared" si="23"/>
        <v/>
      </c>
      <c r="AG191" s="76" t="str">
        <f t="shared" si="24"/>
        <v/>
      </c>
      <c r="AH191" s="76" t="str">
        <f t="shared" si="25"/>
        <v/>
      </c>
      <c r="AI191" s="76" t="str">
        <f t="shared" si="26"/>
        <v/>
      </c>
      <c r="AJ191" s="76" t="str">
        <f t="shared" si="27"/>
        <v/>
      </c>
      <c r="AK191" s="76" t="str">
        <f t="shared" si="28"/>
        <v/>
      </c>
      <c r="AL191" s="76" t="str">
        <f t="shared" si="29"/>
        <v/>
      </c>
      <c r="AM191" s="76" t="str">
        <f t="shared" si="30"/>
        <v/>
      </c>
      <c r="AN191" s="76" t="str">
        <f t="shared" si="31"/>
        <v/>
      </c>
      <c r="AO191" s="76" t="str">
        <f t="shared" si="32"/>
        <v/>
      </c>
      <c r="AP191" s="76" t="str">
        <f t="shared" si="33"/>
        <v/>
      </c>
    </row>
    <row r="192" ht="15.75" customHeight="1">
      <c r="A192" s="76" t="str">
        <f>IF('Manual Entry'!A164="","",'Manual Entry'!A164)</f>
        <v/>
      </c>
      <c r="B192" s="76" t="str">
        <f t="shared" si="3"/>
        <v/>
      </c>
      <c r="C192" s="76" t="str">
        <f t="shared" si="4"/>
        <v/>
      </c>
      <c r="D192" s="76" t="str">
        <f>'Manual Entry'!D164</f>
        <v/>
      </c>
      <c r="E192" s="76" t="str">
        <f>'Manual Entry'!B164</f>
        <v/>
      </c>
      <c r="F192" s="76" t="str">
        <f>'Manual Entry'!F164</f>
        <v/>
      </c>
      <c r="G192" s="76" t="str">
        <f>'Manual Entry'!G164</f>
        <v/>
      </c>
      <c r="H192" s="76" t="str">
        <f>'Manual Entry'!H164</f>
        <v/>
      </c>
      <c r="I192" s="78" t="str">
        <f>'Manual Entry'!I164</f>
        <v/>
      </c>
      <c r="J192" s="78" t="str">
        <f>'Manual Entry'!J164</f>
        <v/>
      </c>
      <c r="K192" s="78" t="str">
        <f>'Manual Entry'!K164</f>
        <v/>
      </c>
      <c r="L192" s="78" t="str">
        <f>'Manual Entry'!L164</f>
        <v/>
      </c>
      <c r="M192" s="78" t="str">
        <f>'Manual Entry'!M164</f>
        <v/>
      </c>
      <c r="N192" s="78" t="str">
        <f>'Manual Entry'!N164</f>
        <v/>
      </c>
      <c r="O192" s="76">
        <f t="shared" si="6"/>
        <v>0</v>
      </c>
      <c r="P192" s="76">
        <f t="shared" si="7"/>
        <v>0</v>
      </c>
      <c r="Q192" s="76">
        <f t="shared" si="8"/>
        <v>0</v>
      </c>
      <c r="R192" s="76">
        <f t="shared" si="9"/>
        <v>0</v>
      </c>
      <c r="S192" s="76" t="str">
        <f t="shared" si="10"/>
        <v/>
      </c>
      <c r="T192" s="76" t="str">
        <f t="shared" si="11"/>
        <v/>
      </c>
      <c r="U192" s="76" t="str">
        <f t="shared" si="12"/>
        <v/>
      </c>
      <c r="V192" s="76" t="str">
        <f t="shared" si="13"/>
        <v/>
      </c>
      <c r="W192" s="76" t="str">
        <f t="shared" si="14"/>
        <v/>
      </c>
      <c r="X192" s="76" t="str">
        <f t="shared" si="15"/>
        <v/>
      </c>
      <c r="Y192" s="76" t="str">
        <f t="shared" si="16"/>
        <v/>
      </c>
      <c r="Z192" s="76" t="str">
        <f t="shared" si="17"/>
        <v/>
      </c>
      <c r="AA192" s="76" t="str">
        <f t="shared" si="18"/>
        <v/>
      </c>
      <c r="AB192" s="76" t="str">
        <f t="shared" si="19"/>
        <v/>
      </c>
      <c r="AC192" s="76" t="str">
        <f t="shared" si="20"/>
        <v/>
      </c>
      <c r="AD192" s="76" t="str">
        <f t="shared" si="21"/>
        <v/>
      </c>
      <c r="AE192" s="76" t="str">
        <f t="shared" si="22"/>
        <v/>
      </c>
      <c r="AF192" s="76" t="str">
        <f t="shared" si="23"/>
        <v/>
      </c>
      <c r="AG192" s="76" t="str">
        <f t="shared" si="24"/>
        <v/>
      </c>
      <c r="AH192" s="76" t="str">
        <f t="shared" si="25"/>
        <v/>
      </c>
      <c r="AI192" s="76" t="str">
        <f t="shared" si="26"/>
        <v/>
      </c>
      <c r="AJ192" s="76" t="str">
        <f t="shared" si="27"/>
        <v/>
      </c>
      <c r="AK192" s="76" t="str">
        <f t="shared" si="28"/>
        <v/>
      </c>
      <c r="AL192" s="76" t="str">
        <f t="shared" si="29"/>
        <v/>
      </c>
      <c r="AM192" s="76" t="str">
        <f t="shared" si="30"/>
        <v/>
      </c>
      <c r="AN192" s="76" t="str">
        <f t="shared" si="31"/>
        <v/>
      </c>
      <c r="AO192" s="76" t="str">
        <f t="shared" si="32"/>
        <v/>
      </c>
      <c r="AP192" s="76" t="str">
        <f t="shared" si="33"/>
        <v/>
      </c>
    </row>
    <row r="193" ht="15.75" customHeight="1">
      <c r="A193" s="76" t="str">
        <f>IF('Manual Entry'!A165="","",'Manual Entry'!A165)</f>
        <v/>
      </c>
      <c r="B193" s="76" t="str">
        <f t="shared" si="3"/>
        <v/>
      </c>
      <c r="C193" s="76" t="str">
        <f t="shared" si="4"/>
        <v/>
      </c>
      <c r="D193" s="76" t="str">
        <f>'Manual Entry'!D165</f>
        <v/>
      </c>
      <c r="E193" s="76" t="str">
        <f>'Manual Entry'!B165</f>
        <v/>
      </c>
      <c r="F193" s="76" t="str">
        <f>'Manual Entry'!F165</f>
        <v/>
      </c>
      <c r="G193" s="76" t="str">
        <f>'Manual Entry'!G165</f>
        <v/>
      </c>
      <c r="H193" s="76" t="str">
        <f>'Manual Entry'!H165</f>
        <v/>
      </c>
      <c r="I193" s="78" t="str">
        <f>'Manual Entry'!I165</f>
        <v/>
      </c>
      <c r="J193" s="78" t="str">
        <f>'Manual Entry'!J165</f>
        <v/>
      </c>
      <c r="K193" s="78" t="str">
        <f>'Manual Entry'!K165</f>
        <v/>
      </c>
      <c r="L193" s="78" t="str">
        <f>'Manual Entry'!L165</f>
        <v/>
      </c>
      <c r="M193" s="78" t="str">
        <f>'Manual Entry'!M165</f>
        <v/>
      </c>
      <c r="N193" s="78" t="str">
        <f>'Manual Entry'!N165</f>
        <v/>
      </c>
      <c r="O193" s="76">
        <f t="shared" si="6"/>
        <v>0</v>
      </c>
      <c r="P193" s="76">
        <f t="shared" si="7"/>
        <v>0</v>
      </c>
      <c r="Q193" s="76">
        <f t="shared" si="8"/>
        <v>0</v>
      </c>
      <c r="R193" s="76">
        <f t="shared" si="9"/>
        <v>0</v>
      </c>
      <c r="S193" s="76" t="str">
        <f t="shared" si="10"/>
        <v/>
      </c>
      <c r="T193" s="76" t="str">
        <f t="shared" si="11"/>
        <v/>
      </c>
      <c r="U193" s="76" t="str">
        <f t="shared" si="12"/>
        <v/>
      </c>
      <c r="V193" s="76" t="str">
        <f t="shared" si="13"/>
        <v/>
      </c>
      <c r="W193" s="76" t="str">
        <f t="shared" si="14"/>
        <v/>
      </c>
      <c r="X193" s="76" t="str">
        <f t="shared" si="15"/>
        <v/>
      </c>
      <c r="Y193" s="76" t="str">
        <f t="shared" si="16"/>
        <v/>
      </c>
      <c r="Z193" s="76" t="str">
        <f t="shared" si="17"/>
        <v/>
      </c>
      <c r="AA193" s="76" t="str">
        <f t="shared" si="18"/>
        <v/>
      </c>
      <c r="AB193" s="76" t="str">
        <f t="shared" si="19"/>
        <v/>
      </c>
      <c r="AC193" s="76" t="str">
        <f t="shared" si="20"/>
        <v/>
      </c>
      <c r="AD193" s="76" t="str">
        <f t="shared" si="21"/>
        <v/>
      </c>
      <c r="AE193" s="76" t="str">
        <f t="shared" si="22"/>
        <v/>
      </c>
      <c r="AF193" s="76" t="str">
        <f t="shared" si="23"/>
        <v/>
      </c>
      <c r="AG193" s="76" t="str">
        <f t="shared" si="24"/>
        <v/>
      </c>
      <c r="AH193" s="76" t="str">
        <f t="shared" si="25"/>
        <v/>
      </c>
      <c r="AI193" s="76" t="str">
        <f t="shared" si="26"/>
        <v/>
      </c>
      <c r="AJ193" s="76" t="str">
        <f t="shared" si="27"/>
        <v/>
      </c>
      <c r="AK193" s="76" t="str">
        <f t="shared" si="28"/>
        <v/>
      </c>
      <c r="AL193" s="76" t="str">
        <f t="shared" si="29"/>
        <v/>
      </c>
      <c r="AM193" s="76" t="str">
        <f t="shared" si="30"/>
        <v/>
      </c>
      <c r="AN193" s="76" t="str">
        <f t="shared" si="31"/>
        <v/>
      </c>
      <c r="AO193" s="76" t="str">
        <f t="shared" si="32"/>
        <v/>
      </c>
      <c r="AP193" s="76" t="str">
        <f t="shared" si="33"/>
        <v/>
      </c>
    </row>
    <row r="194" ht="15.75" customHeight="1">
      <c r="A194" s="76" t="str">
        <f>IF('Manual Entry'!A166="","",'Manual Entry'!A166)</f>
        <v/>
      </c>
      <c r="B194" s="76" t="str">
        <f t="shared" si="3"/>
        <v/>
      </c>
      <c r="C194" s="76" t="str">
        <f t="shared" si="4"/>
        <v/>
      </c>
      <c r="D194" s="76" t="str">
        <f>'Manual Entry'!D166</f>
        <v/>
      </c>
      <c r="E194" s="76" t="str">
        <f>'Manual Entry'!B166</f>
        <v/>
      </c>
      <c r="F194" s="76" t="str">
        <f>'Manual Entry'!F166</f>
        <v/>
      </c>
      <c r="G194" s="76" t="str">
        <f>'Manual Entry'!G166</f>
        <v/>
      </c>
      <c r="H194" s="76" t="str">
        <f>'Manual Entry'!H166</f>
        <v/>
      </c>
      <c r="I194" s="78" t="str">
        <f>'Manual Entry'!I166</f>
        <v/>
      </c>
      <c r="J194" s="78" t="str">
        <f>'Manual Entry'!J166</f>
        <v/>
      </c>
      <c r="K194" s="78" t="str">
        <f>'Manual Entry'!K166</f>
        <v/>
      </c>
      <c r="L194" s="78" t="str">
        <f>'Manual Entry'!L166</f>
        <v/>
      </c>
      <c r="M194" s="78" t="str">
        <f>'Manual Entry'!M166</f>
        <v/>
      </c>
      <c r="N194" s="78" t="str">
        <f>'Manual Entry'!N166</f>
        <v/>
      </c>
      <c r="O194" s="76">
        <f t="shared" si="6"/>
        <v>0</v>
      </c>
      <c r="P194" s="76">
        <f t="shared" si="7"/>
        <v>0</v>
      </c>
      <c r="Q194" s="76">
        <f t="shared" si="8"/>
        <v>0</v>
      </c>
      <c r="R194" s="76">
        <f t="shared" si="9"/>
        <v>0</v>
      </c>
      <c r="S194" s="76" t="str">
        <f t="shared" si="10"/>
        <v/>
      </c>
      <c r="T194" s="76" t="str">
        <f t="shared" si="11"/>
        <v/>
      </c>
      <c r="U194" s="76" t="str">
        <f t="shared" si="12"/>
        <v/>
      </c>
      <c r="V194" s="76" t="str">
        <f t="shared" si="13"/>
        <v/>
      </c>
      <c r="W194" s="76" t="str">
        <f t="shared" si="14"/>
        <v/>
      </c>
      <c r="X194" s="76" t="str">
        <f t="shared" si="15"/>
        <v/>
      </c>
      <c r="Y194" s="76" t="str">
        <f t="shared" si="16"/>
        <v/>
      </c>
      <c r="Z194" s="76" t="str">
        <f t="shared" si="17"/>
        <v/>
      </c>
      <c r="AA194" s="76" t="str">
        <f t="shared" si="18"/>
        <v/>
      </c>
      <c r="AB194" s="76" t="str">
        <f t="shared" si="19"/>
        <v/>
      </c>
      <c r="AC194" s="76" t="str">
        <f t="shared" si="20"/>
        <v/>
      </c>
      <c r="AD194" s="76" t="str">
        <f t="shared" si="21"/>
        <v/>
      </c>
      <c r="AE194" s="76" t="str">
        <f t="shared" si="22"/>
        <v/>
      </c>
      <c r="AF194" s="76" t="str">
        <f t="shared" si="23"/>
        <v/>
      </c>
      <c r="AG194" s="76" t="str">
        <f t="shared" si="24"/>
        <v/>
      </c>
      <c r="AH194" s="76" t="str">
        <f t="shared" si="25"/>
        <v/>
      </c>
      <c r="AI194" s="76" t="str">
        <f t="shared" si="26"/>
        <v/>
      </c>
      <c r="AJ194" s="76" t="str">
        <f t="shared" si="27"/>
        <v/>
      </c>
      <c r="AK194" s="76" t="str">
        <f t="shared" si="28"/>
        <v/>
      </c>
      <c r="AL194" s="76" t="str">
        <f t="shared" si="29"/>
        <v/>
      </c>
      <c r="AM194" s="76" t="str">
        <f t="shared" si="30"/>
        <v/>
      </c>
      <c r="AN194" s="76" t="str">
        <f t="shared" si="31"/>
        <v/>
      </c>
      <c r="AO194" s="76" t="str">
        <f t="shared" si="32"/>
        <v/>
      </c>
      <c r="AP194" s="76" t="str">
        <f t="shared" si="33"/>
        <v/>
      </c>
    </row>
    <row r="195" ht="15.75" customHeight="1">
      <c r="A195" s="76" t="str">
        <f>IF('Manual Entry'!A167="","",'Manual Entry'!A167)</f>
        <v/>
      </c>
      <c r="B195" s="76" t="str">
        <f t="shared" si="3"/>
        <v/>
      </c>
      <c r="C195" s="76" t="str">
        <f t="shared" si="4"/>
        <v/>
      </c>
      <c r="D195" s="76" t="str">
        <f>'Manual Entry'!D167</f>
        <v/>
      </c>
      <c r="E195" s="76" t="str">
        <f>'Manual Entry'!B167</f>
        <v/>
      </c>
      <c r="F195" s="76" t="str">
        <f>'Manual Entry'!F167</f>
        <v/>
      </c>
      <c r="G195" s="76" t="str">
        <f>'Manual Entry'!G167</f>
        <v/>
      </c>
      <c r="H195" s="76" t="str">
        <f>'Manual Entry'!H167</f>
        <v/>
      </c>
      <c r="I195" s="78" t="str">
        <f>'Manual Entry'!I167</f>
        <v/>
      </c>
      <c r="J195" s="78" t="str">
        <f>'Manual Entry'!J167</f>
        <v/>
      </c>
      <c r="K195" s="78" t="str">
        <f>'Manual Entry'!K167</f>
        <v/>
      </c>
      <c r="L195" s="78" t="str">
        <f>'Manual Entry'!L167</f>
        <v/>
      </c>
      <c r="M195" s="78" t="str">
        <f>'Manual Entry'!M167</f>
        <v/>
      </c>
      <c r="N195" s="78" t="str">
        <f>'Manual Entry'!N167</f>
        <v/>
      </c>
      <c r="O195" s="76">
        <f t="shared" si="6"/>
        <v>0</v>
      </c>
      <c r="P195" s="76">
        <f t="shared" si="7"/>
        <v>0</v>
      </c>
      <c r="Q195" s="76">
        <f t="shared" si="8"/>
        <v>0</v>
      </c>
      <c r="R195" s="76">
        <f t="shared" si="9"/>
        <v>0</v>
      </c>
      <c r="S195" s="76" t="str">
        <f t="shared" si="10"/>
        <v/>
      </c>
      <c r="T195" s="76" t="str">
        <f t="shared" si="11"/>
        <v/>
      </c>
      <c r="U195" s="76" t="str">
        <f t="shared" si="12"/>
        <v/>
      </c>
      <c r="V195" s="76" t="str">
        <f t="shared" si="13"/>
        <v/>
      </c>
      <c r="W195" s="76" t="str">
        <f t="shared" si="14"/>
        <v/>
      </c>
      <c r="X195" s="76" t="str">
        <f t="shared" si="15"/>
        <v/>
      </c>
      <c r="Y195" s="76" t="str">
        <f t="shared" si="16"/>
        <v/>
      </c>
      <c r="Z195" s="76" t="str">
        <f t="shared" si="17"/>
        <v/>
      </c>
      <c r="AA195" s="76" t="str">
        <f t="shared" si="18"/>
        <v/>
      </c>
      <c r="AB195" s="76" t="str">
        <f t="shared" si="19"/>
        <v/>
      </c>
      <c r="AC195" s="76" t="str">
        <f t="shared" si="20"/>
        <v/>
      </c>
      <c r="AD195" s="76" t="str">
        <f t="shared" si="21"/>
        <v/>
      </c>
      <c r="AE195" s="76" t="str">
        <f t="shared" si="22"/>
        <v/>
      </c>
      <c r="AF195" s="76" t="str">
        <f t="shared" si="23"/>
        <v/>
      </c>
      <c r="AG195" s="76" t="str">
        <f t="shared" si="24"/>
        <v/>
      </c>
      <c r="AH195" s="76" t="str">
        <f t="shared" si="25"/>
        <v/>
      </c>
      <c r="AI195" s="76" t="str">
        <f t="shared" si="26"/>
        <v/>
      </c>
      <c r="AJ195" s="76" t="str">
        <f t="shared" si="27"/>
        <v/>
      </c>
      <c r="AK195" s="76" t="str">
        <f t="shared" si="28"/>
        <v/>
      </c>
      <c r="AL195" s="76" t="str">
        <f t="shared" si="29"/>
        <v/>
      </c>
      <c r="AM195" s="76" t="str">
        <f t="shared" si="30"/>
        <v/>
      </c>
      <c r="AN195" s="76" t="str">
        <f t="shared" si="31"/>
        <v/>
      </c>
      <c r="AO195" s="76" t="str">
        <f t="shared" si="32"/>
        <v/>
      </c>
      <c r="AP195" s="76" t="str">
        <f t="shared" si="33"/>
        <v/>
      </c>
    </row>
    <row r="196" ht="15.75" customHeight="1">
      <c r="A196" s="76" t="str">
        <f>IF('Manual Entry'!A168="","",'Manual Entry'!A168)</f>
        <v/>
      </c>
      <c r="B196" s="76" t="str">
        <f t="shared" si="3"/>
        <v/>
      </c>
      <c r="C196" s="76" t="str">
        <f t="shared" si="4"/>
        <v/>
      </c>
      <c r="D196" s="76" t="str">
        <f>'Manual Entry'!D168</f>
        <v/>
      </c>
      <c r="E196" s="76" t="str">
        <f>'Manual Entry'!B168</f>
        <v/>
      </c>
      <c r="F196" s="76" t="str">
        <f>'Manual Entry'!F168</f>
        <v/>
      </c>
      <c r="G196" s="76" t="str">
        <f>'Manual Entry'!G168</f>
        <v/>
      </c>
      <c r="H196" s="76" t="str">
        <f>'Manual Entry'!H168</f>
        <v/>
      </c>
      <c r="I196" s="78" t="str">
        <f>'Manual Entry'!I168</f>
        <v/>
      </c>
      <c r="J196" s="78" t="str">
        <f>'Manual Entry'!J168</f>
        <v/>
      </c>
      <c r="K196" s="78" t="str">
        <f>'Manual Entry'!K168</f>
        <v/>
      </c>
      <c r="L196" s="78" t="str">
        <f>'Manual Entry'!L168</f>
        <v/>
      </c>
      <c r="M196" s="78" t="str">
        <f>'Manual Entry'!M168</f>
        <v/>
      </c>
      <c r="N196" s="78" t="str">
        <f>'Manual Entry'!N168</f>
        <v/>
      </c>
      <c r="O196" s="76">
        <f t="shared" si="6"/>
        <v>0</v>
      </c>
      <c r="P196" s="76">
        <f t="shared" si="7"/>
        <v>0</v>
      </c>
      <c r="Q196" s="76">
        <f t="shared" si="8"/>
        <v>0</v>
      </c>
      <c r="R196" s="76">
        <f t="shared" si="9"/>
        <v>0</v>
      </c>
      <c r="S196" s="76" t="str">
        <f t="shared" si="10"/>
        <v/>
      </c>
      <c r="T196" s="76" t="str">
        <f t="shared" si="11"/>
        <v/>
      </c>
      <c r="U196" s="76" t="str">
        <f t="shared" si="12"/>
        <v/>
      </c>
      <c r="V196" s="76" t="str">
        <f t="shared" si="13"/>
        <v/>
      </c>
      <c r="W196" s="76" t="str">
        <f t="shared" si="14"/>
        <v/>
      </c>
      <c r="X196" s="76" t="str">
        <f t="shared" si="15"/>
        <v/>
      </c>
      <c r="Y196" s="76" t="str">
        <f t="shared" si="16"/>
        <v/>
      </c>
      <c r="Z196" s="76" t="str">
        <f t="shared" si="17"/>
        <v/>
      </c>
      <c r="AA196" s="76" t="str">
        <f t="shared" si="18"/>
        <v/>
      </c>
      <c r="AB196" s="76" t="str">
        <f t="shared" si="19"/>
        <v/>
      </c>
      <c r="AC196" s="76" t="str">
        <f t="shared" si="20"/>
        <v/>
      </c>
      <c r="AD196" s="76" t="str">
        <f t="shared" si="21"/>
        <v/>
      </c>
      <c r="AE196" s="76" t="str">
        <f t="shared" si="22"/>
        <v/>
      </c>
      <c r="AF196" s="76" t="str">
        <f t="shared" si="23"/>
        <v/>
      </c>
      <c r="AG196" s="76" t="str">
        <f t="shared" si="24"/>
        <v/>
      </c>
      <c r="AH196" s="76" t="str">
        <f t="shared" si="25"/>
        <v/>
      </c>
      <c r="AI196" s="76" t="str">
        <f t="shared" si="26"/>
        <v/>
      </c>
      <c r="AJ196" s="76" t="str">
        <f t="shared" si="27"/>
        <v/>
      </c>
      <c r="AK196" s="76" t="str">
        <f t="shared" si="28"/>
        <v/>
      </c>
      <c r="AL196" s="76" t="str">
        <f t="shared" si="29"/>
        <v/>
      </c>
      <c r="AM196" s="76" t="str">
        <f t="shared" si="30"/>
        <v/>
      </c>
      <c r="AN196" s="76" t="str">
        <f t="shared" si="31"/>
        <v/>
      </c>
      <c r="AO196" s="76" t="str">
        <f t="shared" si="32"/>
        <v/>
      </c>
      <c r="AP196" s="76" t="str">
        <f t="shared" si="33"/>
        <v/>
      </c>
    </row>
    <row r="197" ht="15.75" customHeight="1">
      <c r="A197" s="76" t="str">
        <f>IF('Manual Entry'!A169="","",'Manual Entry'!A169)</f>
        <v/>
      </c>
      <c r="B197" s="76" t="str">
        <f t="shared" si="3"/>
        <v/>
      </c>
      <c r="C197" s="76" t="str">
        <f t="shared" si="4"/>
        <v/>
      </c>
      <c r="D197" s="76" t="str">
        <f>'Manual Entry'!D169</f>
        <v/>
      </c>
      <c r="E197" s="76" t="str">
        <f>'Manual Entry'!B169</f>
        <v/>
      </c>
      <c r="F197" s="76" t="str">
        <f>'Manual Entry'!F169</f>
        <v/>
      </c>
      <c r="G197" s="76" t="str">
        <f>'Manual Entry'!G169</f>
        <v/>
      </c>
      <c r="H197" s="76" t="str">
        <f>'Manual Entry'!H169</f>
        <v/>
      </c>
      <c r="I197" s="78" t="str">
        <f>'Manual Entry'!I169</f>
        <v/>
      </c>
      <c r="J197" s="78" t="str">
        <f>'Manual Entry'!J169</f>
        <v/>
      </c>
      <c r="K197" s="78" t="str">
        <f>'Manual Entry'!K169</f>
        <v/>
      </c>
      <c r="L197" s="78" t="str">
        <f>'Manual Entry'!L169</f>
        <v/>
      </c>
      <c r="M197" s="78" t="str">
        <f>'Manual Entry'!M169</f>
        <v/>
      </c>
      <c r="N197" s="78" t="str">
        <f>'Manual Entry'!N169</f>
        <v/>
      </c>
      <c r="O197" s="76">
        <f t="shared" si="6"/>
        <v>0</v>
      </c>
      <c r="P197" s="76">
        <f t="shared" si="7"/>
        <v>0</v>
      </c>
      <c r="Q197" s="76">
        <f t="shared" si="8"/>
        <v>0</v>
      </c>
      <c r="R197" s="76">
        <f t="shared" si="9"/>
        <v>0</v>
      </c>
      <c r="S197" s="76" t="str">
        <f t="shared" si="10"/>
        <v/>
      </c>
      <c r="T197" s="76" t="str">
        <f t="shared" si="11"/>
        <v/>
      </c>
      <c r="U197" s="76" t="str">
        <f t="shared" si="12"/>
        <v/>
      </c>
      <c r="V197" s="76" t="str">
        <f t="shared" si="13"/>
        <v/>
      </c>
      <c r="W197" s="76" t="str">
        <f t="shared" si="14"/>
        <v/>
      </c>
      <c r="X197" s="76" t="str">
        <f t="shared" si="15"/>
        <v/>
      </c>
      <c r="Y197" s="76" t="str">
        <f t="shared" si="16"/>
        <v/>
      </c>
      <c r="Z197" s="76" t="str">
        <f t="shared" si="17"/>
        <v/>
      </c>
      <c r="AA197" s="76" t="str">
        <f t="shared" si="18"/>
        <v/>
      </c>
      <c r="AB197" s="76" t="str">
        <f t="shared" si="19"/>
        <v/>
      </c>
      <c r="AC197" s="76" t="str">
        <f t="shared" si="20"/>
        <v/>
      </c>
      <c r="AD197" s="76" t="str">
        <f t="shared" si="21"/>
        <v/>
      </c>
      <c r="AE197" s="76" t="str">
        <f t="shared" si="22"/>
        <v/>
      </c>
      <c r="AF197" s="76" t="str">
        <f t="shared" si="23"/>
        <v/>
      </c>
      <c r="AG197" s="76" t="str">
        <f t="shared" si="24"/>
        <v/>
      </c>
      <c r="AH197" s="76" t="str">
        <f t="shared" si="25"/>
        <v/>
      </c>
      <c r="AI197" s="76" t="str">
        <f t="shared" si="26"/>
        <v/>
      </c>
      <c r="AJ197" s="76" t="str">
        <f t="shared" si="27"/>
        <v/>
      </c>
      <c r="AK197" s="76" t="str">
        <f t="shared" si="28"/>
        <v/>
      </c>
      <c r="AL197" s="76" t="str">
        <f t="shared" si="29"/>
        <v/>
      </c>
      <c r="AM197" s="76" t="str">
        <f t="shared" si="30"/>
        <v/>
      </c>
      <c r="AN197" s="76" t="str">
        <f t="shared" si="31"/>
        <v/>
      </c>
      <c r="AO197" s="76" t="str">
        <f t="shared" si="32"/>
        <v/>
      </c>
      <c r="AP197" s="76" t="str">
        <f t="shared" si="33"/>
        <v/>
      </c>
    </row>
    <row r="198" ht="15.75" customHeight="1">
      <c r="A198" s="76" t="str">
        <f>IF('Manual Entry'!A170="","",'Manual Entry'!A170)</f>
        <v/>
      </c>
      <c r="B198" s="76" t="str">
        <f t="shared" si="3"/>
        <v/>
      </c>
      <c r="C198" s="76" t="str">
        <f t="shared" si="4"/>
        <v/>
      </c>
      <c r="D198" s="76" t="str">
        <f>'Manual Entry'!D170</f>
        <v/>
      </c>
      <c r="E198" s="76" t="str">
        <f>'Manual Entry'!B170</f>
        <v/>
      </c>
      <c r="F198" s="76" t="str">
        <f>'Manual Entry'!F170</f>
        <v/>
      </c>
      <c r="G198" s="76" t="str">
        <f>'Manual Entry'!G170</f>
        <v/>
      </c>
      <c r="H198" s="76" t="str">
        <f>'Manual Entry'!H170</f>
        <v/>
      </c>
      <c r="I198" s="78" t="str">
        <f>'Manual Entry'!I170</f>
        <v/>
      </c>
      <c r="J198" s="78" t="str">
        <f>'Manual Entry'!J170</f>
        <v/>
      </c>
      <c r="K198" s="78" t="str">
        <f>'Manual Entry'!K170</f>
        <v/>
      </c>
      <c r="L198" s="78" t="str">
        <f>'Manual Entry'!L170</f>
        <v/>
      </c>
      <c r="M198" s="78" t="str">
        <f>'Manual Entry'!M170</f>
        <v/>
      </c>
      <c r="N198" s="78" t="str">
        <f>'Manual Entry'!N170</f>
        <v/>
      </c>
      <c r="O198" s="76">
        <f t="shared" si="6"/>
        <v>0</v>
      </c>
      <c r="P198" s="76">
        <f t="shared" si="7"/>
        <v>0</v>
      </c>
      <c r="Q198" s="76">
        <f t="shared" si="8"/>
        <v>0</v>
      </c>
      <c r="R198" s="76">
        <f t="shared" si="9"/>
        <v>0</v>
      </c>
      <c r="S198" s="76" t="str">
        <f t="shared" si="10"/>
        <v/>
      </c>
      <c r="T198" s="76" t="str">
        <f t="shared" si="11"/>
        <v/>
      </c>
      <c r="U198" s="76" t="str">
        <f t="shared" si="12"/>
        <v/>
      </c>
      <c r="V198" s="76" t="str">
        <f t="shared" si="13"/>
        <v/>
      </c>
      <c r="W198" s="76" t="str">
        <f t="shared" si="14"/>
        <v/>
      </c>
      <c r="X198" s="76" t="str">
        <f t="shared" si="15"/>
        <v/>
      </c>
      <c r="Y198" s="76" t="str">
        <f t="shared" si="16"/>
        <v/>
      </c>
      <c r="Z198" s="76" t="str">
        <f t="shared" si="17"/>
        <v/>
      </c>
      <c r="AA198" s="76" t="str">
        <f t="shared" si="18"/>
        <v/>
      </c>
      <c r="AB198" s="76" t="str">
        <f t="shared" si="19"/>
        <v/>
      </c>
      <c r="AC198" s="76" t="str">
        <f t="shared" si="20"/>
        <v/>
      </c>
      <c r="AD198" s="76" t="str">
        <f t="shared" si="21"/>
        <v/>
      </c>
      <c r="AE198" s="76" t="str">
        <f t="shared" si="22"/>
        <v/>
      </c>
      <c r="AF198" s="76" t="str">
        <f t="shared" si="23"/>
        <v/>
      </c>
      <c r="AG198" s="76" t="str">
        <f t="shared" si="24"/>
        <v/>
      </c>
      <c r="AH198" s="76" t="str">
        <f t="shared" si="25"/>
        <v/>
      </c>
      <c r="AI198" s="76" t="str">
        <f t="shared" si="26"/>
        <v/>
      </c>
      <c r="AJ198" s="76" t="str">
        <f t="shared" si="27"/>
        <v/>
      </c>
      <c r="AK198" s="76" t="str">
        <f t="shared" si="28"/>
        <v/>
      </c>
      <c r="AL198" s="76" t="str">
        <f t="shared" si="29"/>
        <v/>
      </c>
      <c r="AM198" s="76" t="str">
        <f t="shared" si="30"/>
        <v/>
      </c>
      <c r="AN198" s="76" t="str">
        <f t="shared" si="31"/>
        <v/>
      </c>
      <c r="AO198" s="76" t="str">
        <f t="shared" si="32"/>
        <v/>
      </c>
      <c r="AP198" s="76" t="str">
        <f t="shared" si="33"/>
        <v/>
      </c>
    </row>
    <row r="199" ht="15.75" customHeight="1">
      <c r="A199" s="76" t="str">
        <f>IF('Manual Entry'!A171="","",'Manual Entry'!A171)</f>
        <v/>
      </c>
      <c r="B199" s="76" t="str">
        <f t="shared" si="3"/>
        <v/>
      </c>
      <c r="C199" s="76" t="str">
        <f t="shared" si="4"/>
        <v/>
      </c>
      <c r="D199" s="76" t="str">
        <f>'Manual Entry'!D171</f>
        <v/>
      </c>
      <c r="E199" s="76" t="str">
        <f>'Manual Entry'!B171</f>
        <v/>
      </c>
      <c r="F199" s="76" t="str">
        <f>'Manual Entry'!F171</f>
        <v/>
      </c>
      <c r="G199" s="76" t="str">
        <f>'Manual Entry'!G171</f>
        <v/>
      </c>
      <c r="H199" s="76" t="str">
        <f>'Manual Entry'!H171</f>
        <v/>
      </c>
      <c r="I199" s="78" t="str">
        <f>'Manual Entry'!I171</f>
        <v/>
      </c>
      <c r="J199" s="78" t="str">
        <f>'Manual Entry'!J171</f>
        <v/>
      </c>
      <c r="K199" s="78" t="str">
        <f>'Manual Entry'!K171</f>
        <v/>
      </c>
      <c r="L199" s="78" t="str">
        <f>'Manual Entry'!L171</f>
        <v/>
      </c>
      <c r="M199" s="78" t="str">
        <f>'Manual Entry'!M171</f>
        <v/>
      </c>
      <c r="N199" s="78" t="str">
        <f>'Manual Entry'!N171</f>
        <v/>
      </c>
      <c r="O199" s="76">
        <f t="shared" si="6"/>
        <v>0</v>
      </c>
      <c r="P199" s="76">
        <f t="shared" si="7"/>
        <v>0</v>
      </c>
      <c r="Q199" s="76">
        <f t="shared" si="8"/>
        <v>0</v>
      </c>
      <c r="R199" s="76">
        <f t="shared" si="9"/>
        <v>0</v>
      </c>
      <c r="S199" s="76" t="str">
        <f t="shared" si="10"/>
        <v/>
      </c>
      <c r="T199" s="76" t="str">
        <f t="shared" si="11"/>
        <v/>
      </c>
      <c r="U199" s="76" t="str">
        <f t="shared" si="12"/>
        <v/>
      </c>
      <c r="V199" s="76" t="str">
        <f t="shared" si="13"/>
        <v/>
      </c>
      <c r="W199" s="76" t="str">
        <f t="shared" si="14"/>
        <v/>
      </c>
      <c r="X199" s="76" t="str">
        <f t="shared" si="15"/>
        <v/>
      </c>
      <c r="Y199" s="76" t="str">
        <f t="shared" si="16"/>
        <v/>
      </c>
      <c r="Z199" s="76" t="str">
        <f t="shared" si="17"/>
        <v/>
      </c>
      <c r="AA199" s="76" t="str">
        <f t="shared" si="18"/>
        <v/>
      </c>
      <c r="AB199" s="76" t="str">
        <f t="shared" si="19"/>
        <v/>
      </c>
      <c r="AC199" s="76" t="str">
        <f t="shared" si="20"/>
        <v/>
      </c>
      <c r="AD199" s="76" t="str">
        <f t="shared" si="21"/>
        <v/>
      </c>
      <c r="AE199" s="76" t="str">
        <f t="shared" si="22"/>
        <v/>
      </c>
      <c r="AF199" s="76" t="str">
        <f t="shared" si="23"/>
        <v/>
      </c>
      <c r="AG199" s="76" t="str">
        <f t="shared" si="24"/>
        <v/>
      </c>
      <c r="AH199" s="76" t="str">
        <f t="shared" si="25"/>
        <v/>
      </c>
      <c r="AI199" s="76" t="str">
        <f t="shared" si="26"/>
        <v/>
      </c>
      <c r="AJ199" s="76" t="str">
        <f t="shared" si="27"/>
        <v/>
      </c>
      <c r="AK199" s="76" t="str">
        <f t="shared" si="28"/>
        <v/>
      </c>
      <c r="AL199" s="76" t="str">
        <f t="shared" si="29"/>
        <v/>
      </c>
      <c r="AM199" s="76" t="str">
        <f t="shared" si="30"/>
        <v/>
      </c>
      <c r="AN199" s="76" t="str">
        <f t="shared" si="31"/>
        <v/>
      </c>
      <c r="AO199" s="76" t="str">
        <f t="shared" si="32"/>
        <v/>
      </c>
      <c r="AP199" s="76" t="str">
        <f t="shared" si="33"/>
        <v/>
      </c>
    </row>
    <row r="200" ht="15.75" customHeight="1">
      <c r="A200" s="76" t="str">
        <f>IF('Manual Entry'!A172="","",'Manual Entry'!A172)</f>
        <v/>
      </c>
      <c r="B200" s="76" t="str">
        <f t="shared" si="3"/>
        <v/>
      </c>
      <c r="C200" s="76" t="str">
        <f t="shared" si="4"/>
        <v/>
      </c>
      <c r="D200" s="76" t="str">
        <f>'Manual Entry'!D172</f>
        <v/>
      </c>
      <c r="E200" s="76" t="str">
        <f>'Manual Entry'!B172</f>
        <v/>
      </c>
      <c r="F200" s="76" t="str">
        <f>'Manual Entry'!F172</f>
        <v/>
      </c>
      <c r="G200" s="76" t="str">
        <f>'Manual Entry'!G172</f>
        <v/>
      </c>
      <c r="H200" s="76" t="str">
        <f>'Manual Entry'!H172</f>
        <v/>
      </c>
      <c r="I200" s="78" t="str">
        <f>'Manual Entry'!I172</f>
        <v/>
      </c>
      <c r="J200" s="78" t="str">
        <f>'Manual Entry'!J172</f>
        <v/>
      </c>
      <c r="K200" s="78" t="str">
        <f>'Manual Entry'!K172</f>
        <v/>
      </c>
      <c r="L200" s="78" t="str">
        <f>'Manual Entry'!L172</f>
        <v/>
      </c>
      <c r="M200" s="78" t="str">
        <f>'Manual Entry'!M172</f>
        <v/>
      </c>
      <c r="N200" s="78" t="str">
        <f>'Manual Entry'!N172</f>
        <v/>
      </c>
      <c r="O200" s="76">
        <f t="shared" si="6"/>
        <v>0</v>
      </c>
      <c r="P200" s="76">
        <f t="shared" si="7"/>
        <v>0</v>
      </c>
      <c r="Q200" s="76">
        <f t="shared" si="8"/>
        <v>0</v>
      </c>
      <c r="R200" s="76">
        <f t="shared" si="9"/>
        <v>0</v>
      </c>
      <c r="S200" s="76" t="str">
        <f t="shared" si="10"/>
        <v/>
      </c>
      <c r="T200" s="76" t="str">
        <f t="shared" si="11"/>
        <v/>
      </c>
      <c r="U200" s="76" t="str">
        <f t="shared" si="12"/>
        <v/>
      </c>
      <c r="V200" s="76" t="str">
        <f t="shared" si="13"/>
        <v/>
      </c>
      <c r="W200" s="76" t="str">
        <f t="shared" si="14"/>
        <v/>
      </c>
      <c r="X200" s="76" t="str">
        <f t="shared" si="15"/>
        <v/>
      </c>
      <c r="Y200" s="76" t="str">
        <f t="shared" si="16"/>
        <v/>
      </c>
      <c r="Z200" s="76" t="str">
        <f t="shared" si="17"/>
        <v/>
      </c>
      <c r="AA200" s="76" t="str">
        <f t="shared" si="18"/>
        <v/>
      </c>
      <c r="AB200" s="76" t="str">
        <f t="shared" si="19"/>
        <v/>
      </c>
      <c r="AC200" s="76" t="str">
        <f t="shared" si="20"/>
        <v/>
      </c>
      <c r="AD200" s="76" t="str">
        <f t="shared" si="21"/>
        <v/>
      </c>
      <c r="AE200" s="76" t="str">
        <f t="shared" si="22"/>
        <v/>
      </c>
      <c r="AF200" s="76" t="str">
        <f t="shared" si="23"/>
        <v/>
      </c>
      <c r="AG200" s="76" t="str">
        <f t="shared" si="24"/>
        <v/>
      </c>
      <c r="AH200" s="76" t="str">
        <f t="shared" si="25"/>
        <v/>
      </c>
      <c r="AI200" s="76" t="str">
        <f t="shared" si="26"/>
        <v/>
      </c>
      <c r="AJ200" s="76" t="str">
        <f t="shared" si="27"/>
        <v/>
      </c>
      <c r="AK200" s="76" t="str">
        <f t="shared" si="28"/>
        <v/>
      </c>
      <c r="AL200" s="76" t="str">
        <f t="shared" si="29"/>
        <v/>
      </c>
      <c r="AM200" s="76" t="str">
        <f t="shared" si="30"/>
        <v/>
      </c>
      <c r="AN200" s="76" t="str">
        <f t="shared" si="31"/>
        <v/>
      </c>
      <c r="AO200" s="76" t="str">
        <f t="shared" si="32"/>
        <v/>
      </c>
      <c r="AP200" s="76" t="str">
        <f t="shared" si="33"/>
        <v/>
      </c>
    </row>
    <row r="201" ht="15.75" customHeight="1">
      <c r="A201" s="76" t="str">
        <f>IF('Manual Entry'!A173="","",'Manual Entry'!A173)</f>
        <v/>
      </c>
      <c r="B201" s="76" t="str">
        <f t="shared" si="3"/>
        <v/>
      </c>
      <c r="C201" s="76" t="str">
        <f t="shared" si="4"/>
        <v/>
      </c>
      <c r="D201" s="76" t="str">
        <f>'Manual Entry'!D173</f>
        <v/>
      </c>
      <c r="E201" s="76" t="str">
        <f>'Manual Entry'!B173</f>
        <v/>
      </c>
      <c r="F201" s="76" t="str">
        <f>'Manual Entry'!F173</f>
        <v/>
      </c>
      <c r="G201" s="76" t="str">
        <f>'Manual Entry'!G173</f>
        <v/>
      </c>
      <c r="H201" s="76" t="str">
        <f>'Manual Entry'!H173</f>
        <v/>
      </c>
      <c r="I201" s="78" t="str">
        <f>'Manual Entry'!I173</f>
        <v/>
      </c>
      <c r="J201" s="78" t="str">
        <f>'Manual Entry'!J173</f>
        <v/>
      </c>
      <c r="K201" s="78" t="str">
        <f>'Manual Entry'!K173</f>
        <v/>
      </c>
      <c r="L201" s="78" t="str">
        <f>'Manual Entry'!L173</f>
        <v/>
      </c>
      <c r="M201" s="78" t="str">
        <f>'Manual Entry'!M173</f>
        <v/>
      </c>
      <c r="N201" s="78" t="str">
        <f>'Manual Entry'!N173</f>
        <v/>
      </c>
      <c r="O201" s="76">
        <f t="shared" si="6"/>
        <v>0</v>
      </c>
      <c r="P201" s="76">
        <f t="shared" si="7"/>
        <v>0</v>
      </c>
      <c r="Q201" s="76">
        <f t="shared" si="8"/>
        <v>0</v>
      </c>
      <c r="R201" s="76">
        <f t="shared" si="9"/>
        <v>0</v>
      </c>
      <c r="S201" s="76" t="str">
        <f t="shared" si="10"/>
        <v/>
      </c>
      <c r="T201" s="76" t="str">
        <f t="shared" si="11"/>
        <v/>
      </c>
      <c r="U201" s="76" t="str">
        <f t="shared" si="12"/>
        <v/>
      </c>
      <c r="V201" s="76" t="str">
        <f t="shared" si="13"/>
        <v/>
      </c>
      <c r="W201" s="76" t="str">
        <f t="shared" si="14"/>
        <v/>
      </c>
      <c r="X201" s="76" t="str">
        <f t="shared" si="15"/>
        <v/>
      </c>
      <c r="Y201" s="76" t="str">
        <f t="shared" si="16"/>
        <v/>
      </c>
      <c r="Z201" s="76" t="str">
        <f t="shared" si="17"/>
        <v/>
      </c>
      <c r="AA201" s="76" t="str">
        <f t="shared" si="18"/>
        <v/>
      </c>
      <c r="AB201" s="76" t="str">
        <f t="shared" si="19"/>
        <v/>
      </c>
      <c r="AC201" s="76" t="str">
        <f t="shared" si="20"/>
        <v/>
      </c>
      <c r="AD201" s="76" t="str">
        <f t="shared" si="21"/>
        <v/>
      </c>
      <c r="AE201" s="76" t="str">
        <f t="shared" si="22"/>
        <v/>
      </c>
      <c r="AF201" s="76" t="str">
        <f t="shared" si="23"/>
        <v/>
      </c>
      <c r="AG201" s="76" t="str">
        <f t="shared" si="24"/>
        <v/>
      </c>
      <c r="AH201" s="76" t="str">
        <f t="shared" si="25"/>
        <v/>
      </c>
      <c r="AI201" s="76" t="str">
        <f t="shared" si="26"/>
        <v/>
      </c>
      <c r="AJ201" s="76" t="str">
        <f t="shared" si="27"/>
        <v/>
      </c>
      <c r="AK201" s="76" t="str">
        <f t="shared" si="28"/>
        <v/>
      </c>
      <c r="AL201" s="76" t="str">
        <f t="shared" si="29"/>
        <v/>
      </c>
      <c r="AM201" s="76" t="str">
        <f t="shared" si="30"/>
        <v/>
      </c>
      <c r="AN201" s="76" t="str">
        <f t="shared" si="31"/>
        <v/>
      </c>
      <c r="AO201" s="76" t="str">
        <f t="shared" si="32"/>
        <v/>
      </c>
      <c r="AP201" s="76" t="str">
        <f t="shared" si="33"/>
        <v/>
      </c>
    </row>
    <row r="202" ht="15.75" customHeight="1">
      <c r="A202" s="76" t="str">
        <f>IF('Manual Entry'!A174="","",'Manual Entry'!A174)</f>
        <v/>
      </c>
      <c r="B202" s="76" t="str">
        <f t="shared" si="3"/>
        <v/>
      </c>
      <c r="C202" s="76" t="str">
        <f t="shared" si="4"/>
        <v/>
      </c>
      <c r="D202" s="76" t="str">
        <f>'Manual Entry'!D174</f>
        <v/>
      </c>
      <c r="E202" s="76" t="str">
        <f>'Manual Entry'!B174</f>
        <v/>
      </c>
      <c r="F202" s="76" t="str">
        <f>'Manual Entry'!F174</f>
        <v/>
      </c>
      <c r="G202" s="76" t="str">
        <f>'Manual Entry'!G174</f>
        <v/>
      </c>
      <c r="H202" s="76" t="str">
        <f>'Manual Entry'!H174</f>
        <v/>
      </c>
      <c r="I202" s="78" t="str">
        <f>'Manual Entry'!I174</f>
        <v/>
      </c>
      <c r="J202" s="78" t="str">
        <f>'Manual Entry'!J174</f>
        <v/>
      </c>
      <c r="K202" s="78" t="str">
        <f>'Manual Entry'!K174</f>
        <v/>
      </c>
      <c r="L202" s="78" t="str">
        <f>'Manual Entry'!L174</f>
        <v/>
      </c>
      <c r="M202" s="78" t="str">
        <f>'Manual Entry'!M174</f>
        <v/>
      </c>
      <c r="N202" s="78" t="str">
        <f>'Manual Entry'!N174</f>
        <v/>
      </c>
      <c r="O202" s="76">
        <f t="shared" si="6"/>
        <v>0</v>
      </c>
      <c r="P202" s="76">
        <f t="shared" si="7"/>
        <v>0</v>
      </c>
      <c r="Q202" s="76">
        <f t="shared" si="8"/>
        <v>0</v>
      </c>
      <c r="R202" s="76">
        <f t="shared" si="9"/>
        <v>0</v>
      </c>
      <c r="S202" s="76" t="str">
        <f t="shared" si="10"/>
        <v/>
      </c>
      <c r="T202" s="76" t="str">
        <f t="shared" si="11"/>
        <v/>
      </c>
      <c r="U202" s="76" t="str">
        <f t="shared" si="12"/>
        <v/>
      </c>
      <c r="V202" s="76" t="str">
        <f t="shared" si="13"/>
        <v/>
      </c>
      <c r="W202" s="76" t="str">
        <f t="shared" si="14"/>
        <v/>
      </c>
      <c r="X202" s="76" t="str">
        <f t="shared" si="15"/>
        <v/>
      </c>
      <c r="Y202" s="76" t="str">
        <f t="shared" si="16"/>
        <v/>
      </c>
      <c r="Z202" s="76" t="str">
        <f t="shared" si="17"/>
        <v/>
      </c>
      <c r="AA202" s="76" t="str">
        <f t="shared" si="18"/>
        <v/>
      </c>
      <c r="AB202" s="76" t="str">
        <f t="shared" si="19"/>
        <v/>
      </c>
      <c r="AC202" s="76" t="str">
        <f t="shared" si="20"/>
        <v/>
      </c>
      <c r="AD202" s="76" t="str">
        <f t="shared" si="21"/>
        <v/>
      </c>
      <c r="AE202" s="76" t="str">
        <f t="shared" si="22"/>
        <v/>
      </c>
      <c r="AF202" s="76" t="str">
        <f t="shared" si="23"/>
        <v/>
      </c>
      <c r="AG202" s="76" t="str">
        <f t="shared" si="24"/>
        <v/>
      </c>
      <c r="AH202" s="76" t="str">
        <f t="shared" si="25"/>
        <v/>
      </c>
      <c r="AI202" s="76" t="str">
        <f t="shared" si="26"/>
        <v/>
      </c>
      <c r="AJ202" s="76" t="str">
        <f t="shared" si="27"/>
        <v/>
      </c>
      <c r="AK202" s="76" t="str">
        <f t="shared" si="28"/>
        <v/>
      </c>
      <c r="AL202" s="76" t="str">
        <f t="shared" si="29"/>
        <v/>
      </c>
      <c r="AM202" s="76" t="str">
        <f t="shared" si="30"/>
        <v/>
      </c>
      <c r="AN202" s="76" t="str">
        <f t="shared" si="31"/>
        <v/>
      </c>
      <c r="AO202" s="76" t="str">
        <f t="shared" si="32"/>
        <v/>
      </c>
      <c r="AP202" s="76" t="str">
        <f t="shared" si="33"/>
        <v/>
      </c>
    </row>
    <row r="203" ht="15.75" customHeight="1">
      <c r="A203" s="76" t="str">
        <f>IF('Manual Entry'!A175="","",'Manual Entry'!A175)</f>
        <v/>
      </c>
      <c r="B203" s="76" t="str">
        <f t="shared" si="3"/>
        <v/>
      </c>
      <c r="C203" s="76" t="str">
        <f t="shared" si="4"/>
        <v/>
      </c>
      <c r="D203" s="76" t="str">
        <f>'Manual Entry'!D175</f>
        <v/>
      </c>
      <c r="E203" s="76" t="str">
        <f>'Manual Entry'!B175</f>
        <v/>
      </c>
      <c r="F203" s="76" t="str">
        <f>'Manual Entry'!F175</f>
        <v/>
      </c>
      <c r="G203" s="76" t="str">
        <f>'Manual Entry'!G175</f>
        <v/>
      </c>
      <c r="H203" s="76" t="str">
        <f>'Manual Entry'!H175</f>
        <v/>
      </c>
      <c r="I203" s="78" t="str">
        <f>'Manual Entry'!I175</f>
        <v/>
      </c>
      <c r="J203" s="78" t="str">
        <f>'Manual Entry'!J175</f>
        <v/>
      </c>
      <c r="K203" s="78" t="str">
        <f>'Manual Entry'!K175</f>
        <v/>
      </c>
      <c r="L203" s="78" t="str">
        <f>'Manual Entry'!L175</f>
        <v/>
      </c>
      <c r="M203" s="78" t="str">
        <f>'Manual Entry'!M175</f>
        <v/>
      </c>
      <c r="N203" s="78" t="str">
        <f>'Manual Entry'!N175</f>
        <v/>
      </c>
      <c r="O203" s="76">
        <f t="shared" si="6"/>
        <v>0</v>
      </c>
      <c r="P203" s="76">
        <f t="shared" si="7"/>
        <v>0</v>
      </c>
      <c r="Q203" s="76">
        <f t="shared" si="8"/>
        <v>0</v>
      </c>
      <c r="R203" s="76">
        <f t="shared" si="9"/>
        <v>0</v>
      </c>
      <c r="S203" s="76" t="str">
        <f t="shared" si="10"/>
        <v/>
      </c>
      <c r="T203" s="76" t="str">
        <f t="shared" si="11"/>
        <v/>
      </c>
      <c r="U203" s="76" t="str">
        <f t="shared" si="12"/>
        <v/>
      </c>
      <c r="V203" s="76" t="str">
        <f t="shared" si="13"/>
        <v/>
      </c>
      <c r="W203" s="76" t="str">
        <f t="shared" si="14"/>
        <v/>
      </c>
      <c r="X203" s="76" t="str">
        <f t="shared" si="15"/>
        <v/>
      </c>
      <c r="Y203" s="76" t="str">
        <f t="shared" si="16"/>
        <v/>
      </c>
      <c r="Z203" s="76" t="str">
        <f t="shared" si="17"/>
        <v/>
      </c>
      <c r="AA203" s="76" t="str">
        <f t="shared" si="18"/>
        <v/>
      </c>
      <c r="AB203" s="76" t="str">
        <f t="shared" si="19"/>
        <v/>
      </c>
      <c r="AC203" s="76" t="str">
        <f t="shared" si="20"/>
        <v/>
      </c>
      <c r="AD203" s="76" t="str">
        <f t="shared" si="21"/>
        <v/>
      </c>
      <c r="AE203" s="76" t="str">
        <f t="shared" si="22"/>
        <v/>
      </c>
      <c r="AF203" s="76" t="str">
        <f t="shared" si="23"/>
        <v/>
      </c>
      <c r="AG203" s="76" t="str">
        <f t="shared" si="24"/>
        <v/>
      </c>
      <c r="AH203" s="76" t="str">
        <f t="shared" si="25"/>
        <v/>
      </c>
      <c r="AI203" s="76" t="str">
        <f t="shared" si="26"/>
        <v/>
      </c>
      <c r="AJ203" s="76" t="str">
        <f t="shared" si="27"/>
        <v/>
      </c>
      <c r="AK203" s="76" t="str">
        <f t="shared" si="28"/>
        <v/>
      </c>
      <c r="AL203" s="76" t="str">
        <f t="shared" si="29"/>
        <v/>
      </c>
      <c r="AM203" s="76" t="str">
        <f t="shared" si="30"/>
        <v/>
      </c>
      <c r="AN203" s="76" t="str">
        <f t="shared" si="31"/>
        <v/>
      </c>
      <c r="AO203" s="76" t="str">
        <f t="shared" si="32"/>
        <v/>
      </c>
      <c r="AP203" s="76" t="str">
        <f t="shared" si="33"/>
        <v/>
      </c>
    </row>
    <row r="204" ht="15.75" customHeight="1">
      <c r="A204" s="76" t="str">
        <f>IF('Manual Entry'!A176="","",'Manual Entry'!A176)</f>
        <v/>
      </c>
      <c r="B204" s="76" t="str">
        <f t="shared" si="3"/>
        <v/>
      </c>
      <c r="C204" s="76" t="str">
        <f t="shared" si="4"/>
        <v/>
      </c>
      <c r="D204" s="76" t="str">
        <f>'Manual Entry'!D176</f>
        <v/>
      </c>
      <c r="E204" s="76" t="str">
        <f>'Manual Entry'!B176</f>
        <v/>
      </c>
      <c r="F204" s="76" t="str">
        <f>'Manual Entry'!F176</f>
        <v/>
      </c>
      <c r="G204" s="76" t="str">
        <f>'Manual Entry'!G176</f>
        <v/>
      </c>
      <c r="H204" s="76" t="str">
        <f>'Manual Entry'!H176</f>
        <v/>
      </c>
      <c r="I204" s="78" t="str">
        <f>'Manual Entry'!I176</f>
        <v/>
      </c>
      <c r="J204" s="78" t="str">
        <f>'Manual Entry'!J176</f>
        <v/>
      </c>
      <c r="K204" s="78" t="str">
        <f>'Manual Entry'!K176</f>
        <v/>
      </c>
      <c r="L204" s="78" t="str">
        <f>'Manual Entry'!L176</f>
        <v/>
      </c>
      <c r="M204" s="78" t="str">
        <f>'Manual Entry'!M176</f>
        <v/>
      </c>
      <c r="N204" s="78" t="str">
        <f>'Manual Entry'!N176</f>
        <v/>
      </c>
      <c r="O204" s="76">
        <f t="shared" si="6"/>
        <v>0</v>
      </c>
      <c r="P204" s="76">
        <f t="shared" si="7"/>
        <v>0</v>
      </c>
      <c r="Q204" s="76">
        <f t="shared" si="8"/>
        <v>0</v>
      </c>
      <c r="R204" s="76">
        <f t="shared" si="9"/>
        <v>0</v>
      </c>
      <c r="S204" s="76" t="str">
        <f t="shared" si="10"/>
        <v/>
      </c>
      <c r="T204" s="76" t="str">
        <f t="shared" si="11"/>
        <v/>
      </c>
      <c r="U204" s="76" t="str">
        <f t="shared" si="12"/>
        <v/>
      </c>
      <c r="V204" s="76" t="str">
        <f t="shared" si="13"/>
        <v/>
      </c>
      <c r="W204" s="76" t="str">
        <f t="shared" si="14"/>
        <v/>
      </c>
      <c r="X204" s="76" t="str">
        <f t="shared" si="15"/>
        <v/>
      </c>
      <c r="Y204" s="76" t="str">
        <f t="shared" si="16"/>
        <v/>
      </c>
      <c r="Z204" s="76" t="str">
        <f t="shared" si="17"/>
        <v/>
      </c>
      <c r="AA204" s="76" t="str">
        <f t="shared" si="18"/>
        <v/>
      </c>
      <c r="AB204" s="76" t="str">
        <f t="shared" si="19"/>
        <v/>
      </c>
      <c r="AC204" s="76" t="str">
        <f t="shared" si="20"/>
        <v/>
      </c>
      <c r="AD204" s="76" t="str">
        <f t="shared" si="21"/>
        <v/>
      </c>
      <c r="AE204" s="76" t="str">
        <f t="shared" si="22"/>
        <v/>
      </c>
      <c r="AF204" s="76" t="str">
        <f t="shared" si="23"/>
        <v/>
      </c>
      <c r="AG204" s="76" t="str">
        <f t="shared" si="24"/>
        <v/>
      </c>
      <c r="AH204" s="76" t="str">
        <f t="shared" si="25"/>
        <v/>
      </c>
      <c r="AI204" s="76" t="str">
        <f t="shared" si="26"/>
        <v/>
      </c>
      <c r="AJ204" s="76" t="str">
        <f t="shared" si="27"/>
        <v/>
      </c>
      <c r="AK204" s="76" t="str">
        <f t="shared" si="28"/>
        <v/>
      </c>
      <c r="AL204" s="76" t="str">
        <f t="shared" si="29"/>
        <v/>
      </c>
      <c r="AM204" s="76" t="str">
        <f t="shared" si="30"/>
        <v/>
      </c>
      <c r="AN204" s="76" t="str">
        <f t="shared" si="31"/>
        <v/>
      </c>
      <c r="AO204" s="76" t="str">
        <f t="shared" si="32"/>
        <v/>
      </c>
      <c r="AP204" s="76" t="str">
        <f t="shared" si="33"/>
        <v/>
      </c>
    </row>
    <row r="205" ht="15.75" customHeight="1">
      <c r="A205" s="76" t="str">
        <f>IF('Manual Entry'!A177="","",'Manual Entry'!A177)</f>
        <v/>
      </c>
      <c r="B205" s="76" t="str">
        <f t="shared" si="3"/>
        <v/>
      </c>
      <c r="C205" s="76" t="str">
        <f t="shared" si="4"/>
        <v/>
      </c>
      <c r="D205" s="76" t="str">
        <f>'Manual Entry'!D177</f>
        <v/>
      </c>
      <c r="E205" s="76" t="str">
        <f>'Manual Entry'!B177</f>
        <v/>
      </c>
      <c r="F205" s="76" t="str">
        <f>'Manual Entry'!F177</f>
        <v/>
      </c>
      <c r="G205" s="76" t="str">
        <f>'Manual Entry'!G177</f>
        <v/>
      </c>
      <c r="H205" s="76" t="str">
        <f>'Manual Entry'!H177</f>
        <v/>
      </c>
      <c r="I205" s="78" t="str">
        <f>'Manual Entry'!I177</f>
        <v/>
      </c>
      <c r="J205" s="78" t="str">
        <f>'Manual Entry'!J177</f>
        <v/>
      </c>
      <c r="K205" s="78" t="str">
        <f>'Manual Entry'!K177</f>
        <v/>
      </c>
      <c r="L205" s="78" t="str">
        <f>'Manual Entry'!L177</f>
        <v/>
      </c>
      <c r="M205" s="78" t="str">
        <f>'Manual Entry'!M177</f>
        <v/>
      </c>
      <c r="N205" s="78" t="str">
        <f>'Manual Entry'!N177</f>
        <v/>
      </c>
      <c r="O205" s="76">
        <f t="shared" si="6"/>
        <v>0</v>
      </c>
      <c r="P205" s="76">
        <f t="shared" si="7"/>
        <v>0</v>
      </c>
      <c r="Q205" s="76">
        <f t="shared" si="8"/>
        <v>0</v>
      </c>
      <c r="R205" s="76">
        <f t="shared" si="9"/>
        <v>0</v>
      </c>
      <c r="S205" s="76" t="str">
        <f t="shared" si="10"/>
        <v/>
      </c>
      <c r="T205" s="76" t="str">
        <f t="shared" si="11"/>
        <v/>
      </c>
      <c r="U205" s="76" t="str">
        <f t="shared" si="12"/>
        <v/>
      </c>
      <c r="V205" s="76" t="str">
        <f t="shared" si="13"/>
        <v/>
      </c>
      <c r="W205" s="76" t="str">
        <f t="shared" si="14"/>
        <v/>
      </c>
      <c r="X205" s="76" t="str">
        <f t="shared" si="15"/>
        <v/>
      </c>
      <c r="Y205" s="76" t="str">
        <f t="shared" si="16"/>
        <v/>
      </c>
      <c r="Z205" s="76" t="str">
        <f t="shared" si="17"/>
        <v/>
      </c>
      <c r="AA205" s="76" t="str">
        <f t="shared" si="18"/>
        <v/>
      </c>
      <c r="AB205" s="76" t="str">
        <f t="shared" si="19"/>
        <v/>
      </c>
      <c r="AC205" s="76" t="str">
        <f t="shared" si="20"/>
        <v/>
      </c>
      <c r="AD205" s="76" t="str">
        <f t="shared" si="21"/>
        <v/>
      </c>
      <c r="AE205" s="76" t="str">
        <f t="shared" si="22"/>
        <v/>
      </c>
      <c r="AF205" s="76" t="str">
        <f t="shared" si="23"/>
        <v/>
      </c>
      <c r="AG205" s="76" t="str">
        <f t="shared" si="24"/>
        <v/>
      </c>
      <c r="AH205" s="76" t="str">
        <f t="shared" si="25"/>
        <v/>
      </c>
      <c r="AI205" s="76" t="str">
        <f t="shared" si="26"/>
        <v/>
      </c>
      <c r="AJ205" s="76" t="str">
        <f t="shared" si="27"/>
        <v/>
      </c>
      <c r="AK205" s="76" t="str">
        <f t="shared" si="28"/>
        <v/>
      </c>
      <c r="AL205" s="76" t="str">
        <f t="shared" si="29"/>
        <v/>
      </c>
      <c r="AM205" s="76" t="str">
        <f t="shared" si="30"/>
        <v/>
      </c>
      <c r="AN205" s="76" t="str">
        <f t="shared" si="31"/>
        <v/>
      </c>
      <c r="AO205" s="76" t="str">
        <f t="shared" si="32"/>
        <v/>
      </c>
      <c r="AP205" s="76" t="str">
        <f t="shared" si="33"/>
        <v/>
      </c>
    </row>
    <row r="206" ht="15.75" customHeight="1">
      <c r="A206" s="76" t="str">
        <f>IF('Manual Entry'!A178="","",'Manual Entry'!A178)</f>
        <v/>
      </c>
      <c r="B206" s="76" t="str">
        <f t="shared" si="3"/>
        <v/>
      </c>
      <c r="C206" s="76" t="str">
        <f t="shared" si="4"/>
        <v/>
      </c>
      <c r="D206" s="76" t="str">
        <f>'Manual Entry'!D178</f>
        <v/>
      </c>
      <c r="E206" s="76" t="str">
        <f>'Manual Entry'!B178</f>
        <v/>
      </c>
      <c r="F206" s="76" t="str">
        <f>'Manual Entry'!F178</f>
        <v/>
      </c>
      <c r="G206" s="76" t="str">
        <f>'Manual Entry'!G178</f>
        <v/>
      </c>
      <c r="H206" s="76" t="str">
        <f>'Manual Entry'!H178</f>
        <v/>
      </c>
      <c r="I206" s="78" t="str">
        <f>'Manual Entry'!I178</f>
        <v/>
      </c>
      <c r="J206" s="78" t="str">
        <f>'Manual Entry'!J178</f>
        <v/>
      </c>
      <c r="K206" s="78" t="str">
        <f>'Manual Entry'!K178</f>
        <v/>
      </c>
      <c r="L206" s="78" t="str">
        <f>'Manual Entry'!L178</f>
        <v/>
      </c>
      <c r="M206" s="78" t="str">
        <f>'Manual Entry'!M178</f>
        <v/>
      </c>
      <c r="N206" s="78" t="str">
        <f>'Manual Entry'!N178</f>
        <v/>
      </c>
      <c r="O206" s="76">
        <f t="shared" si="6"/>
        <v>0</v>
      </c>
      <c r="P206" s="76">
        <f t="shared" si="7"/>
        <v>0</v>
      </c>
      <c r="Q206" s="76">
        <f t="shared" si="8"/>
        <v>0</v>
      </c>
      <c r="R206" s="76">
        <f t="shared" si="9"/>
        <v>0</v>
      </c>
      <c r="S206" s="76" t="str">
        <f t="shared" si="10"/>
        <v/>
      </c>
      <c r="T206" s="76" t="str">
        <f t="shared" si="11"/>
        <v/>
      </c>
      <c r="U206" s="76" t="str">
        <f t="shared" si="12"/>
        <v/>
      </c>
      <c r="V206" s="76" t="str">
        <f t="shared" si="13"/>
        <v/>
      </c>
      <c r="W206" s="76" t="str">
        <f t="shared" si="14"/>
        <v/>
      </c>
      <c r="X206" s="76" t="str">
        <f t="shared" si="15"/>
        <v/>
      </c>
      <c r="Y206" s="76" t="str">
        <f t="shared" si="16"/>
        <v/>
      </c>
      <c r="Z206" s="76" t="str">
        <f t="shared" si="17"/>
        <v/>
      </c>
      <c r="AA206" s="76" t="str">
        <f t="shared" si="18"/>
        <v/>
      </c>
      <c r="AB206" s="76" t="str">
        <f t="shared" si="19"/>
        <v/>
      </c>
      <c r="AC206" s="76" t="str">
        <f t="shared" si="20"/>
        <v/>
      </c>
      <c r="AD206" s="76" t="str">
        <f t="shared" si="21"/>
        <v/>
      </c>
      <c r="AE206" s="76" t="str">
        <f t="shared" si="22"/>
        <v/>
      </c>
      <c r="AF206" s="76" t="str">
        <f t="shared" si="23"/>
        <v/>
      </c>
      <c r="AG206" s="76" t="str">
        <f t="shared" si="24"/>
        <v/>
      </c>
      <c r="AH206" s="76" t="str">
        <f t="shared" si="25"/>
        <v/>
      </c>
      <c r="AI206" s="76" t="str">
        <f t="shared" si="26"/>
        <v/>
      </c>
      <c r="AJ206" s="76" t="str">
        <f t="shared" si="27"/>
        <v/>
      </c>
      <c r="AK206" s="76" t="str">
        <f t="shared" si="28"/>
        <v/>
      </c>
      <c r="AL206" s="76" t="str">
        <f t="shared" si="29"/>
        <v/>
      </c>
      <c r="AM206" s="76" t="str">
        <f t="shared" si="30"/>
        <v/>
      </c>
      <c r="AN206" s="76" t="str">
        <f t="shared" si="31"/>
        <v/>
      </c>
      <c r="AO206" s="76" t="str">
        <f t="shared" si="32"/>
        <v/>
      </c>
      <c r="AP206" s="76" t="str">
        <f t="shared" si="33"/>
        <v/>
      </c>
    </row>
    <row r="207" ht="15.75" customHeight="1">
      <c r="A207" s="76" t="str">
        <f>IF('Manual Entry'!A179="","",'Manual Entry'!A179)</f>
        <v/>
      </c>
      <c r="B207" s="76" t="str">
        <f t="shared" si="3"/>
        <v/>
      </c>
      <c r="C207" s="76" t="str">
        <f t="shared" si="4"/>
        <v/>
      </c>
      <c r="D207" s="76" t="str">
        <f>'Manual Entry'!D179</f>
        <v/>
      </c>
      <c r="E207" s="76" t="str">
        <f>'Manual Entry'!B179</f>
        <v/>
      </c>
      <c r="F207" s="76" t="str">
        <f>'Manual Entry'!F179</f>
        <v/>
      </c>
      <c r="G207" s="76" t="str">
        <f>'Manual Entry'!G179</f>
        <v/>
      </c>
      <c r="H207" s="76" t="str">
        <f>'Manual Entry'!H179</f>
        <v/>
      </c>
      <c r="I207" s="78" t="str">
        <f>'Manual Entry'!I179</f>
        <v/>
      </c>
      <c r="J207" s="78" t="str">
        <f>'Manual Entry'!J179</f>
        <v/>
      </c>
      <c r="K207" s="78" t="str">
        <f>'Manual Entry'!K179</f>
        <v/>
      </c>
      <c r="L207" s="78" t="str">
        <f>'Manual Entry'!L179</f>
        <v/>
      </c>
      <c r="M207" s="78" t="str">
        <f>'Manual Entry'!M179</f>
        <v/>
      </c>
      <c r="N207" s="78" t="str">
        <f>'Manual Entry'!N179</f>
        <v/>
      </c>
      <c r="O207" s="76">
        <f t="shared" si="6"/>
        <v>0</v>
      </c>
      <c r="P207" s="76">
        <f t="shared" si="7"/>
        <v>0</v>
      </c>
      <c r="Q207" s="76">
        <f t="shared" si="8"/>
        <v>0</v>
      </c>
      <c r="R207" s="76">
        <f t="shared" si="9"/>
        <v>0</v>
      </c>
      <c r="S207" s="76" t="str">
        <f t="shared" si="10"/>
        <v/>
      </c>
      <c r="T207" s="76" t="str">
        <f t="shared" si="11"/>
        <v/>
      </c>
      <c r="U207" s="76" t="str">
        <f t="shared" si="12"/>
        <v/>
      </c>
      <c r="V207" s="76" t="str">
        <f t="shared" si="13"/>
        <v/>
      </c>
      <c r="W207" s="76" t="str">
        <f t="shared" si="14"/>
        <v/>
      </c>
      <c r="X207" s="76" t="str">
        <f t="shared" si="15"/>
        <v/>
      </c>
      <c r="Y207" s="76" t="str">
        <f t="shared" si="16"/>
        <v/>
      </c>
      <c r="Z207" s="76" t="str">
        <f t="shared" si="17"/>
        <v/>
      </c>
      <c r="AA207" s="76" t="str">
        <f t="shared" si="18"/>
        <v/>
      </c>
      <c r="AB207" s="76" t="str">
        <f t="shared" si="19"/>
        <v/>
      </c>
      <c r="AC207" s="76" t="str">
        <f t="shared" si="20"/>
        <v/>
      </c>
      <c r="AD207" s="76" t="str">
        <f t="shared" si="21"/>
        <v/>
      </c>
      <c r="AE207" s="76" t="str">
        <f t="shared" si="22"/>
        <v/>
      </c>
      <c r="AF207" s="76" t="str">
        <f t="shared" si="23"/>
        <v/>
      </c>
      <c r="AG207" s="76" t="str">
        <f t="shared" si="24"/>
        <v/>
      </c>
      <c r="AH207" s="76" t="str">
        <f t="shared" si="25"/>
        <v/>
      </c>
      <c r="AI207" s="76" t="str">
        <f t="shared" si="26"/>
        <v/>
      </c>
      <c r="AJ207" s="76" t="str">
        <f t="shared" si="27"/>
        <v/>
      </c>
      <c r="AK207" s="76" t="str">
        <f t="shared" si="28"/>
        <v/>
      </c>
      <c r="AL207" s="76" t="str">
        <f t="shared" si="29"/>
        <v/>
      </c>
      <c r="AM207" s="76" t="str">
        <f t="shared" si="30"/>
        <v/>
      </c>
      <c r="AN207" s="76" t="str">
        <f t="shared" si="31"/>
        <v/>
      </c>
      <c r="AO207" s="76" t="str">
        <f t="shared" si="32"/>
        <v/>
      </c>
      <c r="AP207" s="76" t="str">
        <f t="shared" si="33"/>
        <v/>
      </c>
    </row>
    <row r="208" ht="15.75" customHeight="1">
      <c r="A208" s="76" t="str">
        <f>IF('Manual Entry'!A180="","",'Manual Entry'!A180)</f>
        <v/>
      </c>
      <c r="B208" s="76" t="str">
        <f t="shared" si="3"/>
        <v/>
      </c>
      <c r="C208" s="76" t="str">
        <f t="shared" si="4"/>
        <v/>
      </c>
      <c r="D208" s="76" t="str">
        <f>'Manual Entry'!D180</f>
        <v/>
      </c>
      <c r="E208" s="76" t="str">
        <f>'Manual Entry'!B180</f>
        <v/>
      </c>
      <c r="F208" s="76" t="str">
        <f>'Manual Entry'!F180</f>
        <v/>
      </c>
      <c r="G208" s="76" t="str">
        <f>'Manual Entry'!G180</f>
        <v/>
      </c>
      <c r="H208" s="76" t="str">
        <f>'Manual Entry'!H180</f>
        <v/>
      </c>
      <c r="I208" s="78" t="str">
        <f>'Manual Entry'!I180</f>
        <v/>
      </c>
      <c r="J208" s="78" t="str">
        <f>'Manual Entry'!J180</f>
        <v/>
      </c>
      <c r="K208" s="78" t="str">
        <f>'Manual Entry'!K180</f>
        <v/>
      </c>
      <c r="L208" s="78" t="str">
        <f>'Manual Entry'!L180</f>
        <v/>
      </c>
      <c r="M208" s="78" t="str">
        <f>'Manual Entry'!M180</f>
        <v/>
      </c>
      <c r="N208" s="78" t="str">
        <f>'Manual Entry'!N180</f>
        <v/>
      </c>
      <c r="O208" s="76">
        <f t="shared" si="6"/>
        <v>0</v>
      </c>
      <c r="P208" s="76">
        <f t="shared" si="7"/>
        <v>0</v>
      </c>
      <c r="Q208" s="76">
        <f t="shared" si="8"/>
        <v>0</v>
      </c>
      <c r="R208" s="76">
        <f t="shared" si="9"/>
        <v>0</v>
      </c>
      <c r="S208" s="76" t="str">
        <f t="shared" si="10"/>
        <v/>
      </c>
      <c r="T208" s="76" t="str">
        <f t="shared" si="11"/>
        <v/>
      </c>
      <c r="U208" s="76" t="str">
        <f t="shared" si="12"/>
        <v/>
      </c>
      <c r="V208" s="76" t="str">
        <f t="shared" si="13"/>
        <v/>
      </c>
      <c r="W208" s="76" t="str">
        <f t="shared" si="14"/>
        <v/>
      </c>
      <c r="X208" s="76" t="str">
        <f t="shared" si="15"/>
        <v/>
      </c>
      <c r="Y208" s="76" t="str">
        <f t="shared" si="16"/>
        <v/>
      </c>
      <c r="Z208" s="76" t="str">
        <f t="shared" si="17"/>
        <v/>
      </c>
      <c r="AA208" s="76" t="str">
        <f t="shared" si="18"/>
        <v/>
      </c>
      <c r="AB208" s="76" t="str">
        <f t="shared" si="19"/>
        <v/>
      </c>
      <c r="AC208" s="76" t="str">
        <f t="shared" si="20"/>
        <v/>
      </c>
      <c r="AD208" s="76" t="str">
        <f t="shared" si="21"/>
        <v/>
      </c>
      <c r="AE208" s="76" t="str">
        <f t="shared" si="22"/>
        <v/>
      </c>
      <c r="AF208" s="76" t="str">
        <f t="shared" si="23"/>
        <v/>
      </c>
      <c r="AG208" s="76" t="str">
        <f t="shared" si="24"/>
        <v/>
      </c>
      <c r="AH208" s="76" t="str">
        <f t="shared" si="25"/>
        <v/>
      </c>
      <c r="AI208" s="76" t="str">
        <f t="shared" si="26"/>
        <v/>
      </c>
      <c r="AJ208" s="76" t="str">
        <f t="shared" si="27"/>
        <v/>
      </c>
      <c r="AK208" s="76" t="str">
        <f t="shared" si="28"/>
        <v/>
      </c>
      <c r="AL208" s="76" t="str">
        <f t="shared" si="29"/>
        <v/>
      </c>
      <c r="AM208" s="76" t="str">
        <f t="shared" si="30"/>
        <v/>
      </c>
      <c r="AN208" s="76" t="str">
        <f t="shared" si="31"/>
        <v/>
      </c>
      <c r="AO208" s="76" t="str">
        <f t="shared" si="32"/>
        <v/>
      </c>
      <c r="AP208" s="76" t="str">
        <f t="shared" si="33"/>
        <v/>
      </c>
    </row>
    <row r="209" ht="15.75" customHeight="1">
      <c r="A209" s="76" t="str">
        <f>IF('Manual Entry'!A181="","",'Manual Entry'!A181)</f>
        <v/>
      </c>
      <c r="B209" s="76" t="str">
        <f t="shared" si="3"/>
        <v/>
      </c>
      <c r="C209" s="76" t="str">
        <f t="shared" si="4"/>
        <v/>
      </c>
      <c r="D209" s="76" t="str">
        <f>'Manual Entry'!D181</f>
        <v/>
      </c>
      <c r="E209" s="76" t="str">
        <f>'Manual Entry'!B181</f>
        <v/>
      </c>
      <c r="F209" s="76" t="str">
        <f>'Manual Entry'!F181</f>
        <v/>
      </c>
      <c r="G209" s="76" t="str">
        <f>'Manual Entry'!G181</f>
        <v/>
      </c>
      <c r="H209" s="76" t="str">
        <f>'Manual Entry'!H181</f>
        <v/>
      </c>
      <c r="I209" s="78" t="str">
        <f>'Manual Entry'!I181</f>
        <v/>
      </c>
      <c r="J209" s="78" t="str">
        <f>'Manual Entry'!J181</f>
        <v/>
      </c>
      <c r="K209" s="78" t="str">
        <f>'Manual Entry'!K181</f>
        <v/>
      </c>
      <c r="L209" s="78" t="str">
        <f>'Manual Entry'!L181</f>
        <v/>
      </c>
      <c r="M209" s="78" t="str">
        <f>'Manual Entry'!M181</f>
        <v/>
      </c>
      <c r="N209" s="78" t="str">
        <f>'Manual Entry'!N181</f>
        <v/>
      </c>
      <c r="O209" s="76">
        <f t="shared" si="6"/>
        <v>0</v>
      </c>
      <c r="P209" s="76">
        <f t="shared" si="7"/>
        <v>0</v>
      </c>
      <c r="Q209" s="76">
        <f t="shared" si="8"/>
        <v>0</v>
      </c>
      <c r="R209" s="76">
        <f t="shared" si="9"/>
        <v>0</v>
      </c>
      <c r="S209" s="76" t="str">
        <f t="shared" si="10"/>
        <v/>
      </c>
      <c r="T209" s="76" t="str">
        <f t="shared" si="11"/>
        <v/>
      </c>
      <c r="U209" s="76" t="str">
        <f t="shared" si="12"/>
        <v/>
      </c>
      <c r="V209" s="76" t="str">
        <f t="shared" si="13"/>
        <v/>
      </c>
      <c r="W209" s="76" t="str">
        <f t="shared" si="14"/>
        <v/>
      </c>
      <c r="X209" s="76" t="str">
        <f t="shared" si="15"/>
        <v/>
      </c>
      <c r="Y209" s="76" t="str">
        <f t="shared" si="16"/>
        <v/>
      </c>
      <c r="Z209" s="76" t="str">
        <f t="shared" si="17"/>
        <v/>
      </c>
      <c r="AA209" s="76" t="str">
        <f t="shared" si="18"/>
        <v/>
      </c>
      <c r="AB209" s="76" t="str">
        <f t="shared" si="19"/>
        <v/>
      </c>
      <c r="AC209" s="76" t="str">
        <f t="shared" si="20"/>
        <v/>
      </c>
      <c r="AD209" s="76" t="str">
        <f t="shared" si="21"/>
        <v/>
      </c>
      <c r="AE209" s="76" t="str">
        <f t="shared" si="22"/>
        <v/>
      </c>
      <c r="AF209" s="76" t="str">
        <f t="shared" si="23"/>
        <v/>
      </c>
      <c r="AG209" s="76" t="str">
        <f t="shared" si="24"/>
        <v/>
      </c>
      <c r="AH209" s="76" t="str">
        <f t="shared" si="25"/>
        <v/>
      </c>
      <c r="AI209" s="76" t="str">
        <f t="shared" si="26"/>
        <v/>
      </c>
      <c r="AJ209" s="76" t="str">
        <f t="shared" si="27"/>
        <v/>
      </c>
      <c r="AK209" s="76" t="str">
        <f t="shared" si="28"/>
        <v/>
      </c>
      <c r="AL209" s="76" t="str">
        <f t="shared" si="29"/>
        <v/>
      </c>
      <c r="AM209" s="76" t="str">
        <f t="shared" si="30"/>
        <v/>
      </c>
      <c r="AN209" s="76" t="str">
        <f t="shared" si="31"/>
        <v/>
      </c>
      <c r="AO209" s="76" t="str">
        <f t="shared" si="32"/>
        <v/>
      </c>
      <c r="AP209" s="76" t="str">
        <f t="shared" si="33"/>
        <v/>
      </c>
    </row>
    <row r="210" ht="15.75" customHeight="1">
      <c r="A210" s="76" t="str">
        <f>IF('Manual Entry'!A182="","",'Manual Entry'!A182)</f>
        <v/>
      </c>
      <c r="B210" s="76" t="str">
        <f t="shared" si="3"/>
        <v/>
      </c>
      <c r="C210" s="76" t="str">
        <f t="shared" si="4"/>
        <v/>
      </c>
      <c r="D210" s="76" t="str">
        <f>'Manual Entry'!D182</f>
        <v/>
      </c>
      <c r="E210" s="76" t="str">
        <f>'Manual Entry'!B182</f>
        <v/>
      </c>
      <c r="F210" s="76" t="str">
        <f>'Manual Entry'!F182</f>
        <v/>
      </c>
      <c r="G210" s="76" t="str">
        <f>'Manual Entry'!G182</f>
        <v/>
      </c>
      <c r="H210" s="76" t="str">
        <f>'Manual Entry'!H182</f>
        <v/>
      </c>
      <c r="I210" s="78" t="str">
        <f>'Manual Entry'!I182</f>
        <v/>
      </c>
      <c r="J210" s="78" t="str">
        <f>'Manual Entry'!J182</f>
        <v/>
      </c>
      <c r="K210" s="78" t="str">
        <f>'Manual Entry'!K182</f>
        <v/>
      </c>
      <c r="L210" s="78" t="str">
        <f>'Manual Entry'!L182</f>
        <v/>
      </c>
      <c r="M210" s="78" t="str">
        <f>'Manual Entry'!M182</f>
        <v/>
      </c>
      <c r="N210" s="78" t="str">
        <f>'Manual Entry'!N182</f>
        <v/>
      </c>
      <c r="O210" s="76">
        <f t="shared" si="6"/>
        <v>0</v>
      </c>
      <c r="P210" s="76">
        <f t="shared" si="7"/>
        <v>0</v>
      </c>
      <c r="Q210" s="76">
        <f t="shared" si="8"/>
        <v>0</v>
      </c>
      <c r="R210" s="76">
        <f t="shared" si="9"/>
        <v>0</v>
      </c>
      <c r="S210" s="76" t="str">
        <f t="shared" si="10"/>
        <v/>
      </c>
      <c r="T210" s="76" t="str">
        <f t="shared" si="11"/>
        <v/>
      </c>
      <c r="U210" s="76" t="str">
        <f t="shared" si="12"/>
        <v/>
      </c>
      <c r="V210" s="76" t="str">
        <f t="shared" si="13"/>
        <v/>
      </c>
      <c r="W210" s="76" t="str">
        <f t="shared" si="14"/>
        <v/>
      </c>
      <c r="X210" s="76" t="str">
        <f t="shared" si="15"/>
        <v/>
      </c>
      <c r="Y210" s="76" t="str">
        <f t="shared" si="16"/>
        <v/>
      </c>
      <c r="Z210" s="76" t="str">
        <f t="shared" si="17"/>
        <v/>
      </c>
      <c r="AA210" s="76" t="str">
        <f t="shared" si="18"/>
        <v/>
      </c>
      <c r="AB210" s="76" t="str">
        <f t="shared" si="19"/>
        <v/>
      </c>
      <c r="AC210" s="76" t="str">
        <f t="shared" si="20"/>
        <v/>
      </c>
      <c r="AD210" s="76" t="str">
        <f t="shared" si="21"/>
        <v/>
      </c>
      <c r="AE210" s="76" t="str">
        <f t="shared" si="22"/>
        <v/>
      </c>
      <c r="AF210" s="76" t="str">
        <f t="shared" si="23"/>
        <v/>
      </c>
      <c r="AG210" s="76" t="str">
        <f t="shared" si="24"/>
        <v/>
      </c>
      <c r="AH210" s="76" t="str">
        <f t="shared" si="25"/>
        <v/>
      </c>
      <c r="AI210" s="76" t="str">
        <f t="shared" si="26"/>
        <v/>
      </c>
      <c r="AJ210" s="76" t="str">
        <f t="shared" si="27"/>
        <v/>
      </c>
      <c r="AK210" s="76" t="str">
        <f t="shared" si="28"/>
        <v/>
      </c>
      <c r="AL210" s="76" t="str">
        <f t="shared" si="29"/>
        <v/>
      </c>
      <c r="AM210" s="76" t="str">
        <f t="shared" si="30"/>
        <v/>
      </c>
      <c r="AN210" s="76" t="str">
        <f t="shared" si="31"/>
        <v/>
      </c>
      <c r="AO210" s="76" t="str">
        <f t="shared" si="32"/>
        <v/>
      </c>
      <c r="AP210" s="76" t="str">
        <f t="shared" si="33"/>
        <v/>
      </c>
    </row>
    <row r="211" ht="15.75" customHeight="1">
      <c r="A211" s="76" t="str">
        <f>IF('Manual Entry'!A183="","",'Manual Entry'!A183)</f>
        <v/>
      </c>
      <c r="B211" s="76" t="str">
        <f t="shared" si="3"/>
        <v/>
      </c>
      <c r="C211" s="76" t="str">
        <f t="shared" si="4"/>
        <v/>
      </c>
      <c r="D211" s="76" t="str">
        <f>'Manual Entry'!D183</f>
        <v/>
      </c>
      <c r="E211" s="76" t="str">
        <f>'Manual Entry'!B183</f>
        <v/>
      </c>
      <c r="F211" s="76" t="str">
        <f>'Manual Entry'!F183</f>
        <v/>
      </c>
      <c r="G211" s="76" t="str">
        <f>'Manual Entry'!G183</f>
        <v/>
      </c>
      <c r="H211" s="76" t="str">
        <f>'Manual Entry'!H183</f>
        <v/>
      </c>
      <c r="I211" s="78" t="str">
        <f>'Manual Entry'!I183</f>
        <v/>
      </c>
      <c r="J211" s="78" t="str">
        <f>'Manual Entry'!J183</f>
        <v/>
      </c>
      <c r="K211" s="78" t="str">
        <f>'Manual Entry'!K183</f>
        <v/>
      </c>
      <c r="L211" s="78" t="str">
        <f>'Manual Entry'!L183</f>
        <v/>
      </c>
      <c r="M211" s="78" t="str">
        <f>'Manual Entry'!M183</f>
        <v/>
      </c>
      <c r="N211" s="78" t="str">
        <f>'Manual Entry'!N183</f>
        <v/>
      </c>
      <c r="O211" s="76">
        <f t="shared" si="6"/>
        <v>0</v>
      </c>
      <c r="P211" s="76">
        <f t="shared" si="7"/>
        <v>0</v>
      </c>
      <c r="Q211" s="76">
        <f t="shared" si="8"/>
        <v>0</v>
      </c>
      <c r="R211" s="76">
        <f t="shared" si="9"/>
        <v>0</v>
      </c>
      <c r="S211" s="76" t="str">
        <f t="shared" si="10"/>
        <v/>
      </c>
      <c r="T211" s="76" t="str">
        <f t="shared" si="11"/>
        <v/>
      </c>
      <c r="U211" s="76" t="str">
        <f t="shared" si="12"/>
        <v/>
      </c>
      <c r="V211" s="76" t="str">
        <f t="shared" si="13"/>
        <v/>
      </c>
      <c r="W211" s="76" t="str">
        <f t="shared" si="14"/>
        <v/>
      </c>
      <c r="X211" s="76" t="str">
        <f t="shared" si="15"/>
        <v/>
      </c>
      <c r="Y211" s="76" t="str">
        <f t="shared" si="16"/>
        <v/>
      </c>
      <c r="Z211" s="76" t="str">
        <f t="shared" si="17"/>
        <v/>
      </c>
      <c r="AA211" s="76" t="str">
        <f t="shared" si="18"/>
        <v/>
      </c>
      <c r="AB211" s="76" t="str">
        <f t="shared" si="19"/>
        <v/>
      </c>
      <c r="AC211" s="76" t="str">
        <f t="shared" si="20"/>
        <v/>
      </c>
      <c r="AD211" s="76" t="str">
        <f t="shared" si="21"/>
        <v/>
      </c>
      <c r="AE211" s="76" t="str">
        <f t="shared" si="22"/>
        <v/>
      </c>
      <c r="AF211" s="76" t="str">
        <f t="shared" si="23"/>
        <v/>
      </c>
      <c r="AG211" s="76" t="str">
        <f t="shared" si="24"/>
        <v/>
      </c>
      <c r="AH211" s="76" t="str">
        <f t="shared" si="25"/>
        <v/>
      </c>
      <c r="AI211" s="76" t="str">
        <f t="shared" si="26"/>
        <v/>
      </c>
      <c r="AJ211" s="76" t="str">
        <f t="shared" si="27"/>
        <v/>
      </c>
      <c r="AK211" s="76" t="str">
        <f t="shared" si="28"/>
        <v/>
      </c>
      <c r="AL211" s="76" t="str">
        <f t="shared" si="29"/>
        <v/>
      </c>
      <c r="AM211" s="76" t="str">
        <f t="shared" si="30"/>
        <v/>
      </c>
      <c r="AN211" s="76" t="str">
        <f t="shared" si="31"/>
        <v/>
      </c>
      <c r="AO211" s="76" t="str">
        <f t="shared" si="32"/>
        <v/>
      </c>
      <c r="AP211" s="76" t="str">
        <f t="shared" si="33"/>
        <v/>
      </c>
    </row>
    <row r="212" ht="15.75" customHeight="1">
      <c r="A212" s="76" t="str">
        <f>IF('Manual Entry'!A184="","",'Manual Entry'!A184)</f>
        <v/>
      </c>
      <c r="B212" s="76" t="str">
        <f t="shared" si="3"/>
        <v/>
      </c>
      <c r="C212" s="76" t="str">
        <f t="shared" si="4"/>
        <v/>
      </c>
      <c r="D212" s="76" t="str">
        <f>'Manual Entry'!D184</f>
        <v/>
      </c>
      <c r="E212" s="76" t="str">
        <f>'Manual Entry'!B184</f>
        <v/>
      </c>
      <c r="F212" s="76" t="str">
        <f>'Manual Entry'!F184</f>
        <v/>
      </c>
      <c r="G212" s="76" t="str">
        <f>'Manual Entry'!G184</f>
        <v/>
      </c>
      <c r="H212" s="76" t="str">
        <f>'Manual Entry'!H184</f>
        <v/>
      </c>
      <c r="I212" s="78" t="str">
        <f>'Manual Entry'!I184</f>
        <v/>
      </c>
      <c r="J212" s="78" t="str">
        <f>'Manual Entry'!J184</f>
        <v/>
      </c>
      <c r="K212" s="78" t="str">
        <f>'Manual Entry'!K184</f>
        <v/>
      </c>
      <c r="L212" s="78" t="str">
        <f>'Manual Entry'!L184</f>
        <v/>
      </c>
      <c r="M212" s="78" t="str">
        <f>'Manual Entry'!M184</f>
        <v/>
      </c>
      <c r="N212" s="78" t="str">
        <f>'Manual Entry'!N184</f>
        <v/>
      </c>
      <c r="O212" s="76">
        <f t="shared" si="6"/>
        <v>0</v>
      </c>
      <c r="P212" s="76">
        <f t="shared" si="7"/>
        <v>0</v>
      </c>
      <c r="Q212" s="76">
        <f t="shared" si="8"/>
        <v>0</v>
      </c>
      <c r="R212" s="76">
        <f t="shared" si="9"/>
        <v>0</v>
      </c>
      <c r="S212" s="76" t="str">
        <f t="shared" si="10"/>
        <v/>
      </c>
      <c r="T212" s="76" t="str">
        <f t="shared" si="11"/>
        <v/>
      </c>
      <c r="U212" s="76" t="str">
        <f t="shared" si="12"/>
        <v/>
      </c>
      <c r="V212" s="76" t="str">
        <f t="shared" si="13"/>
        <v/>
      </c>
      <c r="W212" s="76" t="str">
        <f t="shared" si="14"/>
        <v/>
      </c>
      <c r="X212" s="76" t="str">
        <f t="shared" si="15"/>
        <v/>
      </c>
      <c r="Y212" s="76" t="str">
        <f t="shared" si="16"/>
        <v/>
      </c>
      <c r="Z212" s="76" t="str">
        <f t="shared" si="17"/>
        <v/>
      </c>
      <c r="AA212" s="76" t="str">
        <f t="shared" si="18"/>
        <v/>
      </c>
      <c r="AB212" s="76" t="str">
        <f t="shared" si="19"/>
        <v/>
      </c>
      <c r="AC212" s="76" t="str">
        <f t="shared" si="20"/>
        <v/>
      </c>
      <c r="AD212" s="76" t="str">
        <f t="shared" si="21"/>
        <v/>
      </c>
      <c r="AE212" s="76" t="str">
        <f t="shared" si="22"/>
        <v/>
      </c>
      <c r="AF212" s="76" t="str">
        <f t="shared" si="23"/>
        <v/>
      </c>
      <c r="AG212" s="76" t="str">
        <f t="shared" si="24"/>
        <v/>
      </c>
      <c r="AH212" s="76" t="str">
        <f t="shared" si="25"/>
        <v/>
      </c>
      <c r="AI212" s="76" t="str">
        <f t="shared" si="26"/>
        <v/>
      </c>
      <c r="AJ212" s="76" t="str">
        <f t="shared" si="27"/>
        <v/>
      </c>
      <c r="AK212" s="76" t="str">
        <f t="shared" si="28"/>
        <v/>
      </c>
      <c r="AL212" s="76" t="str">
        <f t="shared" si="29"/>
        <v/>
      </c>
      <c r="AM212" s="76" t="str">
        <f t="shared" si="30"/>
        <v/>
      </c>
      <c r="AN212" s="76" t="str">
        <f t="shared" si="31"/>
        <v/>
      </c>
      <c r="AO212" s="76" t="str">
        <f t="shared" si="32"/>
        <v/>
      </c>
      <c r="AP212" s="76" t="str">
        <f t="shared" si="33"/>
        <v/>
      </c>
    </row>
    <row r="213" ht="15.75" customHeight="1">
      <c r="A213" s="76" t="str">
        <f>IF('Manual Entry'!A185="","",'Manual Entry'!A185)</f>
        <v/>
      </c>
      <c r="B213" s="76" t="str">
        <f t="shared" si="3"/>
        <v/>
      </c>
      <c r="C213" s="76" t="str">
        <f t="shared" si="4"/>
        <v/>
      </c>
      <c r="D213" s="76" t="str">
        <f>'Manual Entry'!D185</f>
        <v/>
      </c>
      <c r="E213" s="76" t="str">
        <f>'Manual Entry'!B185</f>
        <v/>
      </c>
      <c r="F213" s="76" t="str">
        <f>'Manual Entry'!F185</f>
        <v/>
      </c>
      <c r="G213" s="76" t="str">
        <f>'Manual Entry'!G185</f>
        <v/>
      </c>
      <c r="H213" s="76" t="str">
        <f>'Manual Entry'!H185</f>
        <v/>
      </c>
      <c r="I213" s="78" t="str">
        <f>'Manual Entry'!I185</f>
        <v/>
      </c>
      <c r="J213" s="78" t="str">
        <f>'Manual Entry'!J185</f>
        <v/>
      </c>
      <c r="K213" s="78" t="str">
        <f>'Manual Entry'!K185</f>
        <v/>
      </c>
      <c r="L213" s="78" t="str">
        <f>'Manual Entry'!L185</f>
        <v/>
      </c>
      <c r="M213" s="78" t="str">
        <f>'Manual Entry'!M185</f>
        <v/>
      </c>
      <c r="N213" s="78" t="str">
        <f>'Manual Entry'!N185</f>
        <v/>
      </c>
      <c r="O213" s="76">
        <f t="shared" si="6"/>
        <v>0</v>
      </c>
      <c r="P213" s="76">
        <f t="shared" si="7"/>
        <v>0</v>
      </c>
      <c r="Q213" s="76">
        <f t="shared" si="8"/>
        <v>0</v>
      </c>
      <c r="R213" s="76">
        <f t="shared" si="9"/>
        <v>0</v>
      </c>
      <c r="S213" s="76" t="str">
        <f t="shared" si="10"/>
        <v/>
      </c>
      <c r="T213" s="76" t="str">
        <f t="shared" si="11"/>
        <v/>
      </c>
      <c r="U213" s="76" t="str">
        <f t="shared" si="12"/>
        <v/>
      </c>
      <c r="V213" s="76" t="str">
        <f t="shared" si="13"/>
        <v/>
      </c>
      <c r="W213" s="76" t="str">
        <f t="shared" si="14"/>
        <v/>
      </c>
      <c r="X213" s="76" t="str">
        <f t="shared" si="15"/>
        <v/>
      </c>
      <c r="Y213" s="76" t="str">
        <f t="shared" si="16"/>
        <v/>
      </c>
      <c r="Z213" s="76" t="str">
        <f t="shared" si="17"/>
        <v/>
      </c>
      <c r="AA213" s="76" t="str">
        <f t="shared" si="18"/>
        <v/>
      </c>
      <c r="AB213" s="76" t="str">
        <f t="shared" si="19"/>
        <v/>
      </c>
      <c r="AC213" s="76" t="str">
        <f t="shared" si="20"/>
        <v/>
      </c>
      <c r="AD213" s="76" t="str">
        <f t="shared" si="21"/>
        <v/>
      </c>
      <c r="AE213" s="76" t="str">
        <f t="shared" si="22"/>
        <v/>
      </c>
      <c r="AF213" s="76" t="str">
        <f t="shared" si="23"/>
        <v/>
      </c>
      <c r="AG213" s="76" t="str">
        <f t="shared" si="24"/>
        <v/>
      </c>
      <c r="AH213" s="76" t="str">
        <f t="shared" si="25"/>
        <v/>
      </c>
      <c r="AI213" s="76" t="str">
        <f t="shared" si="26"/>
        <v/>
      </c>
      <c r="AJ213" s="76" t="str">
        <f t="shared" si="27"/>
        <v/>
      </c>
      <c r="AK213" s="76" t="str">
        <f t="shared" si="28"/>
        <v/>
      </c>
      <c r="AL213" s="76" t="str">
        <f t="shared" si="29"/>
        <v/>
      </c>
      <c r="AM213" s="76" t="str">
        <f t="shared" si="30"/>
        <v/>
      </c>
      <c r="AN213" s="76" t="str">
        <f t="shared" si="31"/>
        <v/>
      </c>
      <c r="AO213" s="76" t="str">
        <f t="shared" si="32"/>
        <v/>
      </c>
      <c r="AP213" s="76" t="str">
        <f t="shared" si="33"/>
        <v/>
      </c>
    </row>
    <row r="214" ht="15.75" customHeight="1">
      <c r="A214" s="76" t="str">
        <f>IF('Manual Entry'!A186="","",'Manual Entry'!A186)</f>
        <v/>
      </c>
      <c r="B214" s="76" t="str">
        <f t="shared" si="3"/>
        <v/>
      </c>
      <c r="C214" s="76" t="str">
        <f t="shared" si="4"/>
        <v/>
      </c>
      <c r="D214" s="76" t="str">
        <f>'Manual Entry'!D186</f>
        <v/>
      </c>
      <c r="E214" s="76" t="str">
        <f>'Manual Entry'!B186</f>
        <v/>
      </c>
      <c r="F214" s="76" t="str">
        <f>'Manual Entry'!F186</f>
        <v/>
      </c>
      <c r="G214" s="76" t="str">
        <f>'Manual Entry'!G186</f>
        <v/>
      </c>
      <c r="H214" s="76" t="str">
        <f>'Manual Entry'!H186</f>
        <v/>
      </c>
      <c r="I214" s="78" t="str">
        <f>'Manual Entry'!I186</f>
        <v/>
      </c>
      <c r="J214" s="78" t="str">
        <f>'Manual Entry'!J186</f>
        <v/>
      </c>
      <c r="K214" s="78" t="str">
        <f>'Manual Entry'!K186</f>
        <v/>
      </c>
      <c r="L214" s="78" t="str">
        <f>'Manual Entry'!L186</f>
        <v/>
      </c>
      <c r="M214" s="78" t="str">
        <f>'Manual Entry'!M186</f>
        <v/>
      </c>
      <c r="N214" s="78" t="str">
        <f>'Manual Entry'!N186</f>
        <v/>
      </c>
      <c r="O214" s="76">
        <f t="shared" si="6"/>
        <v>0</v>
      </c>
      <c r="P214" s="76">
        <f t="shared" si="7"/>
        <v>0</v>
      </c>
      <c r="Q214" s="76">
        <f t="shared" si="8"/>
        <v>0</v>
      </c>
      <c r="R214" s="76">
        <f t="shared" si="9"/>
        <v>0</v>
      </c>
      <c r="S214" s="76" t="str">
        <f t="shared" si="10"/>
        <v/>
      </c>
      <c r="T214" s="76" t="str">
        <f t="shared" si="11"/>
        <v/>
      </c>
      <c r="U214" s="76" t="str">
        <f t="shared" si="12"/>
        <v/>
      </c>
      <c r="V214" s="76" t="str">
        <f t="shared" si="13"/>
        <v/>
      </c>
      <c r="W214" s="76" t="str">
        <f t="shared" si="14"/>
        <v/>
      </c>
      <c r="X214" s="76" t="str">
        <f t="shared" si="15"/>
        <v/>
      </c>
      <c r="Y214" s="76" t="str">
        <f t="shared" si="16"/>
        <v/>
      </c>
      <c r="Z214" s="76" t="str">
        <f t="shared" si="17"/>
        <v/>
      </c>
      <c r="AA214" s="76" t="str">
        <f t="shared" si="18"/>
        <v/>
      </c>
      <c r="AB214" s="76" t="str">
        <f t="shared" si="19"/>
        <v/>
      </c>
      <c r="AC214" s="76" t="str">
        <f t="shared" si="20"/>
        <v/>
      </c>
      <c r="AD214" s="76" t="str">
        <f t="shared" si="21"/>
        <v/>
      </c>
      <c r="AE214" s="76" t="str">
        <f t="shared" si="22"/>
        <v/>
      </c>
      <c r="AF214" s="76" t="str">
        <f t="shared" si="23"/>
        <v/>
      </c>
      <c r="AG214" s="76" t="str">
        <f t="shared" si="24"/>
        <v/>
      </c>
      <c r="AH214" s="76" t="str">
        <f t="shared" si="25"/>
        <v/>
      </c>
      <c r="AI214" s="76" t="str">
        <f t="shared" si="26"/>
        <v/>
      </c>
      <c r="AJ214" s="76" t="str">
        <f t="shared" si="27"/>
        <v/>
      </c>
      <c r="AK214" s="76" t="str">
        <f t="shared" si="28"/>
        <v/>
      </c>
      <c r="AL214" s="76" t="str">
        <f t="shared" si="29"/>
        <v/>
      </c>
      <c r="AM214" s="76" t="str">
        <f t="shared" si="30"/>
        <v/>
      </c>
      <c r="AN214" s="76" t="str">
        <f t="shared" si="31"/>
        <v/>
      </c>
      <c r="AO214" s="76" t="str">
        <f t="shared" si="32"/>
        <v/>
      </c>
      <c r="AP214" s="76" t="str">
        <f t="shared" si="33"/>
        <v/>
      </c>
    </row>
    <row r="215" ht="15.75" customHeight="1">
      <c r="A215" s="76" t="str">
        <f>IF('Manual Entry'!A187="","",'Manual Entry'!A187)</f>
        <v/>
      </c>
      <c r="B215" s="76" t="str">
        <f t="shared" si="3"/>
        <v/>
      </c>
      <c r="C215" s="76" t="str">
        <f t="shared" si="4"/>
        <v/>
      </c>
      <c r="D215" s="76" t="str">
        <f>'Manual Entry'!D187</f>
        <v/>
      </c>
      <c r="E215" s="76" t="str">
        <f>'Manual Entry'!B187</f>
        <v/>
      </c>
      <c r="F215" s="76" t="str">
        <f>'Manual Entry'!F187</f>
        <v/>
      </c>
      <c r="G215" s="76" t="str">
        <f>'Manual Entry'!G187</f>
        <v/>
      </c>
      <c r="H215" s="76" t="str">
        <f>'Manual Entry'!H187</f>
        <v/>
      </c>
      <c r="I215" s="78" t="str">
        <f>'Manual Entry'!I187</f>
        <v/>
      </c>
      <c r="J215" s="78" t="str">
        <f>'Manual Entry'!J187</f>
        <v/>
      </c>
      <c r="K215" s="78" t="str">
        <f>'Manual Entry'!K187</f>
        <v/>
      </c>
      <c r="L215" s="78" t="str">
        <f>'Manual Entry'!L187</f>
        <v/>
      </c>
      <c r="M215" s="78" t="str">
        <f>'Manual Entry'!M187</f>
        <v/>
      </c>
      <c r="N215" s="78" t="str">
        <f>'Manual Entry'!N187</f>
        <v/>
      </c>
      <c r="O215" s="76">
        <f t="shared" si="6"/>
        <v>0</v>
      </c>
      <c r="P215" s="76">
        <f t="shared" si="7"/>
        <v>0</v>
      </c>
      <c r="Q215" s="76">
        <f t="shared" si="8"/>
        <v>0</v>
      </c>
      <c r="R215" s="76">
        <f t="shared" si="9"/>
        <v>0</v>
      </c>
      <c r="S215" s="76" t="str">
        <f t="shared" si="10"/>
        <v/>
      </c>
      <c r="T215" s="76" t="str">
        <f t="shared" si="11"/>
        <v/>
      </c>
      <c r="U215" s="76" t="str">
        <f t="shared" si="12"/>
        <v/>
      </c>
      <c r="V215" s="76" t="str">
        <f t="shared" si="13"/>
        <v/>
      </c>
      <c r="W215" s="76" t="str">
        <f t="shared" si="14"/>
        <v/>
      </c>
      <c r="X215" s="76" t="str">
        <f t="shared" si="15"/>
        <v/>
      </c>
      <c r="Y215" s="76" t="str">
        <f t="shared" si="16"/>
        <v/>
      </c>
      <c r="Z215" s="76" t="str">
        <f t="shared" si="17"/>
        <v/>
      </c>
      <c r="AA215" s="76" t="str">
        <f t="shared" si="18"/>
        <v/>
      </c>
      <c r="AB215" s="76" t="str">
        <f t="shared" si="19"/>
        <v/>
      </c>
      <c r="AC215" s="76" t="str">
        <f t="shared" si="20"/>
        <v/>
      </c>
      <c r="AD215" s="76" t="str">
        <f t="shared" si="21"/>
        <v/>
      </c>
      <c r="AE215" s="76" t="str">
        <f t="shared" si="22"/>
        <v/>
      </c>
      <c r="AF215" s="76" t="str">
        <f t="shared" si="23"/>
        <v/>
      </c>
      <c r="AG215" s="76" t="str">
        <f t="shared" si="24"/>
        <v/>
      </c>
      <c r="AH215" s="76" t="str">
        <f t="shared" si="25"/>
        <v/>
      </c>
      <c r="AI215" s="76" t="str">
        <f t="shared" si="26"/>
        <v/>
      </c>
      <c r="AJ215" s="76" t="str">
        <f t="shared" si="27"/>
        <v/>
      </c>
      <c r="AK215" s="76" t="str">
        <f t="shared" si="28"/>
        <v/>
      </c>
      <c r="AL215" s="76" t="str">
        <f t="shared" si="29"/>
        <v/>
      </c>
      <c r="AM215" s="76" t="str">
        <f t="shared" si="30"/>
        <v/>
      </c>
      <c r="AN215" s="76" t="str">
        <f t="shared" si="31"/>
        <v/>
      </c>
      <c r="AO215" s="76" t="str">
        <f t="shared" si="32"/>
        <v/>
      </c>
      <c r="AP215" s="76" t="str">
        <f t="shared" si="33"/>
        <v/>
      </c>
    </row>
    <row r="216" ht="15.75" customHeight="1">
      <c r="A216" s="76" t="str">
        <f>IF('Manual Entry'!A188="","",'Manual Entry'!A188)</f>
        <v/>
      </c>
      <c r="B216" s="76" t="str">
        <f t="shared" si="3"/>
        <v/>
      </c>
      <c r="C216" s="76" t="str">
        <f t="shared" si="4"/>
        <v/>
      </c>
      <c r="D216" s="76" t="str">
        <f>'Manual Entry'!D188</f>
        <v/>
      </c>
      <c r="E216" s="76" t="str">
        <f>'Manual Entry'!B188</f>
        <v/>
      </c>
      <c r="F216" s="76" t="str">
        <f>'Manual Entry'!F188</f>
        <v/>
      </c>
      <c r="G216" s="76" t="str">
        <f>'Manual Entry'!G188</f>
        <v/>
      </c>
      <c r="H216" s="76" t="str">
        <f>'Manual Entry'!H188</f>
        <v/>
      </c>
      <c r="I216" s="78" t="str">
        <f>'Manual Entry'!I188</f>
        <v/>
      </c>
      <c r="J216" s="78" t="str">
        <f>'Manual Entry'!J188</f>
        <v/>
      </c>
      <c r="K216" s="78" t="str">
        <f>'Manual Entry'!K188</f>
        <v/>
      </c>
      <c r="L216" s="78" t="str">
        <f>'Manual Entry'!L188</f>
        <v/>
      </c>
      <c r="M216" s="78" t="str">
        <f>'Manual Entry'!M188</f>
        <v/>
      </c>
      <c r="N216" s="78" t="str">
        <f>'Manual Entry'!N188</f>
        <v/>
      </c>
      <c r="O216" s="76">
        <f t="shared" si="6"/>
        <v>0</v>
      </c>
      <c r="P216" s="76">
        <f t="shared" si="7"/>
        <v>0</v>
      </c>
      <c r="Q216" s="76">
        <f t="shared" si="8"/>
        <v>0</v>
      </c>
      <c r="R216" s="76">
        <f t="shared" si="9"/>
        <v>0</v>
      </c>
      <c r="S216" s="76" t="str">
        <f t="shared" si="10"/>
        <v/>
      </c>
      <c r="T216" s="76" t="str">
        <f t="shared" si="11"/>
        <v/>
      </c>
      <c r="U216" s="76" t="str">
        <f t="shared" si="12"/>
        <v/>
      </c>
      <c r="V216" s="76" t="str">
        <f t="shared" si="13"/>
        <v/>
      </c>
      <c r="W216" s="76" t="str">
        <f t="shared" si="14"/>
        <v/>
      </c>
      <c r="X216" s="76" t="str">
        <f t="shared" si="15"/>
        <v/>
      </c>
      <c r="Y216" s="76" t="str">
        <f t="shared" si="16"/>
        <v/>
      </c>
      <c r="Z216" s="76" t="str">
        <f t="shared" si="17"/>
        <v/>
      </c>
      <c r="AA216" s="76" t="str">
        <f t="shared" si="18"/>
        <v/>
      </c>
      <c r="AB216" s="76" t="str">
        <f t="shared" si="19"/>
        <v/>
      </c>
      <c r="AC216" s="76" t="str">
        <f t="shared" si="20"/>
        <v/>
      </c>
      <c r="AD216" s="76" t="str">
        <f t="shared" si="21"/>
        <v/>
      </c>
      <c r="AE216" s="76" t="str">
        <f t="shared" si="22"/>
        <v/>
      </c>
      <c r="AF216" s="76" t="str">
        <f t="shared" si="23"/>
        <v/>
      </c>
      <c r="AG216" s="76" t="str">
        <f t="shared" si="24"/>
        <v/>
      </c>
      <c r="AH216" s="76" t="str">
        <f t="shared" si="25"/>
        <v/>
      </c>
      <c r="AI216" s="76" t="str">
        <f t="shared" si="26"/>
        <v/>
      </c>
      <c r="AJ216" s="76" t="str">
        <f t="shared" si="27"/>
        <v/>
      </c>
      <c r="AK216" s="76" t="str">
        <f t="shared" si="28"/>
        <v/>
      </c>
      <c r="AL216" s="76" t="str">
        <f t="shared" si="29"/>
        <v/>
      </c>
      <c r="AM216" s="76" t="str">
        <f t="shared" si="30"/>
        <v/>
      </c>
      <c r="AN216" s="76" t="str">
        <f t="shared" si="31"/>
        <v/>
      </c>
      <c r="AO216" s="76" t="str">
        <f t="shared" si="32"/>
        <v/>
      </c>
      <c r="AP216" s="76" t="str">
        <f t="shared" si="33"/>
        <v/>
      </c>
    </row>
    <row r="217" ht="15.75" customHeight="1">
      <c r="A217" s="76" t="str">
        <f>IF('Manual Entry'!A189="","",'Manual Entry'!A189)</f>
        <v/>
      </c>
      <c r="B217" s="76" t="str">
        <f t="shared" si="3"/>
        <v/>
      </c>
      <c r="C217" s="76" t="str">
        <f t="shared" si="4"/>
        <v/>
      </c>
      <c r="D217" s="76" t="str">
        <f>'Manual Entry'!D189</f>
        <v/>
      </c>
      <c r="E217" s="76" t="str">
        <f>'Manual Entry'!B189</f>
        <v/>
      </c>
      <c r="F217" s="76" t="str">
        <f>'Manual Entry'!F189</f>
        <v/>
      </c>
      <c r="G217" s="76" t="str">
        <f>'Manual Entry'!G189</f>
        <v/>
      </c>
      <c r="H217" s="76" t="str">
        <f>'Manual Entry'!H189</f>
        <v/>
      </c>
      <c r="I217" s="78" t="str">
        <f>'Manual Entry'!I189</f>
        <v/>
      </c>
      <c r="J217" s="78" t="str">
        <f>'Manual Entry'!J189</f>
        <v/>
      </c>
      <c r="K217" s="78" t="str">
        <f>'Manual Entry'!K189</f>
        <v/>
      </c>
      <c r="L217" s="78" t="str">
        <f>'Manual Entry'!L189</f>
        <v/>
      </c>
      <c r="M217" s="78" t="str">
        <f>'Manual Entry'!M189</f>
        <v/>
      </c>
      <c r="N217" s="78" t="str">
        <f>'Manual Entry'!N189</f>
        <v/>
      </c>
      <c r="O217" s="76">
        <f t="shared" si="6"/>
        <v>0</v>
      </c>
      <c r="P217" s="76">
        <f t="shared" si="7"/>
        <v>0</v>
      </c>
      <c r="Q217" s="76">
        <f t="shared" si="8"/>
        <v>0</v>
      </c>
      <c r="R217" s="76">
        <f t="shared" si="9"/>
        <v>0</v>
      </c>
      <c r="S217" s="76" t="str">
        <f t="shared" si="10"/>
        <v/>
      </c>
      <c r="T217" s="76" t="str">
        <f t="shared" si="11"/>
        <v/>
      </c>
      <c r="U217" s="76" t="str">
        <f t="shared" si="12"/>
        <v/>
      </c>
      <c r="V217" s="76" t="str">
        <f t="shared" si="13"/>
        <v/>
      </c>
      <c r="W217" s="76" t="str">
        <f t="shared" si="14"/>
        <v/>
      </c>
      <c r="X217" s="76" t="str">
        <f t="shared" si="15"/>
        <v/>
      </c>
      <c r="Y217" s="76" t="str">
        <f t="shared" si="16"/>
        <v/>
      </c>
      <c r="Z217" s="76" t="str">
        <f t="shared" si="17"/>
        <v/>
      </c>
      <c r="AA217" s="76" t="str">
        <f t="shared" si="18"/>
        <v/>
      </c>
      <c r="AB217" s="76" t="str">
        <f t="shared" si="19"/>
        <v/>
      </c>
      <c r="AC217" s="76" t="str">
        <f t="shared" si="20"/>
        <v/>
      </c>
      <c r="AD217" s="76" t="str">
        <f t="shared" si="21"/>
        <v/>
      </c>
      <c r="AE217" s="76" t="str">
        <f t="shared" si="22"/>
        <v/>
      </c>
      <c r="AF217" s="76" t="str">
        <f t="shared" si="23"/>
        <v/>
      </c>
      <c r="AG217" s="76" t="str">
        <f t="shared" si="24"/>
        <v/>
      </c>
      <c r="AH217" s="76" t="str">
        <f t="shared" si="25"/>
        <v/>
      </c>
      <c r="AI217" s="76" t="str">
        <f t="shared" si="26"/>
        <v/>
      </c>
      <c r="AJ217" s="76" t="str">
        <f t="shared" si="27"/>
        <v/>
      </c>
      <c r="AK217" s="76" t="str">
        <f t="shared" si="28"/>
        <v/>
      </c>
      <c r="AL217" s="76" t="str">
        <f t="shared" si="29"/>
        <v/>
      </c>
      <c r="AM217" s="76" t="str">
        <f t="shared" si="30"/>
        <v/>
      </c>
      <c r="AN217" s="76" t="str">
        <f t="shared" si="31"/>
        <v/>
      </c>
      <c r="AO217" s="76" t="str">
        <f t="shared" si="32"/>
        <v/>
      </c>
      <c r="AP217" s="76" t="str">
        <f t="shared" si="33"/>
        <v/>
      </c>
    </row>
    <row r="218" ht="15.75" customHeight="1">
      <c r="A218" s="76" t="str">
        <f>IF('Manual Entry'!A190="","",'Manual Entry'!A190)</f>
        <v/>
      </c>
      <c r="B218" s="76" t="str">
        <f t="shared" si="3"/>
        <v/>
      </c>
      <c r="C218" s="76" t="str">
        <f t="shared" si="4"/>
        <v/>
      </c>
      <c r="D218" s="76" t="str">
        <f>'Manual Entry'!D190</f>
        <v/>
      </c>
      <c r="E218" s="76" t="str">
        <f>'Manual Entry'!B190</f>
        <v/>
      </c>
      <c r="F218" s="76" t="str">
        <f>'Manual Entry'!F190</f>
        <v/>
      </c>
      <c r="G218" s="76" t="str">
        <f>'Manual Entry'!G190</f>
        <v/>
      </c>
      <c r="H218" s="76" t="str">
        <f>'Manual Entry'!H190</f>
        <v/>
      </c>
      <c r="I218" s="78" t="str">
        <f>'Manual Entry'!I190</f>
        <v/>
      </c>
      <c r="J218" s="78" t="str">
        <f>'Manual Entry'!J190</f>
        <v/>
      </c>
      <c r="K218" s="78" t="str">
        <f>'Manual Entry'!K190</f>
        <v/>
      </c>
      <c r="L218" s="78" t="str">
        <f>'Manual Entry'!L190</f>
        <v/>
      </c>
      <c r="M218" s="78" t="str">
        <f>'Manual Entry'!M190</f>
        <v/>
      </c>
      <c r="N218" s="78" t="str">
        <f>'Manual Entry'!N190</f>
        <v/>
      </c>
      <c r="O218" s="76">
        <f t="shared" si="6"/>
        <v>0</v>
      </c>
      <c r="P218" s="76">
        <f t="shared" si="7"/>
        <v>0</v>
      </c>
      <c r="Q218" s="76">
        <f t="shared" si="8"/>
        <v>0</v>
      </c>
      <c r="R218" s="76">
        <f t="shared" si="9"/>
        <v>0</v>
      </c>
      <c r="S218" s="76" t="str">
        <f t="shared" si="10"/>
        <v/>
      </c>
      <c r="T218" s="76" t="str">
        <f t="shared" si="11"/>
        <v/>
      </c>
      <c r="U218" s="76" t="str">
        <f t="shared" si="12"/>
        <v/>
      </c>
      <c r="V218" s="76" t="str">
        <f t="shared" si="13"/>
        <v/>
      </c>
      <c r="W218" s="76" t="str">
        <f t="shared" si="14"/>
        <v/>
      </c>
      <c r="X218" s="76" t="str">
        <f t="shared" si="15"/>
        <v/>
      </c>
      <c r="Y218" s="76" t="str">
        <f t="shared" si="16"/>
        <v/>
      </c>
      <c r="Z218" s="76" t="str">
        <f t="shared" si="17"/>
        <v/>
      </c>
      <c r="AA218" s="76" t="str">
        <f t="shared" si="18"/>
        <v/>
      </c>
      <c r="AB218" s="76" t="str">
        <f t="shared" si="19"/>
        <v/>
      </c>
      <c r="AC218" s="76" t="str">
        <f t="shared" si="20"/>
        <v/>
      </c>
      <c r="AD218" s="76" t="str">
        <f t="shared" si="21"/>
        <v/>
      </c>
      <c r="AE218" s="76" t="str">
        <f t="shared" si="22"/>
        <v/>
      </c>
      <c r="AF218" s="76" t="str">
        <f t="shared" si="23"/>
        <v/>
      </c>
      <c r="AG218" s="76" t="str">
        <f t="shared" si="24"/>
        <v/>
      </c>
      <c r="AH218" s="76" t="str">
        <f t="shared" si="25"/>
        <v/>
      </c>
      <c r="AI218" s="76" t="str">
        <f t="shared" si="26"/>
        <v/>
      </c>
      <c r="AJ218" s="76" t="str">
        <f t="shared" si="27"/>
        <v/>
      </c>
      <c r="AK218" s="76" t="str">
        <f t="shared" si="28"/>
        <v/>
      </c>
      <c r="AL218" s="76" t="str">
        <f t="shared" si="29"/>
        <v/>
      </c>
      <c r="AM218" s="76" t="str">
        <f t="shared" si="30"/>
        <v/>
      </c>
      <c r="AN218" s="76" t="str">
        <f t="shared" si="31"/>
        <v/>
      </c>
      <c r="AO218" s="76" t="str">
        <f t="shared" si="32"/>
        <v/>
      </c>
      <c r="AP218" s="76" t="str">
        <f t="shared" si="33"/>
        <v/>
      </c>
    </row>
    <row r="219" ht="15.75" customHeight="1">
      <c r="A219" s="76" t="str">
        <f>IF('Manual Entry'!A191="","",'Manual Entry'!A191)</f>
        <v/>
      </c>
      <c r="B219" s="76" t="str">
        <f t="shared" si="3"/>
        <v/>
      </c>
      <c r="C219" s="76" t="str">
        <f t="shared" si="4"/>
        <v/>
      </c>
      <c r="D219" s="76" t="str">
        <f>'Manual Entry'!D191</f>
        <v/>
      </c>
      <c r="E219" s="76" t="str">
        <f>'Manual Entry'!B191</f>
        <v/>
      </c>
      <c r="F219" s="76" t="str">
        <f>'Manual Entry'!F191</f>
        <v/>
      </c>
      <c r="G219" s="76" t="str">
        <f>'Manual Entry'!G191</f>
        <v/>
      </c>
      <c r="H219" s="76" t="str">
        <f>'Manual Entry'!H191</f>
        <v/>
      </c>
      <c r="I219" s="78" t="str">
        <f>'Manual Entry'!I191</f>
        <v/>
      </c>
      <c r="J219" s="78" t="str">
        <f>'Manual Entry'!J191</f>
        <v/>
      </c>
      <c r="K219" s="78" t="str">
        <f>'Manual Entry'!K191</f>
        <v/>
      </c>
      <c r="L219" s="78" t="str">
        <f>'Manual Entry'!L191</f>
        <v/>
      </c>
      <c r="M219" s="78" t="str">
        <f>'Manual Entry'!M191</f>
        <v/>
      </c>
      <c r="N219" s="78" t="str">
        <f>'Manual Entry'!N191</f>
        <v/>
      </c>
      <c r="O219" s="76">
        <f t="shared" si="6"/>
        <v>0</v>
      </c>
      <c r="P219" s="76">
        <f t="shared" si="7"/>
        <v>0</v>
      </c>
      <c r="Q219" s="76">
        <f t="shared" si="8"/>
        <v>0</v>
      </c>
      <c r="R219" s="76">
        <f t="shared" si="9"/>
        <v>0</v>
      </c>
      <c r="S219" s="76" t="str">
        <f t="shared" si="10"/>
        <v/>
      </c>
      <c r="T219" s="76" t="str">
        <f t="shared" si="11"/>
        <v/>
      </c>
      <c r="U219" s="76" t="str">
        <f t="shared" si="12"/>
        <v/>
      </c>
      <c r="V219" s="76" t="str">
        <f t="shared" si="13"/>
        <v/>
      </c>
      <c r="W219" s="76" t="str">
        <f t="shared" si="14"/>
        <v/>
      </c>
      <c r="X219" s="76" t="str">
        <f t="shared" si="15"/>
        <v/>
      </c>
      <c r="Y219" s="76" t="str">
        <f t="shared" si="16"/>
        <v/>
      </c>
      <c r="Z219" s="76" t="str">
        <f t="shared" si="17"/>
        <v/>
      </c>
      <c r="AA219" s="76" t="str">
        <f t="shared" si="18"/>
        <v/>
      </c>
      <c r="AB219" s="76" t="str">
        <f t="shared" si="19"/>
        <v/>
      </c>
      <c r="AC219" s="76" t="str">
        <f t="shared" si="20"/>
        <v/>
      </c>
      <c r="AD219" s="76" t="str">
        <f t="shared" si="21"/>
        <v/>
      </c>
      <c r="AE219" s="76" t="str">
        <f t="shared" si="22"/>
        <v/>
      </c>
      <c r="AF219" s="76" t="str">
        <f t="shared" si="23"/>
        <v/>
      </c>
      <c r="AG219" s="76" t="str">
        <f t="shared" si="24"/>
        <v/>
      </c>
      <c r="AH219" s="76" t="str">
        <f t="shared" si="25"/>
        <v/>
      </c>
      <c r="AI219" s="76" t="str">
        <f t="shared" si="26"/>
        <v/>
      </c>
      <c r="AJ219" s="76" t="str">
        <f t="shared" si="27"/>
        <v/>
      </c>
      <c r="AK219" s="76" t="str">
        <f t="shared" si="28"/>
        <v/>
      </c>
      <c r="AL219" s="76" t="str">
        <f t="shared" si="29"/>
        <v/>
      </c>
      <c r="AM219" s="76" t="str">
        <f t="shared" si="30"/>
        <v/>
      </c>
      <c r="AN219" s="76" t="str">
        <f t="shared" si="31"/>
        <v/>
      </c>
      <c r="AO219" s="76" t="str">
        <f t="shared" si="32"/>
        <v/>
      </c>
      <c r="AP219" s="76" t="str">
        <f t="shared" si="33"/>
        <v/>
      </c>
    </row>
    <row r="220" ht="15.75" customHeight="1">
      <c r="A220" s="76" t="str">
        <f>IF('Manual Entry'!A192="","",'Manual Entry'!A192)</f>
        <v/>
      </c>
      <c r="B220" s="76" t="str">
        <f t="shared" si="3"/>
        <v/>
      </c>
      <c r="C220" s="76" t="str">
        <f t="shared" si="4"/>
        <v/>
      </c>
      <c r="D220" s="76" t="str">
        <f>'Manual Entry'!D192</f>
        <v/>
      </c>
      <c r="E220" s="76" t="str">
        <f>'Manual Entry'!B192</f>
        <v/>
      </c>
      <c r="F220" s="76" t="str">
        <f>'Manual Entry'!F192</f>
        <v/>
      </c>
      <c r="G220" s="76" t="str">
        <f>'Manual Entry'!G192</f>
        <v/>
      </c>
      <c r="H220" s="76" t="str">
        <f>'Manual Entry'!H192</f>
        <v/>
      </c>
      <c r="I220" s="78" t="str">
        <f>'Manual Entry'!I192</f>
        <v/>
      </c>
      <c r="J220" s="78" t="str">
        <f>'Manual Entry'!J192</f>
        <v/>
      </c>
      <c r="K220" s="78" t="str">
        <f>'Manual Entry'!K192</f>
        <v/>
      </c>
      <c r="L220" s="78" t="str">
        <f>'Manual Entry'!L192</f>
        <v/>
      </c>
      <c r="M220" s="78" t="str">
        <f>'Manual Entry'!M192</f>
        <v/>
      </c>
      <c r="N220" s="78" t="str">
        <f>'Manual Entry'!N192</f>
        <v/>
      </c>
      <c r="O220" s="76">
        <f t="shared" si="6"/>
        <v>0</v>
      </c>
      <c r="P220" s="76">
        <f t="shared" si="7"/>
        <v>0</v>
      </c>
      <c r="Q220" s="76">
        <f t="shared" si="8"/>
        <v>0</v>
      </c>
      <c r="R220" s="76">
        <f t="shared" si="9"/>
        <v>0</v>
      </c>
      <c r="S220" s="76" t="str">
        <f t="shared" si="10"/>
        <v/>
      </c>
      <c r="T220" s="76" t="str">
        <f t="shared" si="11"/>
        <v/>
      </c>
      <c r="U220" s="76" t="str">
        <f t="shared" si="12"/>
        <v/>
      </c>
      <c r="V220" s="76" t="str">
        <f t="shared" si="13"/>
        <v/>
      </c>
      <c r="W220" s="76" t="str">
        <f t="shared" si="14"/>
        <v/>
      </c>
      <c r="X220" s="76" t="str">
        <f t="shared" si="15"/>
        <v/>
      </c>
      <c r="Y220" s="76" t="str">
        <f t="shared" si="16"/>
        <v/>
      </c>
      <c r="Z220" s="76" t="str">
        <f t="shared" si="17"/>
        <v/>
      </c>
      <c r="AA220" s="76" t="str">
        <f t="shared" si="18"/>
        <v/>
      </c>
      <c r="AB220" s="76" t="str">
        <f t="shared" si="19"/>
        <v/>
      </c>
      <c r="AC220" s="76" t="str">
        <f t="shared" si="20"/>
        <v/>
      </c>
      <c r="AD220" s="76" t="str">
        <f t="shared" si="21"/>
        <v/>
      </c>
      <c r="AE220" s="76" t="str">
        <f t="shared" si="22"/>
        <v/>
      </c>
      <c r="AF220" s="76" t="str">
        <f t="shared" si="23"/>
        <v/>
      </c>
      <c r="AG220" s="76" t="str">
        <f t="shared" si="24"/>
        <v/>
      </c>
      <c r="AH220" s="76" t="str">
        <f t="shared" si="25"/>
        <v/>
      </c>
      <c r="AI220" s="76" t="str">
        <f t="shared" si="26"/>
        <v/>
      </c>
      <c r="AJ220" s="76" t="str">
        <f t="shared" si="27"/>
        <v/>
      </c>
      <c r="AK220" s="76" t="str">
        <f t="shared" si="28"/>
        <v/>
      </c>
      <c r="AL220" s="76" t="str">
        <f t="shared" si="29"/>
        <v/>
      </c>
      <c r="AM220" s="76" t="str">
        <f t="shared" si="30"/>
        <v/>
      </c>
      <c r="AN220" s="76" t="str">
        <f t="shared" si="31"/>
        <v/>
      </c>
      <c r="AO220" s="76" t="str">
        <f t="shared" si="32"/>
        <v/>
      </c>
      <c r="AP220" s="76" t="str">
        <f t="shared" si="33"/>
        <v/>
      </c>
    </row>
    <row r="221" ht="15.75" customHeight="1">
      <c r="A221" s="76" t="str">
        <f>IF('Manual Entry'!A193="","",'Manual Entry'!A193)</f>
        <v/>
      </c>
      <c r="B221" s="76" t="str">
        <f t="shared" si="3"/>
        <v/>
      </c>
      <c r="C221" s="76" t="str">
        <f t="shared" si="4"/>
        <v/>
      </c>
      <c r="D221" s="76" t="str">
        <f>'Manual Entry'!D193</f>
        <v/>
      </c>
      <c r="E221" s="76" t="str">
        <f>'Manual Entry'!B193</f>
        <v/>
      </c>
      <c r="F221" s="76" t="str">
        <f>'Manual Entry'!F193</f>
        <v/>
      </c>
      <c r="G221" s="76" t="str">
        <f>'Manual Entry'!G193</f>
        <v/>
      </c>
      <c r="H221" s="76" t="str">
        <f>'Manual Entry'!H193</f>
        <v/>
      </c>
      <c r="I221" s="78" t="str">
        <f>'Manual Entry'!I193</f>
        <v/>
      </c>
      <c r="J221" s="78" t="str">
        <f>'Manual Entry'!J193</f>
        <v/>
      </c>
      <c r="K221" s="78" t="str">
        <f>'Manual Entry'!K193</f>
        <v/>
      </c>
      <c r="L221" s="78" t="str">
        <f>'Manual Entry'!L193</f>
        <v/>
      </c>
      <c r="M221" s="78" t="str">
        <f>'Manual Entry'!M193</f>
        <v/>
      </c>
      <c r="N221" s="78" t="str">
        <f>'Manual Entry'!N193</f>
        <v/>
      </c>
      <c r="O221" s="76">
        <f t="shared" si="6"/>
        <v>0</v>
      </c>
      <c r="P221" s="76">
        <f t="shared" si="7"/>
        <v>0</v>
      </c>
      <c r="Q221" s="76">
        <f t="shared" si="8"/>
        <v>0</v>
      </c>
      <c r="R221" s="76">
        <f t="shared" si="9"/>
        <v>0</v>
      </c>
      <c r="S221" s="76" t="str">
        <f t="shared" si="10"/>
        <v/>
      </c>
      <c r="T221" s="76" t="str">
        <f t="shared" si="11"/>
        <v/>
      </c>
      <c r="U221" s="76" t="str">
        <f t="shared" si="12"/>
        <v/>
      </c>
      <c r="V221" s="76" t="str">
        <f t="shared" si="13"/>
        <v/>
      </c>
      <c r="W221" s="76" t="str">
        <f t="shared" si="14"/>
        <v/>
      </c>
      <c r="X221" s="76" t="str">
        <f t="shared" si="15"/>
        <v/>
      </c>
      <c r="Y221" s="76" t="str">
        <f t="shared" si="16"/>
        <v/>
      </c>
      <c r="Z221" s="76" t="str">
        <f t="shared" si="17"/>
        <v/>
      </c>
      <c r="AA221" s="76" t="str">
        <f t="shared" si="18"/>
        <v/>
      </c>
      <c r="AB221" s="76" t="str">
        <f t="shared" si="19"/>
        <v/>
      </c>
      <c r="AC221" s="76" t="str">
        <f t="shared" si="20"/>
        <v/>
      </c>
      <c r="AD221" s="76" t="str">
        <f t="shared" si="21"/>
        <v/>
      </c>
      <c r="AE221" s="76" t="str">
        <f t="shared" si="22"/>
        <v/>
      </c>
      <c r="AF221" s="76" t="str">
        <f t="shared" si="23"/>
        <v/>
      </c>
      <c r="AG221" s="76" t="str">
        <f t="shared" si="24"/>
        <v/>
      </c>
      <c r="AH221" s="76" t="str">
        <f t="shared" si="25"/>
        <v/>
      </c>
      <c r="AI221" s="76" t="str">
        <f t="shared" si="26"/>
        <v/>
      </c>
      <c r="AJ221" s="76" t="str">
        <f t="shared" si="27"/>
        <v/>
      </c>
      <c r="AK221" s="76" t="str">
        <f t="shared" si="28"/>
        <v/>
      </c>
      <c r="AL221" s="76" t="str">
        <f t="shared" si="29"/>
        <v/>
      </c>
      <c r="AM221" s="76" t="str">
        <f t="shared" si="30"/>
        <v/>
      </c>
      <c r="AN221" s="76" t="str">
        <f t="shared" si="31"/>
        <v/>
      </c>
      <c r="AO221" s="76" t="str">
        <f t="shared" si="32"/>
        <v/>
      </c>
      <c r="AP221" s="76" t="str">
        <f t="shared" si="33"/>
        <v/>
      </c>
    </row>
    <row r="222" ht="15.75" customHeight="1">
      <c r="A222" s="76" t="str">
        <f>IF('Manual Entry'!A194="","",'Manual Entry'!A194)</f>
        <v/>
      </c>
      <c r="B222" s="76" t="str">
        <f t="shared" si="3"/>
        <v/>
      </c>
      <c r="C222" s="76" t="str">
        <f t="shared" si="4"/>
        <v/>
      </c>
      <c r="D222" s="76" t="str">
        <f>'Manual Entry'!D194</f>
        <v/>
      </c>
      <c r="E222" s="76" t="str">
        <f>'Manual Entry'!B194</f>
        <v/>
      </c>
      <c r="F222" s="76" t="str">
        <f>'Manual Entry'!F194</f>
        <v/>
      </c>
      <c r="G222" s="76" t="str">
        <f>'Manual Entry'!G194</f>
        <v/>
      </c>
      <c r="H222" s="76" t="str">
        <f>'Manual Entry'!H194</f>
        <v/>
      </c>
      <c r="I222" s="78" t="str">
        <f>'Manual Entry'!I194</f>
        <v/>
      </c>
      <c r="J222" s="78" t="str">
        <f>'Manual Entry'!J194</f>
        <v/>
      </c>
      <c r="K222" s="78" t="str">
        <f>'Manual Entry'!K194</f>
        <v/>
      </c>
      <c r="L222" s="78" t="str">
        <f>'Manual Entry'!L194</f>
        <v/>
      </c>
      <c r="M222" s="78" t="str">
        <f>'Manual Entry'!M194</f>
        <v/>
      </c>
      <c r="N222" s="78" t="str">
        <f>'Manual Entry'!N194</f>
        <v/>
      </c>
      <c r="O222" s="76">
        <f t="shared" si="6"/>
        <v>0</v>
      </c>
      <c r="P222" s="76">
        <f t="shared" si="7"/>
        <v>0</v>
      </c>
      <c r="Q222" s="76">
        <f t="shared" si="8"/>
        <v>0</v>
      </c>
      <c r="R222" s="76">
        <f t="shared" si="9"/>
        <v>0</v>
      </c>
      <c r="S222" s="76" t="str">
        <f t="shared" si="10"/>
        <v/>
      </c>
      <c r="T222" s="76" t="str">
        <f t="shared" si="11"/>
        <v/>
      </c>
      <c r="U222" s="76" t="str">
        <f t="shared" si="12"/>
        <v/>
      </c>
      <c r="V222" s="76" t="str">
        <f t="shared" si="13"/>
        <v/>
      </c>
      <c r="W222" s="76" t="str">
        <f t="shared" si="14"/>
        <v/>
      </c>
      <c r="X222" s="76" t="str">
        <f t="shared" si="15"/>
        <v/>
      </c>
      <c r="Y222" s="76" t="str">
        <f t="shared" si="16"/>
        <v/>
      </c>
      <c r="Z222" s="76" t="str">
        <f t="shared" si="17"/>
        <v/>
      </c>
      <c r="AA222" s="76" t="str">
        <f t="shared" si="18"/>
        <v/>
      </c>
      <c r="AB222" s="76" t="str">
        <f t="shared" si="19"/>
        <v/>
      </c>
      <c r="AC222" s="76" t="str">
        <f t="shared" si="20"/>
        <v/>
      </c>
      <c r="AD222" s="76" t="str">
        <f t="shared" si="21"/>
        <v/>
      </c>
      <c r="AE222" s="76" t="str">
        <f t="shared" si="22"/>
        <v/>
      </c>
      <c r="AF222" s="76" t="str">
        <f t="shared" si="23"/>
        <v/>
      </c>
      <c r="AG222" s="76" t="str">
        <f t="shared" si="24"/>
        <v/>
      </c>
      <c r="AH222" s="76" t="str">
        <f t="shared" si="25"/>
        <v/>
      </c>
      <c r="AI222" s="76" t="str">
        <f t="shared" si="26"/>
        <v/>
      </c>
      <c r="AJ222" s="76" t="str">
        <f t="shared" si="27"/>
        <v/>
      </c>
      <c r="AK222" s="76" t="str">
        <f t="shared" si="28"/>
        <v/>
      </c>
      <c r="AL222" s="76" t="str">
        <f t="shared" si="29"/>
        <v/>
      </c>
      <c r="AM222" s="76" t="str">
        <f t="shared" si="30"/>
        <v/>
      </c>
      <c r="AN222" s="76" t="str">
        <f t="shared" si="31"/>
        <v/>
      </c>
      <c r="AO222" s="76" t="str">
        <f t="shared" si="32"/>
        <v/>
      </c>
      <c r="AP222" s="76" t="str">
        <f t="shared" si="33"/>
        <v/>
      </c>
    </row>
    <row r="223" ht="15.75" customHeight="1">
      <c r="A223" s="76" t="str">
        <f>IF('Manual Entry'!A195="","",'Manual Entry'!A195)</f>
        <v/>
      </c>
      <c r="B223" s="76" t="str">
        <f t="shared" si="3"/>
        <v/>
      </c>
      <c r="C223" s="76" t="str">
        <f t="shared" si="4"/>
        <v/>
      </c>
      <c r="D223" s="76" t="str">
        <f>'Manual Entry'!D195</f>
        <v/>
      </c>
      <c r="E223" s="76" t="str">
        <f>'Manual Entry'!B195</f>
        <v/>
      </c>
      <c r="F223" s="76" t="str">
        <f>'Manual Entry'!F195</f>
        <v/>
      </c>
      <c r="G223" s="76" t="str">
        <f>'Manual Entry'!G195</f>
        <v/>
      </c>
      <c r="H223" s="76" t="str">
        <f>'Manual Entry'!H195</f>
        <v/>
      </c>
      <c r="I223" s="78" t="str">
        <f>'Manual Entry'!I195</f>
        <v/>
      </c>
      <c r="J223" s="78" t="str">
        <f>'Manual Entry'!J195</f>
        <v/>
      </c>
      <c r="K223" s="78" t="str">
        <f>'Manual Entry'!K195</f>
        <v/>
      </c>
      <c r="L223" s="78" t="str">
        <f>'Manual Entry'!L195</f>
        <v/>
      </c>
      <c r="M223" s="78" t="str">
        <f>'Manual Entry'!M195</f>
        <v/>
      </c>
      <c r="N223" s="78" t="str">
        <f>'Manual Entry'!N195</f>
        <v/>
      </c>
      <c r="O223" s="76">
        <f t="shared" si="6"/>
        <v>0</v>
      </c>
      <c r="P223" s="76">
        <f t="shared" si="7"/>
        <v>0</v>
      </c>
      <c r="Q223" s="76">
        <f t="shared" si="8"/>
        <v>0</v>
      </c>
      <c r="R223" s="76">
        <f t="shared" si="9"/>
        <v>0</v>
      </c>
      <c r="S223" s="76" t="str">
        <f t="shared" si="10"/>
        <v/>
      </c>
      <c r="T223" s="76" t="str">
        <f t="shared" si="11"/>
        <v/>
      </c>
      <c r="U223" s="76" t="str">
        <f t="shared" si="12"/>
        <v/>
      </c>
      <c r="V223" s="76" t="str">
        <f t="shared" si="13"/>
        <v/>
      </c>
      <c r="W223" s="76" t="str">
        <f t="shared" si="14"/>
        <v/>
      </c>
      <c r="X223" s="76" t="str">
        <f t="shared" si="15"/>
        <v/>
      </c>
      <c r="Y223" s="76" t="str">
        <f t="shared" si="16"/>
        <v/>
      </c>
      <c r="Z223" s="76" t="str">
        <f t="shared" si="17"/>
        <v/>
      </c>
      <c r="AA223" s="76" t="str">
        <f t="shared" si="18"/>
        <v/>
      </c>
      <c r="AB223" s="76" t="str">
        <f t="shared" si="19"/>
        <v/>
      </c>
      <c r="AC223" s="76" t="str">
        <f t="shared" si="20"/>
        <v/>
      </c>
      <c r="AD223" s="76" t="str">
        <f t="shared" si="21"/>
        <v/>
      </c>
      <c r="AE223" s="76" t="str">
        <f t="shared" si="22"/>
        <v/>
      </c>
      <c r="AF223" s="76" t="str">
        <f t="shared" si="23"/>
        <v/>
      </c>
      <c r="AG223" s="76" t="str">
        <f t="shared" si="24"/>
        <v/>
      </c>
      <c r="AH223" s="76" t="str">
        <f t="shared" si="25"/>
        <v/>
      </c>
      <c r="AI223" s="76" t="str">
        <f t="shared" si="26"/>
        <v/>
      </c>
      <c r="AJ223" s="76" t="str">
        <f t="shared" si="27"/>
        <v/>
      </c>
      <c r="AK223" s="76" t="str">
        <f t="shared" si="28"/>
        <v/>
      </c>
      <c r="AL223" s="76" t="str">
        <f t="shared" si="29"/>
        <v/>
      </c>
      <c r="AM223" s="76" t="str">
        <f t="shared" si="30"/>
        <v/>
      </c>
      <c r="AN223" s="76" t="str">
        <f t="shared" si="31"/>
        <v/>
      </c>
      <c r="AO223" s="76" t="str">
        <f t="shared" si="32"/>
        <v/>
      </c>
      <c r="AP223" s="76" t="str">
        <f t="shared" si="33"/>
        <v/>
      </c>
    </row>
    <row r="224" ht="15.75" customHeight="1">
      <c r="A224" s="76" t="str">
        <f>IF('Manual Entry'!A196="","",'Manual Entry'!A196)</f>
        <v/>
      </c>
      <c r="B224" s="76" t="str">
        <f t="shared" si="3"/>
        <v/>
      </c>
      <c r="C224" s="76" t="str">
        <f t="shared" si="4"/>
        <v/>
      </c>
      <c r="D224" s="76" t="str">
        <f>'Manual Entry'!D196</f>
        <v/>
      </c>
      <c r="E224" s="76" t="str">
        <f>'Manual Entry'!B196</f>
        <v/>
      </c>
      <c r="F224" s="76" t="str">
        <f>'Manual Entry'!F196</f>
        <v/>
      </c>
      <c r="G224" s="76" t="str">
        <f>'Manual Entry'!G196</f>
        <v/>
      </c>
      <c r="H224" s="76" t="str">
        <f>'Manual Entry'!H196</f>
        <v/>
      </c>
      <c r="I224" s="78" t="str">
        <f>'Manual Entry'!I196</f>
        <v/>
      </c>
      <c r="J224" s="78" t="str">
        <f>'Manual Entry'!J196</f>
        <v/>
      </c>
      <c r="K224" s="78" t="str">
        <f>'Manual Entry'!K196</f>
        <v/>
      </c>
      <c r="L224" s="78" t="str">
        <f>'Manual Entry'!L196</f>
        <v/>
      </c>
      <c r="M224" s="78" t="str">
        <f>'Manual Entry'!M196</f>
        <v/>
      </c>
      <c r="N224" s="78" t="str">
        <f>'Manual Entry'!N196</f>
        <v/>
      </c>
      <c r="O224" s="76">
        <f t="shared" si="6"/>
        <v>0</v>
      </c>
      <c r="P224" s="76">
        <f t="shared" si="7"/>
        <v>0</v>
      </c>
      <c r="Q224" s="76">
        <f t="shared" si="8"/>
        <v>0</v>
      </c>
      <c r="R224" s="76">
        <f t="shared" si="9"/>
        <v>0</v>
      </c>
      <c r="S224" s="76" t="str">
        <f t="shared" si="10"/>
        <v/>
      </c>
      <c r="T224" s="76" t="str">
        <f t="shared" si="11"/>
        <v/>
      </c>
      <c r="U224" s="76" t="str">
        <f t="shared" si="12"/>
        <v/>
      </c>
      <c r="V224" s="76" t="str">
        <f t="shared" si="13"/>
        <v/>
      </c>
      <c r="W224" s="76" t="str">
        <f t="shared" si="14"/>
        <v/>
      </c>
      <c r="X224" s="76" t="str">
        <f t="shared" si="15"/>
        <v/>
      </c>
      <c r="Y224" s="76" t="str">
        <f t="shared" si="16"/>
        <v/>
      </c>
      <c r="Z224" s="76" t="str">
        <f t="shared" si="17"/>
        <v/>
      </c>
      <c r="AA224" s="76" t="str">
        <f t="shared" si="18"/>
        <v/>
      </c>
      <c r="AB224" s="76" t="str">
        <f t="shared" si="19"/>
        <v/>
      </c>
      <c r="AC224" s="76" t="str">
        <f t="shared" si="20"/>
        <v/>
      </c>
      <c r="AD224" s="76" t="str">
        <f t="shared" si="21"/>
        <v/>
      </c>
      <c r="AE224" s="76" t="str">
        <f t="shared" si="22"/>
        <v/>
      </c>
      <c r="AF224" s="76" t="str">
        <f t="shared" si="23"/>
        <v/>
      </c>
      <c r="AG224" s="76" t="str">
        <f t="shared" si="24"/>
        <v/>
      </c>
      <c r="AH224" s="76" t="str">
        <f t="shared" si="25"/>
        <v/>
      </c>
      <c r="AI224" s="76" t="str">
        <f t="shared" si="26"/>
        <v/>
      </c>
      <c r="AJ224" s="76" t="str">
        <f t="shared" si="27"/>
        <v/>
      </c>
      <c r="AK224" s="76" t="str">
        <f t="shared" si="28"/>
        <v/>
      </c>
      <c r="AL224" s="76" t="str">
        <f t="shared" si="29"/>
        <v/>
      </c>
      <c r="AM224" s="76" t="str">
        <f t="shared" si="30"/>
        <v/>
      </c>
      <c r="AN224" s="76" t="str">
        <f t="shared" si="31"/>
        <v/>
      </c>
      <c r="AO224" s="76" t="str">
        <f t="shared" si="32"/>
        <v/>
      </c>
      <c r="AP224" s="76" t="str">
        <f t="shared" si="33"/>
        <v/>
      </c>
    </row>
    <row r="225" ht="15.75" customHeight="1">
      <c r="A225" s="76" t="str">
        <f>IF('Manual Entry'!A197="","",'Manual Entry'!A197)</f>
        <v/>
      </c>
      <c r="B225" s="76" t="str">
        <f t="shared" si="3"/>
        <v/>
      </c>
      <c r="C225" s="76" t="str">
        <f t="shared" si="4"/>
        <v/>
      </c>
      <c r="D225" s="76" t="str">
        <f>'Manual Entry'!D197</f>
        <v/>
      </c>
      <c r="E225" s="76" t="str">
        <f>'Manual Entry'!B197</f>
        <v/>
      </c>
      <c r="F225" s="76" t="str">
        <f>'Manual Entry'!F197</f>
        <v/>
      </c>
      <c r="G225" s="76" t="str">
        <f>'Manual Entry'!G197</f>
        <v/>
      </c>
      <c r="H225" s="76" t="str">
        <f>'Manual Entry'!H197</f>
        <v/>
      </c>
      <c r="I225" s="78" t="str">
        <f>'Manual Entry'!I197</f>
        <v/>
      </c>
      <c r="J225" s="78" t="str">
        <f>'Manual Entry'!J197</f>
        <v/>
      </c>
      <c r="K225" s="78" t="str">
        <f>'Manual Entry'!K197</f>
        <v/>
      </c>
      <c r="L225" s="78" t="str">
        <f>'Manual Entry'!L197</f>
        <v/>
      </c>
      <c r="M225" s="78" t="str">
        <f>'Manual Entry'!M197</f>
        <v/>
      </c>
      <c r="N225" s="78" t="str">
        <f>'Manual Entry'!N197</f>
        <v/>
      </c>
      <c r="O225" s="76">
        <f t="shared" si="6"/>
        <v>0</v>
      </c>
      <c r="P225" s="76">
        <f t="shared" si="7"/>
        <v>0</v>
      </c>
      <c r="Q225" s="76">
        <f t="shared" si="8"/>
        <v>0</v>
      </c>
      <c r="R225" s="76">
        <f t="shared" si="9"/>
        <v>0</v>
      </c>
      <c r="S225" s="76" t="str">
        <f t="shared" si="10"/>
        <v/>
      </c>
      <c r="T225" s="76" t="str">
        <f t="shared" si="11"/>
        <v/>
      </c>
      <c r="U225" s="76" t="str">
        <f t="shared" si="12"/>
        <v/>
      </c>
      <c r="V225" s="76" t="str">
        <f t="shared" si="13"/>
        <v/>
      </c>
      <c r="W225" s="76" t="str">
        <f t="shared" si="14"/>
        <v/>
      </c>
      <c r="X225" s="76" t="str">
        <f t="shared" si="15"/>
        <v/>
      </c>
      <c r="Y225" s="76" t="str">
        <f t="shared" si="16"/>
        <v/>
      </c>
      <c r="Z225" s="76" t="str">
        <f t="shared" si="17"/>
        <v/>
      </c>
      <c r="AA225" s="76" t="str">
        <f t="shared" si="18"/>
        <v/>
      </c>
      <c r="AB225" s="76" t="str">
        <f t="shared" si="19"/>
        <v/>
      </c>
      <c r="AC225" s="76" t="str">
        <f t="shared" si="20"/>
        <v/>
      </c>
      <c r="AD225" s="76" t="str">
        <f t="shared" si="21"/>
        <v/>
      </c>
      <c r="AE225" s="76" t="str">
        <f t="shared" si="22"/>
        <v/>
      </c>
      <c r="AF225" s="76" t="str">
        <f t="shared" si="23"/>
        <v/>
      </c>
      <c r="AG225" s="76" t="str">
        <f t="shared" si="24"/>
        <v/>
      </c>
      <c r="AH225" s="76" t="str">
        <f t="shared" si="25"/>
        <v/>
      </c>
      <c r="AI225" s="76" t="str">
        <f t="shared" si="26"/>
        <v/>
      </c>
      <c r="AJ225" s="76" t="str">
        <f t="shared" si="27"/>
        <v/>
      </c>
      <c r="AK225" s="76" t="str">
        <f t="shared" si="28"/>
        <v/>
      </c>
      <c r="AL225" s="76" t="str">
        <f t="shared" si="29"/>
        <v/>
      </c>
      <c r="AM225" s="76" t="str">
        <f t="shared" si="30"/>
        <v/>
      </c>
      <c r="AN225" s="76" t="str">
        <f t="shared" si="31"/>
        <v/>
      </c>
      <c r="AO225" s="76" t="str">
        <f t="shared" si="32"/>
        <v/>
      </c>
      <c r="AP225" s="76" t="str">
        <f t="shared" si="33"/>
        <v/>
      </c>
    </row>
    <row r="226" ht="15.75" customHeight="1">
      <c r="A226" s="76" t="str">
        <f>IF('Manual Entry'!A198="","",'Manual Entry'!A198)</f>
        <v/>
      </c>
      <c r="B226" s="76" t="str">
        <f t="shared" si="3"/>
        <v/>
      </c>
      <c r="C226" s="76" t="str">
        <f t="shared" si="4"/>
        <v/>
      </c>
      <c r="D226" s="76" t="str">
        <f>'Manual Entry'!D198</f>
        <v/>
      </c>
      <c r="E226" s="76" t="str">
        <f>'Manual Entry'!B198</f>
        <v/>
      </c>
      <c r="F226" s="76" t="str">
        <f>'Manual Entry'!F198</f>
        <v/>
      </c>
      <c r="G226" s="76" t="str">
        <f>'Manual Entry'!G198</f>
        <v/>
      </c>
      <c r="H226" s="76" t="str">
        <f>'Manual Entry'!H198</f>
        <v/>
      </c>
      <c r="I226" s="78" t="str">
        <f>'Manual Entry'!I198</f>
        <v/>
      </c>
      <c r="J226" s="78" t="str">
        <f>'Manual Entry'!J198</f>
        <v/>
      </c>
      <c r="K226" s="78" t="str">
        <f>'Manual Entry'!K198</f>
        <v/>
      </c>
      <c r="L226" s="78" t="str">
        <f>'Manual Entry'!L198</f>
        <v/>
      </c>
      <c r="M226" s="78" t="str">
        <f>'Manual Entry'!M198</f>
        <v/>
      </c>
      <c r="N226" s="78" t="str">
        <f>'Manual Entry'!N198</f>
        <v/>
      </c>
      <c r="O226" s="76">
        <f t="shared" si="6"/>
        <v>0</v>
      </c>
      <c r="P226" s="76">
        <f t="shared" si="7"/>
        <v>0</v>
      </c>
      <c r="Q226" s="76">
        <f t="shared" si="8"/>
        <v>0</v>
      </c>
      <c r="R226" s="76">
        <f t="shared" si="9"/>
        <v>0</v>
      </c>
      <c r="S226" s="76" t="str">
        <f t="shared" si="10"/>
        <v/>
      </c>
      <c r="T226" s="76" t="str">
        <f t="shared" si="11"/>
        <v/>
      </c>
      <c r="U226" s="76" t="str">
        <f t="shared" si="12"/>
        <v/>
      </c>
      <c r="V226" s="76" t="str">
        <f t="shared" si="13"/>
        <v/>
      </c>
      <c r="W226" s="76" t="str">
        <f t="shared" si="14"/>
        <v/>
      </c>
      <c r="X226" s="76" t="str">
        <f t="shared" si="15"/>
        <v/>
      </c>
      <c r="Y226" s="76" t="str">
        <f t="shared" si="16"/>
        <v/>
      </c>
      <c r="Z226" s="76" t="str">
        <f t="shared" si="17"/>
        <v/>
      </c>
      <c r="AA226" s="76" t="str">
        <f t="shared" si="18"/>
        <v/>
      </c>
      <c r="AB226" s="76" t="str">
        <f t="shared" si="19"/>
        <v/>
      </c>
      <c r="AC226" s="76" t="str">
        <f t="shared" si="20"/>
        <v/>
      </c>
      <c r="AD226" s="76" t="str">
        <f t="shared" si="21"/>
        <v/>
      </c>
      <c r="AE226" s="76" t="str">
        <f t="shared" si="22"/>
        <v/>
      </c>
      <c r="AF226" s="76" t="str">
        <f t="shared" si="23"/>
        <v/>
      </c>
      <c r="AG226" s="76" t="str">
        <f t="shared" si="24"/>
        <v/>
      </c>
      <c r="AH226" s="76" t="str">
        <f t="shared" si="25"/>
        <v/>
      </c>
      <c r="AI226" s="76" t="str">
        <f t="shared" si="26"/>
        <v/>
      </c>
      <c r="AJ226" s="76" t="str">
        <f t="shared" si="27"/>
        <v/>
      </c>
      <c r="AK226" s="76" t="str">
        <f t="shared" si="28"/>
        <v/>
      </c>
      <c r="AL226" s="76" t="str">
        <f t="shared" si="29"/>
        <v/>
      </c>
      <c r="AM226" s="76" t="str">
        <f t="shared" si="30"/>
        <v/>
      </c>
      <c r="AN226" s="76" t="str">
        <f t="shared" si="31"/>
        <v/>
      </c>
      <c r="AO226" s="76" t="str">
        <f t="shared" si="32"/>
        <v/>
      </c>
      <c r="AP226" s="76" t="str">
        <f t="shared" si="33"/>
        <v/>
      </c>
    </row>
    <row r="227" ht="15.75" customHeight="1">
      <c r="A227" s="76" t="str">
        <f>IF('Manual Entry'!A199="","",'Manual Entry'!A199)</f>
        <v/>
      </c>
      <c r="B227" s="76" t="str">
        <f t="shared" si="3"/>
        <v/>
      </c>
      <c r="C227" s="76" t="str">
        <f t="shared" si="4"/>
        <v/>
      </c>
      <c r="D227" s="76" t="str">
        <f>'Manual Entry'!D199</f>
        <v/>
      </c>
      <c r="E227" s="76" t="str">
        <f>'Manual Entry'!B199</f>
        <v/>
      </c>
      <c r="F227" s="76" t="str">
        <f>'Manual Entry'!F199</f>
        <v/>
      </c>
      <c r="G227" s="76" t="str">
        <f>'Manual Entry'!G199</f>
        <v/>
      </c>
      <c r="H227" s="76" t="str">
        <f>'Manual Entry'!H199</f>
        <v/>
      </c>
      <c r="I227" s="78" t="str">
        <f>'Manual Entry'!I199</f>
        <v/>
      </c>
      <c r="J227" s="78" t="str">
        <f>'Manual Entry'!J199</f>
        <v/>
      </c>
      <c r="K227" s="78" t="str">
        <f>'Manual Entry'!K199</f>
        <v/>
      </c>
      <c r="L227" s="78" t="str">
        <f>'Manual Entry'!L199</f>
        <v/>
      </c>
      <c r="M227" s="78" t="str">
        <f>'Manual Entry'!M199</f>
        <v/>
      </c>
      <c r="N227" s="78" t="str">
        <f>'Manual Entry'!N199</f>
        <v/>
      </c>
      <c r="O227" s="76">
        <f t="shared" si="6"/>
        <v>0</v>
      </c>
      <c r="P227" s="76">
        <f t="shared" si="7"/>
        <v>0</v>
      </c>
      <c r="Q227" s="76">
        <f t="shared" si="8"/>
        <v>0</v>
      </c>
      <c r="R227" s="76">
        <f t="shared" si="9"/>
        <v>0</v>
      </c>
      <c r="S227" s="76" t="str">
        <f t="shared" si="10"/>
        <v/>
      </c>
      <c r="T227" s="76" t="str">
        <f t="shared" si="11"/>
        <v/>
      </c>
      <c r="U227" s="76" t="str">
        <f t="shared" si="12"/>
        <v/>
      </c>
      <c r="V227" s="76" t="str">
        <f t="shared" si="13"/>
        <v/>
      </c>
      <c r="W227" s="76" t="str">
        <f t="shared" si="14"/>
        <v/>
      </c>
      <c r="X227" s="76" t="str">
        <f t="shared" si="15"/>
        <v/>
      </c>
      <c r="Y227" s="76" t="str">
        <f t="shared" si="16"/>
        <v/>
      </c>
      <c r="Z227" s="76" t="str">
        <f t="shared" si="17"/>
        <v/>
      </c>
      <c r="AA227" s="76" t="str">
        <f t="shared" si="18"/>
        <v/>
      </c>
      <c r="AB227" s="76" t="str">
        <f t="shared" si="19"/>
        <v/>
      </c>
      <c r="AC227" s="76" t="str">
        <f t="shared" si="20"/>
        <v/>
      </c>
      <c r="AD227" s="76" t="str">
        <f t="shared" si="21"/>
        <v/>
      </c>
      <c r="AE227" s="76" t="str">
        <f t="shared" si="22"/>
        <v/>
      </c>
      <c r="AF227" s="76" t="str">
        <f t="shared" si="23"/>
        <v/>
      </c>
      <c r="AG227" s="76" t="str">
        <f t="shared" si="24"/>
        <v/>
      </c>
      <c r="AH227" s="76" t="str">
        <f t="shared" si="25"/>
        <v/>
      </c>
      <c r="AI227" s="76" t="str">
        <f t="shared" si="26"/>
        <v/>
      </c>
      <c r="AJ227" s="76" t="str">
        <f t="shared" si="27"/>
        <v/>
      </c>
      <c r="AK227" s="76" t="str">
        <f t="shared" si="28"/>
        <v/>
      </c>
      <c r="AL227" s="76" t="str">
        <f t="shared" si="29"/>
        <v/>
      </c>
      <c r="AM227" s="76" t="str">
        <f t="shared" si="30"/>
        <v/>
      </c>
      <c r="AN227" s="76" t="str">
        <f t="shared" si="31"/>
        <v/>
      </c>
      <c r="AO227" s="76" t="str">
        <f t="shared" si="32"/>
        <v/>
      </c>
      <c r="AP227" s="76" t="str">
        <f t="shared" si="33"/>
        <v/>
      </c>
    </row>
    <row r="228" ht="15.75" customHeight="1">
      <c r="A228" s="76" t="str">
        <f>IF('Manual Entry'!A200="","",'Manual Entry'!A200)</f>
        <v/>
      </c>
      <c r="B228" s="76" t="str">
        <f t="shared" si="3"/>
        <v/>
      </c>
      <c r="C228" s="76" t="str">
        <f t="shared" si="4"/>
        <v/>
      </c>
      <c r="D228" s="76" t="str">
        <f>'Manual Entry'!D200</f>
        <v/>
      </c>
      <c r="E228" s="76" t="str">
        <f>'Manual Entry'!B200</f>
        <v/>
      </c>
      <c r="F228" s="76" t="str">
        <f>'Manual Entry'!F200</f>
        <v/>
      </c>
      <c r="G228" s="76" t="str">
        <f>'Manual Entry'!G200</f>
        <v/>
      </c>
      <c r="H228" s="76" t="str">
        <f>'Manual Entry'!H200</f>
        <v/>
      </c>
      <c r="I228" s="78" t="str">
        <f>'Manual Entry'!I200</f>
        <v/>
      </c>
      <c r="J228" s="78" t="str">
        <f>'Manual Entry'!J200</f>
        <v/>
      </c>
      <c r="K228" s="78" t="str">
        <f>'Manual Entry'!K200</f>
        <v/>
      </c>
      <c r="L228" s="78" t="str">
        <f>'Manual Entry'!L200</f>
        <v/>
      </c>
      <c r="M228" s="78" t="str">
        <f>'Manual Entry'!M200</f>
        <v/>
      </c>
      <c r="N228" s="78" t="str">
        <f>'Manual Entry'!N200</f>
        <v/>
      </c>
      <c r="O228" s="76">
        <f t="shared" si="6"/>
        <v>0</v>
      </c>
      <c r="P228" s="76">
        <f t="shared" si="7"/>
        <v>0</v>
      </c>
      <c r="Q228" s="76">
        <f t="shared" si="8"/>
        <v>0</v>
      </c>
      <c r="R228" s="76">
        <f t="shared" si="9"/>
        <v>0</v>
      </c>
      <c r="S228" s="76" t="str">
        <f t="shared" si="10"/>
        <v/>
      </c>
      <c r="T228" s="76" t="str">
        <f t="shared" si="11"/>
        <v/>
      </c>
      <c r="U228" s="76" t="str">
        <f t="shared" si="12"/>
        <v/>
      </c>
      <c r="V228" s="76" t="str">
        <f t="shared" si="13"/>
        <v/>
      </c>
      <c r="W228" s="76" t="str">
        <f t="shared" si="14"/>
        <v/>
      </c>
      <c r="X228" s="76" t="str">
        <f t="shared" si="15"/>
        <v/>
      </c>
      <c r="Y228" s="76" t="str">
        <f t="shared" si="16"/>
        <v/>
      </c>
      <c r="Z228" s="76" t="str">
        <f t="shared" si="17"/>
        <v/>
      </c>
      <c r="AA228" s="76" t="str">
        <f t="shared" si="18"/>
        <v/>
      </c>
      <c r="AB228" s="76" t="str">
        <f t="shared" si="19"/>
        <v/>
      </c>
      <c r="AC228" s="76" t="str">
        <f t="shared" si="20"/>
        <v/>
      </c>
      <c r="AD228" s="76" t="str">
        <f t="shared" si="21"/>
        <v/>
      </c>
      <c r="AE228" s="76" t="str">
        <f t="shared" si="22"/>
        <v/>
      </c>
      <c r="AF228" s="76" t="str">
        <f t="shared" si="23"/>
        <v/>
      </c>
      <c r="AG228" s="76" t="str">
        <f t="shared" si="24"/>
        <v/>
      </c>
      <c r="AH228" s="76" t="str">
        <f t="shared" si="25"/>
        <v/>
      </c>
      <c r="AI228" s="76" t="str">
        <f t="shared" si="26"/>
        <v/>
      </c>
      <c r="AJ228" s="76" t="str">
        <f t="shared" si="27"/>
        <v/>
      </c>
      <c r="AK228" s="76" t="str">
        <f t="shared" si="28"/>
        <v/>
      </c>
      <c r="AL228" s="76" t="str">
        <f t="shared" si="29"/>
        <v/>
      </c>
      <c r="AM228" s="76" t="str">
        <f t="shared" si="30"/>
        <v/>
      </c>
      <c r="AN228" s="76" t="str">
        <f t="shared" si="31"/>
        <v/>
      </c>
      <c r="AO228" s="76" t="str">
        <f t="shared" si="32"/>
        <v/>
      </c>
      <c r="AP228" s="76" t="str">
        <f t="shared" si="33"/>
        <v/>
      </c>
    </row>
    <row r="229" ht="15.75" customHeight="1">
      <c r="A229" s="76" t="str">
        <f>IF('Manual Entry'!A201="","",'Manual Entry'!A201)</f>
        <v/>
      </c>
      <c r="B229" s="76" t="str">
        <f t="shared" si="3"/>
        <v/>
      </c>
      <c r="C229" s="76" t="str">
        <f t="shared" si="4"/>
        <v/>
      </c>
      <c r="D229" s="76" t="str">
        <f>'Manual Entry'!D201</f>
        <v/>
      </c>
      <c r="E229" s="76" t="str">
        <f>'Manual Entry'!B201</f>
        <v/>
      </c>
      <c r="F229" s="76" t="str">
        <f>'Manual Entry'!F201</f>
        <v/>
      </c>
      <c r="G229" s="76" t="str">
        <f>'Manual Entry'!G201</f>
        <v/>
      </c>
      <c r="H229" s="76" t="str">
        <f>'Manual Entry'!H201</f>
        <v/>
      </c>
      <c r="I229" s="78" t="str">
        <f>'Manual Entry'!I201</f>
        <v/>
      </c>
      <c r="J229" s="78" t="str">
        <f>'Manual Entry'!J201</f>
        <v/>
      </c>
      <c r="K229" s="78" t="str">
        <f>'Manual Entry'!K201</f>
        <v/>
      </c>
      <c r="L229" s="78" t="str">
        <f>'Manual Entry'!L201</f>
        <v/>
      </c>
      <c r="M229" s="78" t="str">
        <f>'Manual Entry'!M201</f>
        <v/>
      </c>
      <c r="N229" s="78" t="str">
        <f>'Manual Entry'!N201</f>
        <v/>
      </c>
      <c r="O229" s="76">
        <f t="shared" si="6"/>
        <v>0</v>
      </c>
      <c r="P229" s="76">
        <f t="shared" si="7"/>
        <v>0</v>
      </c>
      <c r="Q229" s="76">
        <f t="shared" si="8"/>
        <v>0</v>
      </c>
      <c r="R229" s="76">
        <f t="shared" si="9"/>
        <v>0</v>
      </c>
      <c r="S229" s="76" t="str">
        <f t="shared" si="10"/>
        <v/>
      </c>
      <c r="T229" s="76" t="str">
        <f t="shared" si="11"/>
        <v/>
      </c>
      <c r="U229" s="76" t="str">
        <f t="shared" si="12"/>
        <v/>
      </c>
      <c r="V229" s="76" t="str">
        <f t="shared" si="13"/>
        <v/>
      </c>
      <c r="W229" s="76" t="str">
        <f t="shared" si="14"/>
        <v/>
      </c>
      <c r="X229" s="76" t="str">
        <f t="shared" si="15"/>
        <v/>
      </c>
      <c r="Y229" s="76" t="str">
        <f t="shared" si="16"/>
        <v/>
      </c>
      <c r="Z229" s="76" t="str">
        <f t="shared" si="17"/>
        <v/>
      </c>
      <c r="AA229" s="76" t="str">
        <f t="shared" si="18"/>
        <v/>
      </c>
      <c r="AB229" s="76" t="str">
        <f t="shared" si="19"/>
        <v/>
      </c>
      <c r="AC229" s="76" t="str">
        <f t="shared" si="20"/>
        <v/>
      </c>
      <c r="AD229" s="76" t="str">
        <f t="shared" si="21"/>
        <v/>
      </c>
      <c r="AE229" s="76" t="str">
        <f t="shared" si="22"/>
        <v/>
      </c>
      <c r="AF229" s="76" t="str">
        <f t="shared" si="23"/>
        <v/>
      </c>
      <c r="AG229" s="76" t="str">
        <f t="shared" si="24"/>
        <v/>
      </c>
      <c r="AH229" s="76" t="str">
        <f t="shared" si="25"/>
        <v/>
      </c>
      <c r="AI229" s="76" t="str">
        <f t="shared" si="26"/>
        <v/>
      </c>
      <c r="AJ229" s="76" t="str">
        <f t="shared" si="27"/>
        <v/>
      </c>
      <c r="AK229" s="76" t="str">
        <f t="shared" si="28"/>
        <v/>
      </c>
      <c r="AL229" s="76" t="str">
        <f t="shared" si="29"/>
        <v/>
      </c>
      <c r="AM229" s="76" t="str">
        <f t="shared" si="30"/>
        <v/>
      </c>
      <c r="AN229" s="76" t="str">
        <f t="shared" si="31"/>
        <v/>
      </c>
      <c r="AO229" s="76" t="str">
        <f t="shared" si="32"/>
        <v/>
      </c>
      <c r="AP229" s="76" t="str">
        <f t="shared" si="33"/>
        <v/>
      </c>
    </row>
    <row r="230" ht="15.75" customHeight="1">
      <c r="A230" s="76" t="str">
        <f>IF('Manual Entry'!A202="","",'Manual Entry'!A202)</f>
        <v/>
      </c>
      <c r="B230" s="76" t="str">
        <f t="shared" si="3"/>
        <v/>
      </c>
      <c r="C230" s="76" t="str">
        <f t="shared" si="4"/>
        <v/>
      </c>
      <c r="D230" s="76" t="str">
        <f>'Manual Entry'!D202</f>
        <v/>
      </c>
      <c r="E230" s="76" t="str">
        <f>'Manual Entry'!B202</f>
        <v/>
      </c>
      <c r="F230" s="76" t="str">
        <f>'Manual Entry'!F202</f>
        <v/>
      </c>
      <c r="G230" s="76" t="str">
        <f>'Manual Entry'!G202</f>
        <v/>
      </c>
      <c r="H230" s="76" t="str">
        <f>'Manual Entry'!H202</f>
        <v/>
      </c>
      <c r="I230" s="78" t="str">
        <f>'Manual Entry'!I202</f>
        <v/>
      </c>
      <c r="J230" s="78" t="str">
        <f>'Manual Entry'!J202</f>
        <v/>
      </c>
      <c r="K230" s="78" t="str">
        <f>'Manual Entry'!K202</f>
        <v/>
      </c>
      <c r="L230" s="78" t="str">
        <f>'Manual Entry'!L202</f>
        <v/>
      </c>
      <c r="M230" s="78" t="str">
        <f>'Manual Entry'!M202</f>
        <v/>
      </c>
      <c r="N230" s="78" t="str">
        <f>'Manual Entry'!N202</f>
        <v/>
      </c>
      <c r="O230" s="76">
        <f t="shared" si="6"/>
        <v>0</v>
      </c>
      <c r="P230" s="76">
        <f t="shared" si="7"/>
        <v>0</v>
      </c>
      <c r="Q230" s="76">
        <f t="shared" si="8"/>
        <v>0</v>
      </c>
      <c r="R230" s="76">
        <f t="shared" si="9"/>
        <v>0</v>
      </c>
      <c r="S230" s="76" t="str">
        <f t="shared" si="10"/>
        <v/>
      </c>
      <c r="T230" s="76" t="str">
        <f t="shared" si="11"/>
        <v/>
      </c>
      <c r="U230" s="76" t="str">
        <f t="shared" si="12"/>
        <v/>
      </c>
      <c r="V230" s="76" t="str">
        <f t="shared" si="13"/>
        <v/>
      </c>
      <c r="W230" s="76" t="str">
        <f t="shared" si="14"/>
        <v/>
      </c>
      <c r="X230" s="76" t="str">
        <f t="shared" si="15"/>
        <v/>
      </c>
      <c r="Y230" s="76" t="str">
        <f t="shared" si="16"/>
        <v/>
      </c>
      <c r="Z230" s="76" t="str">
        <f t="shared" si="17"/>
        <v/>
      </c>
      <c r="AA230" s="76" t="str">
        <f t="shared" si="18"/>
        <v/>
      </c>
      <c r="AB230" s="76" t="str">
        <f t="shared" si="19"/>
        <v/>
      </c>
      <c r="AC230" s="76" t="str">
        <f t="shared" si="20"/>
        <v/>
      </c>
      <c r="AD230" s="76" t="str">
        <f t="shared" si="21"/>
        <v/>
      </c>
      <c r="AE230" s="76" t="str">
        <f t="shared" si="22"/>
        <v/>
      </c>
      <c r="AF230" s="76" t="str">
        <f t="shared" si="23"/>
        <v/>
      </c>
      <c r="AG230" s="76" t="str">
        <f t="shared" si="24"/>
        <v/>
      </c>
      <c r="AH230" s="76" t="str">
        <f t="shared" si="25"/>
        <v/>
      </c>
      <c r="AI230" s="76" t="str">
        <f t="shared" si="26"/>
        <v/>
      </c>
      <c r="AJ230" s="76" t="str">
        <f t="shared" si="27"/>
        <v/>
      </c>
      <c r="AK230" s="76" t="str">
        <f t="shared" si="28"/>
        <v/>
      </c>
      <c r="AL230" s="76" t="str">
        <f t="shared" si="29"/>
        <v/>
      </c>
      <c r="AM230" s="76" t="str">
        <f t="shared" si="30"/>
        <v/>
      </c>
      <c r="AN230" s="76" t="str">
        <f t="shared" si="31"/>
        <v/>
      </c>
      <c r="AO230" s="76" t="str">
        <f t="shared" si="32"/>
        <v/>
      </c>
      <c r="AP230" s="76" t="str">
        <f t="shared" si="33"/>
        <v/>
      </c>
    </row>
    <row r="231" ht="15.75" customHeight="1">
      <c r="A231" s="76" t="str">
        <f>IF('Manual Entry'!A203="","",'Manual Entry'!A203)</f>
        <v/>
      </c>
      <c r="B231" s="76" t="str">
        <f t="shared" si="3"/>
        <v/>
      </c>
      <c r="C231" s="76" t="str">
        <f t="shared" si="4"/>
        <v/>
      </c>
      <c r="D231" s="76" t="str">
        <f>'Manual Entry'!D203</f>
        <v/>
      </c>
      <c r="E231" s="76" t="str">
        <f>'Manual Entry'!B203</f>
        <v/>
      </c>
      <c r="F231" s="76" t="str">
        <f>'Manual Entry'!F203</f>
        <v/>
      </c>
      <c r="G231" s="76" t="str">
        <f>'Manual Entry'!G203</f>
        <v/>
      </c>
      <c r="H231" s="76" t="str">
        <f>'Manual Entry'!H203</f>
        <v/>
      </c>
      <c r="I231" s="78" t="str">
        <f>'Manual Entry'!I203</f>
        <v/>
      </c>
      <c r="J231" s="78" t="str">
        <f>'Manual Entry'!J203</f>
        <v/>
      </c>
      <c r="K231" s="78" t="str">
        <f>'Manual Entry'!K203</f>
        <v/>
      </c>
      <c r="L231" s="78" t="str">
        <f>'Manual Entry'!L203</f>
        <v/>
      </c>
      <c r="M231" s="78" t="str">
        <f>'Manual Entry'!M203</f>
        <v/>
      </c>
      <c r="N231" s="78" t="str">
        <f>'Manual Entry'!N203</f>
        <v/>
      </c>
      <c r="O231" s="76">
        <f t="shared" si="6"/>
        <v>0</v>
      </c>
      <c r="P231" s="76">
        <f t="shared" si="7"/>
        <v>0</v>
      </c>
      <c r="Q231" s="76">
        <f t="shared" si="8"/>
        <v>0</v>
      </c>
      <c r="R231" s="76">
        <f t="shared" si="9"/>
        <v>0</v>
      </c>
      <c r="S231" s="76" t="str">
        <f t="shared" si="10"/>
        <v/>
      </c>
      <c r="T231" s="76" t="str">
        <f t="shared" si="11"/>
        <v/>
      </c>
      <c r="U231" s="76" t="str">
        <f t="shared" si="12"/>
        <v/>
      </c>
      <c r="V231" s="76" t="str">
        <f t="shared" si="13"/>
        <v/>
      </c>
      <c r="W231" s="76" t="str">
        <f t="shared" si="14"/>
        <v/>
      </c>
      <c r="X231" s="76" t="str">
        <f t="shared" si="15"/>
        <v/>
      </c>
      <c r="Y231" s="76" t="str">
        <f t="shared" si="16"/>
        <v/>
      </c>
      <c r="Z231" s="76" t="str">
        <f t="shared" si="17"/>
        <v/>
      </c>
      <c r="AA231" s="76" t="str">
        <f t="shared" si="18"/>
        <v/>
      </c>
      <c r="AB231" s="76" t="str">
        <f t="shared" si="19"/>
        <v/>
      </c>
      <c r="AC231" s="76" t="str">
        <f t="shared" si="20"/>
        <v/>
      </c>
      <c r="AD231" s="76" t="str">
        <f t="shared" si="21"/>
        <v/>
      </c>
      <c r="AE231" s="76" t="str">
        <f t="shared" si="22"/>
        <v/>
      </c>
      <c r="AF231" s="76" t="str">
        <f t="shared" si="23"/>
        <v/>
      </c>
      <c r="AG231" s="76" t="str">
        <f t="shared" si="24"/>
        <v/>
      </c>
      <c r="AH231" s="76" t="str">
        <f t="shared" si="25"/>
        <v/>
      </c>
      <c r="AI231" s="76" t="str">
        <f t="shared" si="26"/>
        <v/>
      </c>
      <c r="AJ231" s="76" t="str">
        <f t="shared" si="27"/>
        <v/>
      </c>
      <c r="AK231" s="76" t="str">
        <f t="shared" si="28"/>
        <v/>
      </c>
      <c r="AL231" s="76" t="str">
        <f t="shared" si="29"/>
        <v/>
      </c>
      <c r="AM231" s="76" t="str">
        <f t="shared" si="30"/>
        <v/>
      </c>
      <c r="AN231" s="76" t="str">
        <f t="shared" si="31"/>
        <v/>
      </c>
      <c r="AO231" s="76" t="str">
        <f t="shared" si="32"/>
        <v/>
      </c>
      <c r="AP231" s="76" t="str">
        <f t="shared" si="33"/>
        <v/>
      </c>
    </row>
    <row r="232" ht="15.75" customHeight="1">
      <c r="A232" s="76" t="str">
        <f>IF('Manual Entry'!A204="","",'Manual Entry'!A204)</f>
        <v/>
      </c>
      <c r="B232" s="76" t="str">
        <f t="shared" si="3"/>
        <v/>
      </c>
      <c r="C232" s="76" t="str">
        <f t="shared" si="4"/>
        <v/>
      </c>
      <c r="D232" s="76" t="str">
        <f>'Manual Entry'!D204</f>
        <v/>
      </c>
      <c r="E232" s="76" t="str">
        <f>'Manual Entry'!B204</f>
        <v/>
      </c>
      <c r="F232" s="76" t="str">
        <f>'Manual Entry'!F204</f>
        <v/>
      </c>
      <c r="G232" s="76" t="str">
        <f>'Manual Entry'!G204</f>
        <v/>
      </c>
      <c r="H232" s="76" t="str">
        <f>'Manual Entry'!H204</f>
        <v/>
      </c>
      <c r="I232" s="78" t="str">
        <f>'Manual Entry'!I204</f>
        <v/>
      </c>
      <c r="J232" s="78" t="str">
        <f>'Manual Entry'!J204</f>
        <v/>
      </c>
      <c r="K232" s="78" t="str">
        <f>'Manual Entry'!K204</f>
        <v/>
      </c>
      <c r="L232" s="78" t="str">
        <f>'Manual Entry'!L204</f>
        <v/>
      </c>
      <c r="M232" s="78" t="str">
        <f>'Manual Entry'!M204</f>
        <v/>
      </c>
      <c r="N232" s="78" t="str">
        <f>'Manual Entry'!N204</f>
        <v/>
      </c>
      <c r="O232" s="76">
        <f t="shared" si="6"/>
        <v>0</v>
      </c>
      <c r="P232" s="76">
        <f t="shared" si="7"/>
        <v>0</v>
      </c>
      <c r="Q232" s="76">
        <f t="shared" si="8"/>
        <v>0</v>
      </c>
      <c r="R232" s="76">
        <f t="shared" si="9"/>
        <v>0</v>
      </c>
      <c r="S232" s="76" t="str">
        <f t="shared" si="10"/>
        <v/>
      </c>
      <c r="T232" s="76" t="str">
        <f t="shared" si="11"/>
        <v/>
      </c>
      <c r="U232" s="76" t="str">
        <f t="shared" si="12"/>
        <v/>
      </c>
      <c r="V232" s="76" t="str">
        <f t="shared" si="13"/>
        <v/>
      </c>
      <c r="W232" s="76" t="str">
        <f t="shared" si="14"/>
        <v/>
      </c>
      <c r="X232" s="76" t="str">
        <f t="shared" si="15"/>
        <v/>
      </c>
      <c r="Y232" s="76" t="str">
        <f t="shared" si="16"/>
        <v/>
      </c>
      <c r="Z232" s="76" t="str">
        <f t="shared" si="17"/>
        <v/>
      </c>
      <c r="AA232" s="76" t="str">
        <f t="shared" si="18"/>
        <v/>
      </c>
      <c r="AB232" s="76" t="str">
        <f t="shared" si="19"/>
        <v/>
      </c>
      <c r="AC232" s="76" t="str">
        <f t="shared" si="20"/>
        <v/>
      </c>
      <c r="AD232" s="76" t="str">
        <f t="shared" si="21"/>
        <v/>
      </c>
      <c r="AE232" s="76" t="str">
        <f t="shared" si="22"/>
        <v/>
      </c>
      <c r="AF232" s="76" t="str">
        <f t="shared" si="23"/>
        <v/>
      </c>
      <c r="AG232" s="76" t="str">
        <f t="shared" si="24"/>
        <v/>
      </c>
      <c r="AH232" s="76" t="str">
        <f t="shared" si="25"/>
        <v/>
      </c>
      <c r="AI232" s="76" t="str">
        <f t="shared" si="26"/>
        <v/>
      </c>
      <c r="AJ232" s="76" t="str">
        <f t="shared" si="27"/>
        <v/>
      </c>
      <c r="AK232" s="76" t="str">
        <f t="shared" si="28"/>
        <v/>
      </c>
      <c r="AL232" s="76" t="str">
        <f t="shared" si="29"/>
        <v/>
      </c>
      <c r="AM232" s="76" t="str">
        <f t="shared" si="30"/>
        <v/>
      </c>
      <c r="AN232" s="76" t="str">
        <f t="shared" si="31"/>
        <v/>
      </c>
      <c r="AO232" s="76" t="str">
        <f t="shared" si="32"/>
        <v/>
      </c>
      <c r="AP232" s="76" t="str">
        <f t="shared" si="33"/>
        <v/>
      </c>
    </row>
    <row r="233" ht="15.75" customHeight="1">
      <c r="A233" s="76" t="str">
        <f>IF('Manual Entry'!A205="","",'Manual Entry'!A205)</f>
        <v/>
      </c>
      <c r="B233" s="76" t="str">
        <f t="shared" si="3"/>
        <v/>
      </c>
      <c r="C233" s="76" t="str">
        <f t="shared" si="4"/>
        <v/>
      </c>
      <c r="D233" s="76" t="str">
        <f>'Manual Entry'!D205</f>
        <v/>
      </c>
      <c r="E233" s="76" t="str">
        <f>'Manual Entry'!B205</f>
        <v/>
      </c>
      <c r="F233" s="76" t="str">
        <f>'Manual Entry'!F205</f>
        <v/>
      </c>
      <c r="G233" s="76" t="str">
        <f>'Manual Entry'!G205</f>
        <v/>
      </c>
      <c r="H233" s="76" t="str">
        <f>'Manual Entry'!H205</f>
        <v/>
      </c>
      <c r="I233" s="78" t="str">
        <f>'Manual Entry'!I205</f>
        <v/>
      </c>
      <c r="J233" s="78" t="str">
        <f>'Manual Entry'!J205</f>
        <v/>
      </c>
      <c r="K233" s="78" t="str">
        <f>'Manual Entry'!K205</f>
        <v/>
      </c>
      <c r="L233" s="78" t="str">
        <f>'Manual Entry'!L205</f>
        <v/>
      </c>
      <c r="M233" s="78" t="str">
        <f>'Manual Entry'!M205</f>
        <v/>
      </c>
      <c r="N233" s="78" t="str">
        <f>'Manual Entry'!N205</f>
        <v/>
      </c>
      <c r="O233" s="76">
        <f t="shared" si="6"/>
        <v>0</v>
      </c>
      <c r="P233" s="76">
        <f t="shared" si="7"/>
        <v>0</v>
      </c>
      <c r="Q233" s="76">
        <f t="shared" si="8"/>
        <v>0</v>
      </c>
      <c r="R233" s="76">
        <f t="shared" si="9"/>
        <v>0</v>
      </c>
      <c r="S233" s="76" t="str">
        <f t="shared" si="10"/>
        <v/>
      </c>
      <c r="T233" s="76" t="str">
        <f t="shared" si="11"/>
        <v/>
      </c>
      <c r="U233" s="76" t="str">
        <f t="shared" si="12"/>
        <v/>
      </c>
      <c r="V233" s="76" t="str">
        <f t="shared" si="13"/>
        <v/>
      </c>
      <c r="W233" s="76" t="str">
        <f t="shared" si="14"/>
        <v/>
      </c>
      <c r="X233" s="76" t="str">
        <f t="shared" si="15"/>
        <v/>
      </c>
      <c r="Y233" s="76" t="str">
        <f t="shared" si="16"/>
        <v/>
      </c>
      <c r="Z233" s="76" t="str">
        <f t="shared" si="17"/>
        <v/>
      </c>
      <c r="AA233" s="76" t="str">
        <f t="shared" si="18"/>
        <v/>
      </c>
      <c r="AB233" s="76" t="str">
        <f t="shared" si="19"/>
        <v/>
      </c>
      <c r="AC233" s="76" t="str">
        <f t="shared" si="20"/>
        <v/>
      </c>
      <c r="AD233" s="76" t="str">
        <f t="shared" si="21"/>
        <v/>
      </c>
      <c r="AE233" s="76" t="str">
        <f t="shared" si="22"/>
        <v/>
      </c>
      <c r="AF233" s="76" t="str">
        <f t="shared" si="23"/>
        <v/>
      </c>
      <c r="AG233" s="76" t="str">
        <f t="shared" si="24"/>
        <v/>
      </c>
      <c r="AH233" s="76" t="str">
        <f t="shared" si="25"/>
        <v/>
      </c>
      <c r="AI233" s="76" t="str">
        <f t="shared" si="26"/>
        <v/>
      </c>
      <c r="AJ233" s="76" t="str">
        <f t="shared" si="27"/>
        <v/>
      </c>
      <c r="AK233" s="76" t="str">
        <f t="shared" si="28"/>
        <v/>
      </c>
      <c r="AL233" s="76" t="str">
        <f t="shared" si="29"/>
        <v/>
      </c>
      <c r="AM233" s="76" t="str">
        <f t="shared" si="30"/>
        <v/>
      </c>
      <c r="AN233" s="76" t="str">
        <f t="shared" si="31"/>
        <v/>
      </c>
      <c r="AO233" s="76" t="str">
        <f t="shared" si="32"/>
        <v/>
      </c>
      <c r="AP233" s="76" t="str">
        <f t="shared" si="33"/>
        <v/>
      </c>
    </row>
    <row r="234" ht="15.75" customHeight="1">
      <c r="A234" s="76" t="str">
        <f>IF('Manual Entry'!A206="","",'Manual Entry'!A206)</f>
        <v/>
      </c>
      <c r="B234" s="76" t="str">
        <f t="shared" si="3"/>
        <v/>
      </c>
      <c r="C234" s="76" t="str">
        <f t="shared" si="4"/>
        <v/>
      </c>
      <c r="D234" s="76" t="str">
        <f>'Manual Entry'!D206</f>
        <v/>
      </c>
      <c r="E234" s="76" t="str">
        <f>'Manual Entry'!B206</f>
        <v/>
      </c>
      <c r="F234" s="76" t="str">
        <f>'Manual Entry'!F206</f>
        <v/>
      </c>
      <c r="G234" s="76" t="str">
        <f>'Manual Entry'!G206</f>
        <v/>
      </c>
      <c r="H234" s="76" t="str">
        <f>'Manual Entry'!H206</f>
        <v/>
      </c>
      <c r="I234" s="78" t="str">
        <f>'Manual Entry'!I206</f>
        <v/>
      </c>
      <c r="J234" s="78" t="str">
        <f>'Manual Entry'!J206</f>
        <v/>
      </c>
      <c r="K234" s="78" t="str">
        <f>'Manual Entry'!K206</f>
        <v/>
      </c>
      <c r="L234" s="78" t="str">
        <f>'Manual Entry'!L206</f>
        <v/>
      </c>
      <c r="M234" s="78" t="str">
        <f>'Manual Entry'!M206</f>
        <v/>
      </c>
      <c r="N234" s="78" t="str">
        <f>'Manual Entry'!N206</f>
        <v/>
      </c>
      <c r="O234" s="76">
        <f t="shared" si="6"/>
        <v>0</v>
      </c>
      <c r="P234" s="76">
        <f t="shared" si="7"/>
        <v>0</v>
      </c>
      <c r="Q234" s="76">
        <f t="shared" si="8"/>
        <v>0</v>
      </c>
      <c r="R234" s="76">
        <f t="shared" si="9"/>
        <v>0</v>
      </c>
      <c r="S234" s="76" t="str">
        <f t="shared" si="10"/>
        <v/>
      </c>
      <c r="T234" s="76" t="str">
        <f t="shared" si="11"/>
        <v/>
      </c>
      <c r="U234" s="76" t="str">
        <f t="shared" si="12"/>
        <v/>
      </c>
      <c r="V234" s="76" t="str">
        <f t="shared" si="13"/>
        <v/>
      </c>
      <c r="W234" s="76" t="str">
        <f t="shared" si="14"/>
        <v/>
      </c>
      <c r="X234" s="76" t="str">
        <f t="shared" si="15"/>
        <v/>
      </c>
      <c r="Y234" s="76" t="str">
        <f t="shared" si="16"/>
        <v/>
      </c>
      <c r="Z234" s="76" t="str">
        <f t="shared" si="17"/>
        <v/>
      </c>
      <c r="AA234" s="76" t="str">
        <f t="shared" si="18"/>
        <v/>
      </c>
      <c r="AB234" s="76" t="str">
        <f t="shared" si="19"/>
        <v/>
      </c>
      <c r="AC234" s="76" t="str">
        <f t="shared" si="20"/>
        <v/>
      </c>
      <c r="AD234" s="76" t="str">
        <f t="shared" si="21"/>
        <v/>
      </c>
      <c r="AE234" s="76" t="str">
        <f t="shared" si="22"/>
        <v/>
      </c>
      <c r="AF234" s="76" t="str">
        <f t="shared" si="23"/>
        <v/>
      </c>
      <c r="AG234" s="76" t="str">
        <f t="shared" si="24"/>
        <v/>
      </c>
      <c r="AH234" s="76" t="str">
        <f t="shared" si="25"/>
        <v/>
      </c>
      <c r="AI234" s="76" t="str">
        <f t="shared" si="26"/>
        <v/>
      </c>
      <c r="AJ234" s="76" t="str">
        <f t="shared" si="27"/>
        <v/>
      </c>
      <c r="AK234" s="76" t="str">
        <f t="shared" si="28"/>
        <v/>
      </c>
      <c r="AL234" s="76" t="str">
        <f t="shared" si="29"/>
        <v/>
      </c>
      <c r="AM234" s="76" t="str">
        <f t="shared" si="30"/>
        <v/>
      </c>
      <c r="AN234" s="76" t="str">
        <f t="shared" si="31"/>
        <v/>
      </c>
      <c r="AO234" s="76" t="str">
        <f t="shared" si="32"/>
        <v/>
      </c>
      <c r="AP234" s="76" t="str">
        <f t="shared" si="33"/>
        <v/>
      </c>
    </row>
    <row r="235" ht="15.75" customHeight="1">
      <c r="A235" s="76" t="str">
        <f>IF('Manual Entry'!A207="","",'Manual Entry'!A207)</f>
        <v/>
      </c>
      <c r="B235" s="76" t="str">
        <f t="shared" si="3"/>
        <v/>
      </c>
      <c r="C235" s="76" t="str">
        <f t="shared" si="4"/>
        <v/>
      </c>
      <c r="D235" s="76" t="str">
        <f>'Manual Entry'!D207</f>
        <v/>
      </c>
      <c r="E235" s="76" t="str">
        <f>'Manual Entry'!B207</f>
        <v/>
      </c>
      <c r="F235" s="76" t="str">
        <f>'Manual Entry'!F207</f>
        <v/>
      </c>
      <c r="G235" s="76" t="str">
        <f>'Manual Entry'!G207</f>
        <v/>
      </c>
      <c r="H235" s="76" t="str">
        <f>'Manual Entry'!H207</f>
        <v/>
      </c>
      <c r="I235" s="78" t="str">
        <f>'Manual Entry'!I207</f>
        <v/>
      </c>
      <c r="J235" s="78" t="str">
        <f>'Manual Entry'!J207</f>
        <v/>
      </c>
      <c r="K235" s="78" t="str">
        <f>'Manual Entry'!K207</f>
        <v/>
      </c>
      <c r="L235" s="78" t="str">
        <f>'Manual Entry'!L207</f>
        <v/>
      </c>
      <c r="M235" s="78" t="str">
        <f>'Manual Entry'!M207</f>
        <v/>
      </c>
      <c r="N235" s="78" t="str">
        <f>'Manual Entry'!N207</f>
        <v/>
      </c>
      <c r="O235" s="76">
        <f t="shared" si="6"/>
        <v>0</v>
      </c>
      <c r="P235" s="76">
        <f t="shared" si="7"/>
        <v>0</v>
      </c>
      <c r="Q235" s="76">
        <f t="shared" si="8"/>
        <v>0</v>
      </c>
      <c r="R235" s="76">
        <f t="shared" si="9"/>
        <v>0</v>
      </c>
      <c r="S235" s="76" t="str">
        <f t="shared" si="10"/>
        <v/>
      </c>
      <c r="T235" s="76" t="str">
        <f t="shared" si="11"/>
        <v/>
      </c>
      <c r="U235" s="76" t="str">
        <f t="shared" si="12"/>
        <v/>
      </c>
      <c r="V235" s="76" t="str">
        <f t="shared" si="13"/>
        <v/>
      </c>
      <c r="W235" s="76" t="str">
        <f t="shared" si="14"/>
        <v/>
      </c>
      <c r="X235" s="76" t="str">
        <f t="shared" si="15"/>
        <v/>
      </c>
      <c r="Y235" s="76" t="str">
        <f t="shared" si="16"/>
        <v/>
      </c>
      <c r="Z235" s="76" t="str">
        <f t="shared" si="17"/>
        <v/>
      </c>
      <c r="AA235" s="76" t="str">
        <f t="shared" si="18"/>
        <v/>
      </c>
      <c r="AB235" s="76" t="str">
        <f t="shared" si="19"/>
        <v/>
      </c>
      <c r="AC235" s="76" t="str">
        <f t="shared" si="20"/>
        <v/>
      </c>
      <c r="AD235" s="76" t="str">
        <f t="shared" si="21"/>
        <v/>
      </c>
      <c r="AE235" s="76" t="str">
        <f t="shared" si="22"/>
        <v/>
      </c>
      <c r="AF235" s="76" t="str">
        <f t="shared" si="23"/>
        <v/>
      </c>
      <c r="AG235" s="76" t="str">
        <f t="shared" si="24"/>
        <v/>
      </c>
      <c r="AH235" s="76" t="str">
        <f t="shared" si="25"/>
        <v/>
      </c>
      <c r="AI235" s="76" t="str">
        <f t="shared" si="26"/>
        <v/>
      </c>
      <c r="AJ235" s="76" t="str">
        <f t="shared" si="27"/>
        <v/>
      </c>
      <c r="AK235" s="76" t="str">
        <f t="shared" si="28"/>
        <v/>
      </c>
      <c r="AL235" s="76" t="str">
        <f t="shared" si="29"/>
        <v/>
      </c>
      <c r="AM235" s="76" t="str">
        <f t="shared" si="30"/>
        <v/>
      </c>
      <c r="AN235" s="76" t="str">
        <f t="shared" si="31"/>
        <v/>
      </c>
      <c r="AO235" s="76" t="str">
        <f t="shared" si="32"/>
        <v/>
      </c>
      <c r="AP235" s="76" t="str">
        <f t="shared" si="33"/>
        <v/>
      </c>
    </row>
    <row r="236" ht="15.75" customHeight="1">
      <c r="A236" s="76" t="str">
        <f>IF('Manual Entry'!A208="","",'Manual Entry'!A208)</f>
        <v/>
      </c>
      <c r="B236" s="76" t="str">
        <f t="shared" si="3"/>
        <v/>
      </c>
      <c r="C236" s="76" t="str">
        <f t="shared" si="4"/>
        <v/>
      </c>
      <c r="D236" s="76" t="str">
        <f>'Manual Entry'!D208</f>
        <v/>
      </c>
      <c r="E236" s="76" t="str">
        <f>'Manual Entry'!B208</f>
        <v/>
      </c>
      <c r="F236" s="76" t="str">
        <f>'Manual Entry'!F208</f>
        <v/>
      </c>
      <c r="G236" s="76" t="str">
        <f>'Manual Entry'!G208</f>
        <v/>
      </c>
      <c r="H236" s="76" t="str">
        <f>'Manual Entry'!H208</f>
        <v/>
      </c>
      <c r="I236" s="78" t="str">
        <f>'Manual Entry'!I208</f>
        <v/>
      </c>
      <c r="J236" s="78" t="str">
        <f>'Manual Entry'!J208</f>
        <v/>
      </c>
      <c r="K236" s="78" t="str">
        <f>'Manual Entry'!K208</f>
        <v/>
      </c>
      <c r="L236" s="78" t="str">
        <f>'Manual Entry'!L208</f>
        <v/>
      </c>
      <c r="M236" s="78" t="str">
        <f>'Manual Entry'!M208</f>
        <v/>
      </c>
      <c r="N236" s="78" t="str">
        <f>'Manual Entry'!N208</f>
        <v/>
      </c>
      <c r="O236" s="76">
        <f t="shared" si="6"/>
        <v>0</v>
      </c>
      <c r="P236" s="76">
        <f t="shared" si="7"/>
        <v>0</v>
      </c>
      <c r="Q236" s="76">
        <f t="shared" si="8"/>
        <v>0</v>
      </c>
      <c r="R236" s="76">
        <f t="shared" si="9"/>
        <v>0</v>
      </c>
      <c r="S236" s="76" t="str">
        <f t="shared" si="10"/>
        <v/>
      </c>
      <c r="T236" s="76" t="str">
        <f t="shared" si="11"/>
        <v/>
      </c>
      <c r="U236" s="76" t="str">
        <f t="shared" si="12"/>
        <v/>
      </c>
      <c r="V236" s="76" t="str">
        <f t="shared" si="13"/>
        <v/>
      </c>
      <c r="W236" s="76" t="str">
        <f t="shared" si="14"/>
        <v/>
      </c>
      <c r="X236" s="76" t="str">
        <f t="shared" si="15"/>
        <v/>
      </c>
      <c r="Y236" s="76" t="str">
        <f t="shared" si="16"/>
        <v/>
      </c>
      <c r="Z236" s="76" t="str">
        <f t="shared" si="17"/>
        <v/>
      </c>
      <c r="AA236" s="76" t="str">
        <f t="shared" si="18"/>
        <v/>
      </c>
      <c r="AB236" s="76" t="str">
        <f t="shared" si="19"/>
        <v/>
      </c>
      <c r="AC236" s="76" t="str">
        <f t="shared" si="20"/>
        <v/>
      </c>
      <c r="AD236" s="76" t="str">
        <f t="shared" si="21"/>
        <v/>
      </c>
      <c r="AE236" s="76" t="str">
        <f t="shared" si="22"/>
        <v/>
      </c>
      <c r="AF236" s="76" t="str">
        <f t="shared" si="23"/>
        <v/>
      </c>
      <c r="AG236" s="76" t="str">
        <f t="shared" si="24"/>
        <v/>
      </c>
      <c r="AH236" s="76" t="str">
        <f t="shared" si="25"/>
        <v/>
      </c>
      <c r="AI236" s="76" t="str">
        <f t="shared" si="26"/>
        <v/>
      </c>
      <c r="AJ236" s="76" t="str">
        <f t="shared" si="27"/>
        <v/>
      </c>
      <c r="AK236" s="76" t="str">
        <f t="shared" si="28"/>
        <v/>
      </c>
      <c r="AL236" s="76" t="str">
        <f t="shared" si="29"/>
        <v/>
      </c>
      <c r="AM236" s="76" t="str">
        <f t="shared" si="30"/>
        <v/>
      </c>
      <c r="AN236" s="76" t="str">
        <f t="shared" si="31"/>
        <v/>
      </c>
      <c r="AO236" s="76" t="str">
        <f t="shared" si="32"/>
        <v/>
      </c>
      <c r="AP236" s="76" t="str">
        <f t="shared" si="33"/>
        <v/>
      </c>
    </row>
    <row r="237" ht="15.75" customHeight="1">
      <c r="A237" s="76" t="str">
        <f>IF('Manual Entry'!A209="","",'Manual Entry'!A209)</f>
        <v/>
      </c>
      <c r="B237" s="76" t="str">
        <f t="shared" si="3"/>
        <v/>
      </c>
      <c r="C237" s="76" t="str">
        <f t="shared" si="4"/>
        <v/>
      </c>
      <c r="D237" s="76" t="str">
        <f>'Manual Entry'!D209</f>
        <v/>
      </c>
      <c r="E237" s="76" t="str">
        <f>'Manual Entry'!B209</f>
        <v/>
      </c>
      <c r="F237" s="76" t="str">
        <f>'Manual Entry'!F209</f>
        <v/>
      </c>
      <c r="G237" s="76" t="str">
        <f>'Manual Entry'!G209</f>
        <v/>
      </c>
      <c r="H237" s="76" t="str">
        <f>'Manual Entry'!H209</f>
        <v/>
      </c>
      <c r="I237" s="78" t="str">
        <f>'Manual Entry'!I209</f>
        <v/>
      </c>
      <c r="J237" s="78" t="str">
        <f>'Manual Entry'!J209</f>
        <v/>
      </c>
      <c r="K237" s="78" t="str">
        <f>'Manual Entry'!K209</f>
        <v/>
      </c>
      <c r="L237" s="78" t="str">
        <f>'Manual Entry'!L209</f>
        <v/>
      </c>
      <c r="M237" s="78" t="str">
        <f>'Manual Entry'!M209</f>
        <v/>
      </c>
      <c r="N237" s="78" t="str">
        <f>'Manual Entry'!N209</f>
        <v/>
      </c>
      <c r="O237" s="76">
        <f t="shared" si="6"/>
        <v>0</v>
      </c>
      <c r="P237" s="76">
        <f t="shared" si="7"/>
        <v>0</v>
      </c>
      <c r="Q237" s="76">
        <f t="shared" si="8"/>
        <v>0</v>
      </c>
      <c r="R237" s="76">
        <f t="shared" si="9"/>
        <v>0</v>
      </c>
      <c r="S237" s="76" t="str">
        <f t="shared" si="10"/>
        <v/>
      </c>
      <c r="T237" s="76" t="str">
        <f t="shared" si="11"/>
        <v/>
      </c>
      <c r="U237" s="76" t="str">
        <f t="shared" si="12"/>
        <v/>
      </c>
      <c r="V237" s="76" t="str">
        <f t="shared" si="13"/>
        <v/>
      </c>
      <c r="W237" s="76" t="str">
        <f t="shared" si="14"/>
        <v/>
      </c>
      <c r="X237" s="76" t="str">
        <f t="shared" si="15"/>
        <v/>
      </c>
      <c r="Y237" s="76" t="str">
        <f t="shared" si="16"/>
        <v/>
      </c>
      <c r="Z237" s="76" t="str">
        <f t="shared" si="17"/>
        <v/>
      </c>
      <c r="AA237" s="76" t="str">
        <f t="shared" si="18"/>
        <v/>
      </c>
      <c r="AB237" s="76" t="str">
        <f t="shared" si="19"/>
        <v/>
      </c>
      <c r="AC237" s="76" t="str">
        <f t="shared" si="20"/>
        <v/>
      </c>
      <c r="AD237" s="76" t="str">
        <f t="shared" si="21"/>
        <v/>
      </c>
      <c r="AE237" s="76" t="str">
        <f t="shared" si="22"/>
        <v/>
      </c>
      <c r="AF237" s="76" t="str">
        <f t="shared" si="23"/>
        <v/>
      </c>
      <c r="AG237" s="76" t="str">
        <f t="shared" si="24"/>
        <v/>
      </c>
      <c r="AH237" s="76" t="str">
        <f t="shared" si="25"/>
        <v/>
      </c>
      <c r="AI237" s="76" t="str">
        <f t="shared" si="26"/>
        <v/>
      </c>
      <c r="AJ237" s="76" t="str">
        <f t="shared" si="27"/>
        <v/>
      </c>
      <c r="AK237" s="76" t="str">
        <f t="shared" si="28"/>
        <v/>
      </c>
      <c r="AL237" s="76" t="str">
        <f t="shared" si="29"/>
        <v/>
      </c>
      <c r="AM237" s="76" t="str">
        <f t="shared" si="30"/>
        <v/>
      </c>
      <c r="AN237" s="76" t="str">
        <f t="shared" si="31"/>
        <v/>
      </c>
      <c r="AO237" s="76" t="str">
        <f t="shared" si="32"/>
        <v/>
      </c>
      <c r="AP237" s="76" t="str">
        <f t="shared" si="33"/>
        <v/>
      </c>
    </row>
    <row r="238" ht="15.75" customHeight="1">
      <c r="A238" s="76" t="str">
        <f>IF('Manual Entry'!A210="","",'Manual Entry'!A210)</f>
        <v/>
      </c>
      <c r="B238" s="76" t="str">
        <f t="shared" si="3"/>
        <v/>
      </c>
      <c r="C238" s="76" t="str">
        <f t="shared" si="4"/>
        <v/>
      </c>
      <c r="D238" s="76" t="str">
        <f>'Manual Entry'!D210</f>
        <v/>
      </c>
      <c r="E238" s="76" t="str">
        <f>'Manual Entry'!B210</f>
        <v/>
      </c>
      <c r="F238" s="76" t="str">
        <f>'Manual Entry'!F210</f>
        <v/>
      </c>
      <c r="G238" s="76" t="str">
        <f>'Manual Entry'!G210</f>
        <v/>
      </c>
      <c r="H238" s="76" t="str">
        <f>'Manual Entry'!H210</f>
        <v/>
      </c>
      <c r="I238" s="78" t="str">
        <f>'Manual Entry'!I210</f>
        <v/>
      </c>
      <c r="J238" s="78" t="str">
        <f>'Manual Entry'!J210</f>
        <v/>
      </c>
      <c r="K238" s="78" t="str">
        <f>'Manual Entry'!K210</f>
        <v/>
      </c>
      <c r="L238" s="78" t="str">
        <f>'Manual Entry'!L210</f>
        <v/>
      </c>
      <c r="M238" s="78" t="str">
        <f>'Manual Entry'!M210</f>
        <v/>
      </c>
      <c r="N238" s="78" t="str">
        <f>'Manual Entry'!N210</f>
        <v/>
      </c>
      <c r="O238" s="76">
        <f t="shared" si="6"/>
        <v>0</v>
      </c>
      <c r="P238" s="76">
        <f t="shared" si="7"/>
        <v>0</v>
      </c>
      <c r="Q238" s="76">
        <f t="shared" si="8"/>
        <v>0</v>
      </c>
      <c r="R238" s="76">
        <f t="shared" si="9"/>
        <v>0</v>
      </c>
      <c r="S238" s="76" t="str">
        <f t="shared" si="10"/>
        <v/>
      </c>
      <c r="T238" s="76" t="str">
        <f t="shared" si="11"/>
        <v/>
      </c>
      <c r="U238" s="76" t="str">
        <f t="shared" si="12"/>
        <v/>
      </c>
      <c r="V238" s="76" t="str">
        <f t="shared" si="13"/>
        <v/>
      </c>
      <c r="W238" s="76" t="str">
        <f t="shared" si="14"/>
        <v/>
      </c>
      <c r="X238" s="76" t="str">
        <f t="shared" si="15"/>
        <v/>
      </c>
      <c r="Y238" s="76" t="str">
        <f t="shared" si="16"/>
        <v/>
      </c>
      <c r="Z238" s="76" t="str">
        <f t="shared" si="17"/>
        <v/>
      </c>
      <c r="AA238" s="76" t="str">
        <f t="shared" si="18"/>
        <v/>
      </c>
      <c r="AB238" s="76" t="str">
        <f t="shared" si="19"/>
        <v/>
      </c>
      <c r="AC238" s="76" t="str">
        <f t="shared" si="20"/>
        <v/>
      </c>
      <c r="AD238" s="76" t="str">
        <f t="shared" si="21"/>
        <v/>
      </c>
      <c r="AE238" s="76" t="str">
        <f t="shared" si="22"/>
        <v/>
      </c>
      <c r="AF238" s="76" t="str">
        <f t="shared" si="23"/>
        <v/>
      </c>
      <c r="AG238" s="76" t="str">
        <f t="shared" si="24"/>
        <v/>
      </c>
      <c r="AH238" s="76" t="str">
        <f t="shared" si="25"/>
        <v/>
      </c>
      <c r="AI238" s="76" t="str">
        <f t="shared" si="26"/>
        <v/>
      </c>
      <c r="AJ238" s="76" t="str">
        <f t="shared" si="27"/>
        <v/>
      </c>
      <c r="AK238" s="76" t="str">
        <f t="shared" si="28"/>
        <v/>
      </c>
      <c r="AL238" s="76" t="str">
        <f t="shared" si="29"/>
        <v/>
      </c>
      <c r="AM238" s="76" t="str">
        <f t="shared" si="30"/>
        <v/>
      </c>
      <c r="AN238" s="76" t="str">
        <f t="shared" si="31"/>
        <v/>
      </c>
      <c r="AO238" s="76" t="str">
        <f t="shared" si="32"/>
        <v/>
      </c>
      <c r="AP238" s="76" t="str">
        <f t="shared" si="33"/>
        <v/>
      </c>
    </row>
    <row r="239" ht="15.75" customHeight="1">
      <c r="A239" s="76" t="str">
        <f>IF('Manual Entry'!A211="","",'Manual Entry'!A211)</f>
        <v/>
      </c>
      <c r="B239" s="76" t="str">
        <f t="shared" si="3"/>
        <v/>
      </c>
      <c r="C239" s="76" t="str">
        <f t="shared" si="4"/>
        <v/>
      </c>
      <c r="D239" s="76" t="str">
        <f>'Manual Entry'!D211</f>
        <v/>
      </c>
      <c r="E239" s="76" t="str">
        <f>'Manual Entry'!B211</f>
        <v/>
      </c>
      <c r="F239" s="76" t="str">
        <f>'Manual Entry'!F211</f>
        <v/>
      </c>
      <c r="G239" s="76" t="str">
        <f>'Manual Entry'!G211</f>
        <v/>
      </c>
      <c r="H239" s="76" t="str">
        <f>'Manual Entry'!H211</f>
        <v/>
      </c>
      <c r="I239" s="78" t="str">
        <f>'Manual Entry'!I211</f>
        <v/>
      </c>
      <c r="J239" s="78" t="str">
        <f>'Manual Entry'!J211</f>
        <v/>
      </c>
      <c r="K239" s="78" t="str">
        <f>'Manual Entry'!K211</f>
        <v/>
      </c>
      <c r="L239" s="78" t="str">
        <f>'Manual Entry'!L211</f>
        <v/>
      </c>
      <c r="M239" s="78" t="str">
        <f>'Manual Entry'!M211</f>
        <v/>
      </c>
      <c r="N239" s="78" t="str">
        <f>'Manual Entry'!N211</f>
        <v/>
      </c>
      <c r="O239" s="76">
        <f t="shared" si="6"/>
        <v>0</v>
      </c>
      <c r="P239" s="76">
        <f t="shared" si="7"/>
        <v>0</v>
      </c>
      <c r="Q239" s="76">
        <f t="shared" si="8"/>
        <v>0</v>
      </c>
      <c r="R239" s="76">
        <f t="shared" si="9"/>
        <v>0</v>
      </c>
      <c r="S239" s="76" t="str">
        <f t="shared" si="10"/>
        <v/>
      </c>
      <c r="T239" s="76" t="str">
        <f t="shared" si="11"/>
        <v/>
      </c>
      <c r="U239" s="76" t="str">
        <f t="shared" si="12"/>
        <v/>
      </c>
      <c r="V239" s="76" t="str">
        <f t="shared" si="13"/>
        <v/>
      </c>
      <c r="W239" s="76" t="str">
        <f t="shared" si="14"/>
        <v/>
      </c>
      <c r="X239" s="76" t="str">
        <f t="shared" si="15"/>
        <v/>
      </c>
      <c r="Y239" s="76" t="str">
        <f t="shared" si="16"/>
        <v/>
      </c>
      <c r="Z239" s="76" t="str">
        <f t="shared" si="17"/>
        <v/>
      </c>
      <c r="AA239" s="76" t="str">
        <f t="shared" si="18"/>
        <v/>
      </c>
      <c r="AB239" s="76" t="str">
        <f t="shared" si="19"/>
        <v/>
      </c>
      <c r="AC239" s="76" t="str">
        <f t="shared" si="20"/>
        <v/>
      </c>
      <c r="AD239" s="76" t="str">
        <f t="shared" si="21"/>
        <v/>
      </c>
      <c r="AE239" s="76" t="str">
        <f t="shared" si="22"/>
        <v/>
      </c>
      <c r="AF239" s="76" t="str">
        <f t="shared" si="23"/>
        <v/>
      </c>
      <c r="AG239" s="76" t="str">
        <f t="shared" si="24"/>
        <v/>
      </c>
      <c r="AH239" s="76" t="str">
        <f t="shared" si="25"/>
        <v/>
      </c>
      <c r="AI239" s="76" t="str">
        <f t="shared" si="26"/>
        <v/>
      </c>
      <c r="AJ239" s="76" t="str">
        <f t="shared" si="27"/>
        <v/>
      </c>
      <c r="AK239" s="76" t="str">
        <f t="shared" si="28"/>
        <v/>
      </c>
      <c r="AL239" s="76" t="str">
        <f t="shared" si="29"/>
        <v/>
      </c>
      <c r="AM239" s="76" t="str">
        <f t="shared" si="30"/>
        <v/>
      </c>
      <c r="AN239" s="76" t="str">
        <f t="shared" si="31"/>
        <v/>
      </c>
      <c r="AO239" s="76" t="str">
        <f t="shared" si="32"/>
        <v/>
      </c>
      <c r="AP239" s="76" t="str">
        <f t="shared" si="33"/>
        <v/>
      </c>
    </row>
    <row r="240" ht="15.75" customHeight="1">
      <c r="A240" s="76" t="str">
        <f>IF('Manual Entry'!A212="","",'Manual Entry'!A212)</f>
        <v/>
      </c>
      <c r="B240" s="76" t="str">
        <f t="shared" si="3"/>
        <v/>
      </c>
      <c r="C240" s="76" t="str">
        <f t="shared" si="4"/>
        <v/>
      </c>
      <c r="D240" s="76" t="str">
        <f>'Manual Entry'!D212</f>
        <v/>
      </c>
      <c r="E240" s="76" t="str">
        <f>'Manual Entry'!B212</f>
        <v/>
      </c>
      <c r="F240" s="76" t="str">
        <f>'Manual Entry'!F212</f>
        <v/>
      </c>
      <c r="G240" s="76" t="str">
        <f>'Manual Entry'!G212</f>
        <v/>
      </c>
      <c r="H240" s="76" t="str">
        <f>'Manual Entry'!H212</f>
        <v/>
      </c>
      <c r="I240" s="78" t="str">
        <f>'Manual Entry'!I212</f>
        <v/>
      </c>
      <c r="J240" s="78" t="str">
        <f>'Manual Entry'!J212</f>
        <v/>
      </c>
      <c r="K240" s="78" t="str">
        <f>'Manual Entry'!K212</f>
        <v/>
      </c>
      <c r="L240" s="78" t="str">
        <f>'Manual Entry'!L212</f>
        <v/>
      </c>
      <c r="M240" s="78" t="str">
        <f>'Manual Entry'!M212</f>
        <v/>
      </c>
      <c r="N240" s="78" t="str">
        <f>'Manual Entry'!N212</f>
        <v/>
      </c>
      <c r="O240" s="76">
        <f t="shared" si="6"/>
        <v>0</v>
      </c>
      <c r="P240" s="76">
        <f t="shared" si="7"/>
        <v>0</v>
      </c>
      <c r="Q240" s="76">
        <f t="shared" si="8"/>
        <v>0</v>
      </c>
      <c r="R240" s="76">
        <f t="shared" si="9"/>
        <v>0</v>
      </c>
      <c r="S240" s="76" t="str">
        <f t="shared" si="10"/>
        <v/>
      </c>
      <c r="T240" s="76" t="str">
        <f t="shared" si="11"/>
        <v/>
      </c>
      <c r="U240" s="76" t="str">
        <f t="shared" si="12"/>
        <v/>
      </c>
      <c r="V240" s="76" t="str">
        <f t="shared" si="13"/>
        <v/>
      </c>
      <c r="W240" s="76" t="str">
        <f t="shared" si="14"/>
        <v/>
      </c>
      <c r="X240" s="76" t="str">
        <f t="shared" si="15"/>
        <v/>
      </c>
      <c r="Y240" s="76" t="str">
        <f t="shared" si="16"/>
        <v/>
      </c>
      <c r="Z240" s="76" t="str">
        <f t="shared" si="17"/>
        <v/>
      </c>
      <c r="AA240" s="76" t="str">
        <f t="shared" si="18"/>
        <v/>
      </c>
      <c r="AB240" s="76" t="str">
        <f t="shared" si="19"/>
        <v/>
      </c>
      <c r="AC240" s="76" t="str">
        <f t="shared" si="20"/>
        <v/>
      </c>
      <c r="AD240" s="76" t="str">
        <f t="shared" si="21"/>
        <v/>
      </c>
      <c r="AE240" s="76" t="str">
        <f t="shared" si="22"/>
        <v/>
      </c>
      <c r="AF240" s="76" t="str">
        <f t="shared" si="23"/>
        <v/>
      </c>
      <c r="AG240" s="76" t="str">
        <f t="shared" si="24"/>
        <v/>
      </c>
      <c r="AH240" s="76" t="str">
        <f t="shared" si="25"/>
        <v/>
      </c>
      <c r="AI240" s="76" t="str">
        <f t="shared" si="26"/>
        <v/>
      </c>
      <c r="AJ240" s="76" t="str">
        <f t="shared" si="27"/>
        <v/>
      </c>
      <c r="AK240" s="76" t="str">
        <f t="shared" si="28"/>
        <v/>
      </c>
      <c r="AL240" s="76" t="str">
        <f t="shared" si="29"/>
        <v/>
      </c>
      <c r="AM240" s="76" t="str">
        <f t="shared" si="30"/>
        <v/>
      </c>
      <c r="AN240" s="76" t="str">
        <f t="shared" si="31"/>
        <v/>
      </c>
      <c r="AO240" s="76" t="str">
        <f t="shared" si="32"/>
        <v/>
      </c>
      <c r="AP240" s="76" t="str">
        <f t="shared" si="33"/>
        <v/>
      </c>
    </row>
    <row r="241" ht="15.75" customHeight="1">
      <c r="A241" s="76" t="str">
        <f>IF('Manual Entry'!A213="","",'Manual Entry'!A213)</f>
        <v/>
      </c>
      <c r="B241" s="76" t="str">
        <f t="shared" si="3"/>
        <v/>
      </c>
      <c r="C241" s="76" t="str">
        <f t="shared" si="4"/>
        <v/>
      </c>
      <c r="D241" s="76" t="str">
        <f>'Manual Entry'!D213</f>
        <v/>
      </c>
      <c r="E241" s="76" t="str">
        <f>'Manual Entry'!B213</f>
        <v/>
      </c>
      <c r="F241" s="76" t="str">
        <f>'Manual Entry'!F213</f>
        <v/>
      </c>
      <c r="G241" s="76" t="str">
        <f>'Manual Entry'!G213</f>
        <v/>
      </c>
      <c r="H241" s="76" t="str">
        <f>'Manual Entry'!H213</f>
        <v/>
      </c>
      <c r="I241" s="78" t="str">
        <f>'Manual Entry'!I213</f>
        <v/>
      </c>
      <c r="J241" s="78" t="str">
        <f>'Manual Entry'!J213</f>
        <v/>
      </c>
      <c r="K241" s="78" t="str">
        <f>'Manual Entry'!K213</f>
        <v/>
      </c>
      <c r="L241" s="78" t="str">
        <f>'Manual Entry'!L213</f>
        <v/>
      </c>
      <c r="M241" s="78" t="str">
        <f>'Manual Entry'!M213</f>
        <v/>
      </c>
      <c r="N241" s="78" t="str">
        <f>'Manual Entry'!N213</f>
        <v/>
      </c>
      <c r="O241" s="76">
        <f t="shared" si="6"/>
        <v>0</v>
      </c>
      <c r="P241" s="76">
        <f t="shared" si="7"/>
        <v>0</v>
      </c>
      <c r="Q241" s="76">
        <f t="shared" si="8"/>
        <v>0</v>
      </c>
      <c r="R241" s="76">
        <f t="shared" si="9"/>
        <v>0</v>
      </c>
      <c r="S241" s="76" t="str">
        <f t="shared" si="10"/>
        <v/>
      </c>
      <c r="T241" s="76" t="str">
        <f t="shared" si="11"/>
        <v/>
      </c>
      <c r="U241" s="76" t="str">
        <f t="shared" si="12"/>
        <v/>
      </c>
      <c r="V241" s="76" t="str">
        <f t="shared" si="13"/>
        <v/>
      </c>
      <c r="W241" s="76" t="str">
        <f t="shared" si="14"/>
        <v/>
      </c>
      <c r="X241" s="76" t="str">
        <f t="shared" si="15"/>
        <v/>
      </c>
      <c r="Y241" s="76" t="str">
        <f t="shared" si="16"/>
        <v/>
      </c>
      <c r="Z241" s="76" t="str">
        <f t="shared" si="17"/>
        <v/>
      </c>
      <c r="AA241" s="76" t="str">
        <f t="shared" si="18"/>
        <v/>
      </c>
      <c r="AB241" s="76" t="str">
        <f t="shared" si="19"/>
        <v/>
      </c>
      <c r="AC241" s="76" t="str">
        <f t="shared" si="20"/>
        <v/>
      </c>
      <c r="AD241" s="76" t="str">
        <f t="shared" si="21"/>
        <v/>
      </c>
      <c r="AE241" s="76" t="str">
        <f t="shared" si="22"/>
        <v/>
      </c>
      <c r="AF241" s="76" t="str">
        <f t="shared" si="23"/>
        <v/>
      </c>
      <c r="AG241" s="76" t="str">
        <f t="shared" si="24"/>
        <v/>
      </c>
      <c r="AH241" s="76" t="str">
        <f t="shared" si="25"/>
        <v/>
      </c>
      <c r="AI241" s="76" t="str">
        <f t="shared" si="26"/>
        <v/>
      </c>
      <c r="AJ241" s="76" t="str">
        <f t="shared" si="27"/>
        <v/>
      </c>
      <c r="AK241" s="76" t="str">
        <f t="shared" si="28"/>
        <v/>
      </c>
      <c r="AL241" s="76" t="str">
        <f t="shared" si="29"/>
        <v/>
      </c>
      <c r="AM241" s="76" t="str">
        <f t="shared" si="30"/>
        <v/>
      </c>
      <c r="AN241" s="76" t="str">
        <f t="shared" si="31"/>
        <v/>
      </c>
      <c r="AO241" s="76" t="str">
        <f t="shared" si="32"/>
        <v/>
      </c>
      <c r="AP241" s="76" t="str">
        <f t="shared" si="33"/>
        <v/>
      </c>
    </row>
    <row r="242" ht="15.75" customHeight="1">
      <c r="A242" s="76" t="str">
        <f>IF('Manual Entry'!A214="","",'Manual Entry'!A214)</f>
        <v/>
      </c>
      <c r="B242" s="76" t="str">
        <f t="shared" si="3"/>
        <v/>
      </c>
      <c r="C242" s="76" t="str">
        <f t="shared" si="4"/>
        <v/>
      </c>
      <c r="D242" s="76" t="str">
        <f>'Manual Entry'!D214</f>
        <v/>
      </c>
      <c r="E242" s="76" t="str">
        <f>'Manual Entry'!B214</f>
        <v/>
      </c>
      <c r="F242" s="76" t="str">
        <f>'Manual Entry'!F214</f>
        <v/>
      </c>
      <c r="G242" s="76" t="str">
        <f>'Manual Entry'!G214</f>
        <v/>
      </c>
      <c r="H242" s="76" t="str">
        <f>'Manual Entry'!H214</f>
        <v/>
      </c>
      <c r="I242" s="78" t="str">
        <f>'Manual Entry'!I214</f>
        <v/>
      </c>
      <c r="J242" s="78" t="str">
        <f>'Manual Entry'!J214</f>
        <v/>
      </c>
      <c r="K242" s="78" t="str">
        <f>'Manual Entry'!K214</f>
        <v/>
      </c>
      <c r="L242" s="78" t="str">
        <f>'Manual Entry'!L214</f>
        <v/>
      </c>
      <c r="M242" s="78" t="str">
        <f>'Manual Entry'!M214</f>
        <v/>
      </c>
      <c r="N242" s="78" t="str">
        <f>'Manual Entry'!N214</f>
        <v/>
      </c>
      <c r="O242" s="76">
        <f t="shared" si="6"/>
        <v>0</v>
      </c>
      <c r="P242" s="76">
        <f t="shared" si="7"/>
        <v>0</v>
      </c>
      <c r="Q242" s="76">
        <f t="shared" si="8"/>
        <v>0</v>
      </c>
      <c r="R242" s="76">
        <f t="shared" si="9"/>
        <v>0</v>
      </c>
      <c r="S242" s="76" t="str">
        <f t="shared" si="10"/>
        <v/>
      </c>
      <c r="T242" s="76" t="str">
        <f t="shared" si="11"/>
        <v/>
      </c>
      <c r="U242" s="76" t="str">
        <f t="shared" si="12"/>
        <v/>
      </c>
      <c r="V242" s="76" t="str">
        <f t="shared" si="13"/>
        <v/>
      </c>
      <c r="W242" s="76" t="str">
        <f t="shared" si="14"/>
        <v/>
      </c>
      <c r="X242" s="76" t="str">
        <f t="shared" si="15"/>
        <v/>
      </c>
      <c r="Y242" s="76" t="str">
        <f t="shared" si="16"/>
        <v/>
      </c>
      <c r="Z242" s="76" t="str">
        <f t="shared" si="17"/>
        <v/>
      </c>
      <c r="AA242" s="76" t="str">
        <f t="shared" si="18"/>
        <v/>
      </c>
      <c r="AB242" s="76" t="str">
        <f t="shared" si="19"/>
        <v/>
      </c>
      <c r="AC242" s="76" t="str">
        <f t="shared" si="20"/>
        <v/>
      </c>
      <c r="AD242" s="76" t="str">
        <f t="shared" si="21"/>
        <v/>
      </c>
      <c r="AE242" s="76" t="str">
        <f t="shared" si="22"/>
        <v/>
      </c>
      <c r="AF242" s="76" t="str">
        <f t="shared" si="23"/>
        <v/>
      </c>
      <c r="AG242" s="76" t="str">
        <f t="shared" si="24"/>
        <v/>
      </c>
      <c r="AH242" s="76" t="str">
        <f t="shared" si="25"/>
        <v/>
      </c>
      <c r="AI242" s="76" t="str">
        <f t="shared" si="26"/>
        <v/>
      </c>
      <c r="AJ242" s="76" t="str">
        <f t="shared" si="27"/>
        <v/>
      </c>
      <c r="AK242" s="76" t="str">
        <f t="shared" si="28"/>
        <v/>
      </c>
      <c r="AL242" s="76" t="str">
        <f t="shared" si="29"/>
        <v/>
      </c>
      <c r="AM242" s="76" t="str">
        <f t="shared" si="30"/>
        <v/>
      </c>
      <c r="AN242" s="76" t="str">
        <f t="shared" si="31"/>
        <v/>
      </c>
      <c r="AO242" s="76" t="str">
        <f t="shared" si="32"/>
        <v/>
      </c>
      <c r="AP242" s="76" t="str">
        <f t="shared" si="33"/>
        <v/>
      </c>
    </row>
    <row r="243" ht="15.75" customHeight="1">
      <c r="A243" s="76" t="str">
        <f>IF('Manual Entry'!A215="","",'Manual Entry'!A215)</f>
        <v/>
      </c>
      <c r="B243" s="76" t="str">
        <f t="shared" si="3"/>
        <v/>
      </c>
      <c r="C243" s="76" t="str">
        <f t="shared" si="4"/>
        <v/>
      </c>
      <c r="D243" s="76" t="str">
        <f>'Manual Entry'!D215</f>
        <v/>
      </c>
      <c r="E243" s="76" t="str">
        <f>'Manual Entry'!B215</f>
        <v/>
      </c>
      <c r="F243" s="76" t="str">
        <f>'Manual Entry'!F215</f>
        <v/>
      </c>
      <c r="G243" s="76" t="str">
        <f>'Manual Entry'!G215</f>
        <v/>
      </c>
      <c r="H243" s="76" t="str">
        <f>'Manual Entry'!H215</f>
        <v/>
      </c>
      <c r="I243" s="78" t="str">
        <f>'Manual Entry'!I215</f>
        <v/>
      </c>
      <c r="J243" s="78" t="str">
        <f>'Manual Entry'!J215</f>
        <v/>
      </c>
      <c r="K243" s="78" t="str">
        <f>'Manual Entry'!K215</f>
        <v/>
      </c>
      <c r="L243" s="78" t="str">
        <f>'Manual Entry'!L215</f>
        <v/>
      </c>
      <c r="M243" s="78" t="str">
        <f>'Manual Entry'!M215</f>
        <v/>
      </c>
      <c r="N243" s="78" t="str">
        <f>'Manual Entry'!N215</f>
        <v/>
      </c>
      <c r="O243" s="76">
        <f t="shared" si="6"/>
        <v>0</v>
      </c>
      <c r="P243" s="76">
        <f t="shared" si="7"/>
        <v>0</v>
      </c>
      <c r="Q243" s="76">
        <f t="shared" si="8"/>
        <v>0</v>
      </c>
      <c r="R243" s="76">
        <f t="shared" si="9"/>
        <v>0</v>
      </c>
      <c r="S243" s="76" t="str">
        <f t="shared" si="10"/>
        <v/>
      </c>
      <c r="T243" s="76" t="str">
        <f t="shared" si="11"/>
        <v/>
      </c>
      <c r="U243" s="76" t="str">
        <f t="shared" si="12"/>
        <v/>
      </c>
      <c r="V243" s="76" t="str">
        <f t="shared" si="13"/>
        <v/>
      </c>
      <c r="W243" s="76" t="str">
        <f t="shared" si="14"/>
        <v/>
      </c>
      <c r="X243" s="76" t="str">
        <f t="shared" si="15"/>
        <v/>
      </c>
      <c r="Y243" s="76" t="str">
        <f t="shared" si="16"/>
        <v/>
      </c>
      <c r="Z243" s="76" t="str">
        <f t="shared" si="17"/>
        <v/>
      </c>
      <c r="AA243" s="76" t="str">
        <f t="shared" si="18"/>
        <v/>
      </c>
      <c r="AB243" s="76" t="str">
        <f t="shared" si="19"/>
        <v/>
      </c>
      <c r="AC243" s="76" t="str">
        <f t="shared" si="20"/>
        <v/>
      </c>
      <c r="AD243" s="76" t="str">
        <f t="shared" si="21"/>
        <v/>
      </c>
      <c r="AE243" s="76" t="str">
        <f t="shared" si="22"/>
        <v/>
      </c>
      <c r="AF243" s="76" t="str">
        <f t="shared" si="23"/>
        <v/>
      </c>
      <c r="AG243" s="76" t="str">
        <f t="shared" si="24"/>
        <v/>
      </c>
      <c r="AH243" s="76" t="str">
        <f t="shared" si="25"/>
        <v/>
      </c>
      <c r="AI243" s="76" t="str">
        <f t="shared" si="26"/>
        <v/>
      </c>
      <c r="AJ243" s="76" t="str">
        <f t="shared" si="27"/>
        <v/>
      </c>
      <c r="AK243" s="76" t="str">
        <f t="shared" si="28"/>
        <v/>
      </c>
      <c r="AL243" s="76" t="str">
        <f t="shared" si="29"/>
        <v/>
      </c>
      <c r="AM243" s="76" t="str">
        <f t="shared" si="30"/>
        <v/>
      </c>
      <c r="AN243" s="76" t="str">
        <f t="shared" si="31"/>
        <v/>
      </c>
      <c r="AO243" s="76" t="str">
        <f t="shared" si="32"/>
        <v/>
      </c>
      <c r="AP243" s="76" t="str">
        <f t="shared" si="33"/>
        <v/>
      </c>
    </row>
    <row r="244" ht="15.75" customHeight="1">
      <c r="A244" s="76" t="str">
        <f>IF('Manual Entry'!A216="","",'Manual Entry'!A216)</f>
        <v/>
      </c>
      <c r="B244" s="76" t="str">
        <f t="shared" si="3"/>
        <v/>
      </c>
      <c r="C244" s="76" t="str">
        <f t="shared" si="4"/>
        <v/>
      </c>
      <c r="D244" s="76" t="str">
        <f>'Manual Entry'!D216</f>
        <v/>
      </c>
      <c r="E244" s="76" t="str">
        <f>'Manual Entry'!B216</f>
        <v/>
      </c>
      <c r="F244" s="76" t="str">
        <f>'Manual Entry'!F216</f>
        <v/>
      </c>
      <c r="G244" s="76" t="str">
        <f>'Manual Entry'!G216</f>
        <v/>
      </c>
      <c r="H244" s="76" t="str">
        <f>'Manual Entry'!H216</f>
        <v/>
      </c>
      <c r="I244" s="78" t="str">
        <f>'Manual Entry'!I216</f>
        <v/>
      </c>
      <c r="J244" s="78" t="str">
        <f>'Manual Entry'!J216</f>
        <v/>
      </c>
      <c r="K244" s="78" t="str">
        <f>'Manual Entry'!K216</f>
        <v/>
      </c>
      <c r="L244" s="78" t="str">
        <f>'Manual Entry'!L216</f>
        <v/>
      </c>
      <c r="M244" s="78" t="str">
        <f>'Manual Entry'!M216</f>
        <v/>
      </c>
      <c r="N244" s="78" t="str">
        <f>'Manual Entry'!N216</f>
        <v/>
      </c>
      <c r="O244" s="76">
        <f t="shared" si="6"/>
        <v>0</v>
      </c>
      <c r="P244" s="76">
        <f t="shared" si="7"/>
        <v>0</v>
      </c>
      <c r="Q244" s="76">
        <f t="shared" si="8"/>
        <v>0</v>
      </c>
      <c r="R244" s="76">
        <f t="shared" si="9"/>
        <v>0</v>
      </c>
      <c r="S244" s="76" t="str">
        <f t="shared" si="10"/>
        <v/>
      </c>
      <c r="T244" s="76" t="str">
        <f t="shared" si="11"/>
        <v/>
      </c>
      <c r="U244" s="76" t="str">
        <f t="shared" si="12"/>
        <v/>
      </c>
      <c r="V244" s="76" t="str">
        <f t="shared" si="13"/>
        <v/>
      </c>
      <c r="W244" s="76" t="str">
        <f t="shared" si="14"/>
        <v/>
      </c>
      <c r="X244" s="76" t="str">
        <f t="shared" si="15"/>
        <v/>
      </c>
      <c r="Y244" s="76" t="str">
        <f t="shared" si="16"/>
        <v/>
      </c>
      <c r="Z244" s="76" t="str">
        <f t="shared" si="17"/>
        <v/>
      </c>
      <c r="AA244" s="76" t="str">
        <f t="shared" si="18"/>
        <v/>
      </c>
      <c r="AB244" s="76" t="str">
        <f t="shared" si="19"/>
        <v/>
      </c>
      <c r="AC244" s="76" t="str">
        <f t="shared" si="20"/>
        <v/>
      </c>
      <c r="AD244" s="76" t="str">
        <f t="shared" si="21"/>
        <v/>
      </c>
      <c r="AE244" s="76" t="str">
        <f t="shared" si="22"/>
        <v/>
      </c>
      <c r="AF244" s="76" t="str">
        <f t="shared" si="23"/>
        <v/>
      </c>
      <c r="AG244" s="76" t="str">
        <f t="shared" si="24"/>
        <v/>
      </c>
      <c r="AH244" s="76" t="str">
        <f t="shared" si="25"/>
        <v/>
      </c>
      <c r="AI244" s="76" t="str">
        <f t="shared" si="26"/>
        <v/>
      </c>
      <c r="AJ244" s="76" t="str">
        <f t="shared" si="27"/>
        <v/>
      </c>
      <c r="AK244" s="76" t="str">
        <f t="shared" si="28"/>
        <v/>
      </c>
      <c r="AL244" s="76" t="str">
        <f t="shared" si="29"/>
        <v/>
      </c>
      <c r="AM244" s="76" t="str">
        <f t="shared" si="30"/>
        <v/>
      </c>
      <c r="AN244" s="76" t="str">
        <f t="shared" si="31"/>
        <v/>
      </c>
      <c r="AO244" s="76" t="str">
        <f t="shared" si="32"/>
        <v/>
      </c>
      <c r="AP244" s="76" t="str">
        <f t="shared" si="33"/>
        <v/>
      </c>
    </row>
    <row r="245" ht="15.75" customHeight="1">
      <c r="A245" s="76" t="str">
        <f>IF('Manual Entry'!A217="","",'Manual Entry'!A217)</f>
        <v/>
      </c>
      <c r="B245" s="76" t="str">
        <f t="shared" si="3"/>
        <v/>
      </c>
      <c r="C245" s="76" t="str">
        <f t="shared" si="4"/>
        <v/>
      </c>
      <c r="D245" s="76" t="str">
        <f>'Manual Entry'!D217</f>
        <v/>
      </c>
      <c r="E245" s="76" t="str">
        <f>'Manual Entry'!B217</f>
        <v/>
      </c>
      <c r="F245" s="76" t="str">
        <f>'Manual Entry'!F217</f>
        <v/>
      </c>
      <c r="G245" s="76" t="str">
        <f>'Manual Entry'!G217</f>
        <v/>
      </c>
      <c r="H245" s="76" t="str">
        <f>'Manual Entry'!H217</f>
        <v/>
      </c>
      <c r="I245" s="78" t="str">
        <f>'Manual Entry'!I217</f>
        <v/>
      </c>
      <c r="J245" s="78" t="str">
        <f>'Manual Entry'!J217</f>
        <v/>
      </c>
      <c r="K245" s="78" t="str">
        <f>'Manual Entry'!K217</f>
        <v/>
      </c>
      <c r="L245" s="78" t="str">
        <f>'Manual Entry'!L217</f>
        <v/>
      </c>
      <c r="M245" s="78" t="str">
        <f>'Manual Entry'!M217</f>
        <v/>
      </c>
      <c r="N245" s="78" t="str">
        <f>'Manual Entry'!N217</f>
        <v/>
      </c>
      <c r="O245" s="76">
        <f t="shared" si="6"/>
        <v>0</v>
      </c>
      <c r="P245" s="76">
        <f t="shared" si="7"/>
        <v>0</v>
      </c>
      <c r="Q245" s="76">
        <f t="shared" si="8"/>
        <v>0</v>
      </c>
      <c r="R245" s="76">
        <f t="shared" si="9"/>
        <v>0</v>
      </c>
      <c r="S245" s="76" t="str">
        <f t="shared" si="10"/>
        <v/>
      </c>
      <c r="T245" s="76" t="str">
        <f t="shared" si="11"/>
        <v/>
      </c>
      <c r="U245" s="76" t="str">
        <f t="shared" si="12"/>
        <v/>
      </c>
      <c r="V245" s="76" t="str">
        <f t="shared" si="13"/>
        <v/>
      </c>
      <c r="W245" s="76" t="str">
        <f t="shared" si="14"/>
        <v/>
      </c>
      <c r="X245" s="76" t="str">
        <f t="shared" si="15"/>
        <v/>
      </c>
      <c r="Y245" s="76" t="str">
        <f t="shared" si="16"/>
        <v/>
      </c>
      <c r="Z245" s="76" t="str">
        <f t="shared" si="17"/>
        <v/>
      </c>
      <c r="AA245" s="76" t="str">
        <f t="shared" si="18"/>
        <v/>
      </c>
      <c r="AB245" s="76" t="str">
        <f t="shared" si="19"/>
        <v/>
      </c>
      <c r="AC245" s="76" t="str">
        <f t="shared" si="20"/>
        <v/>
      </c>
      <c r="AD245" s="76" t="str">
        <f t="shared" si="21"/>
        <v/>
      </c>
      <c r="AE245" s="76" t="str">
        <f t="shared" si="22"/>
        <v/>
      </c>
      <c r="AF245" s="76" t="str">
        <f t="shared" si="23"/>
        <v/>
      </c>
      <c r="AG245" s="76" t="str">
        <f t="shared" si="24"/>
        <v/>
      </c>
      <c r="AH245" s="76" t="str">
        <f t="shared" si="25"/>
        <v/>
      </c>
      <c r="AI245" s="76" t="str">
        <f t="shared" si="26"/>
        <v/>
      </c>
      <c r="AJ245" s="76" t="str">
        <f t="shared" si="27"/>
        <v/>
      </c>
      <c r="AK245" s="76" t="str">
        <f t="shared" si="28"/>
        <v/>
      </c>
      <c r="AL245" s="76" t="str">
        <f t="shared" si="29"/>
        <v/>
      </c>
      <c r="AM245" s="76" t="str">
        <f t="shared" si="30"/>
        <v/>
      </c>
      <c r="AN245" s="76" t="str">
        <f t="shared" si="31"/>
        <v/>
      </c>
      <c r="AO245" s="76" t="str">
        <f t="shared" si="32"/>
        <v/>
      </c>
      <c r="AP245" s="76" t="str">
        <f t="shared" si="33"/>
        <v/>
      </c>
    </row>
    <row r="246" ht="15.75" customHeight="1">
      <c r="A246" s="76" t="str">
        <f>IF('Manual Entry'!A218="","",'Manual Entry'!A218)</f>
        <v/>
      </c>
      <c r="B246" s="76" t="str">
        <f t="shared" si="3"/>
        <v/>
      </c>
      <c r="C246" s="76" t="str">
        <f t="shared" si="4"/>
        <v/>
      </c>
      <c r="D246" s="76" t="str">
        <f>'Manual Entry'!D218</f>
        <v/>
      </c>
      <c r="E246" s="76" t="str">
        <f>'Manual Entry'!B218</f>
        <v/>
      </c>
      <c r="F246" s="76" t="str">
        <f>'Manual Entry'!F218</f>
        <v/>
      </c>
      <c r="G246" s="76" t="str">
        <f>'Manual Entry'!G218</f>
        <v/>
      </c>
      <c r="H246" s="76" t="str">
        <f>'Manual Entry'!H218</f>
        <v/>
      </c>
      <c r="I246" s="78" t="str">
        <f>'Manual Entry'!I218</f>
        <v/>
      </c>
      <c r="J246" s="78" t="str">
        <f>'Manual Entry'!J218</f>
        <v/>
      </c>
      <c r="K246" s="78" t="str">
        <f>'Manual Entry'!K218</f>
        <v/>
      </c>
      <c r="L246" s="78" t="str">
        <f>'Manual Entry'!L218</f>
        <v/>
      </c>
      <c r="M246" s="78" t="str">
        <f>'Manual Entry'!M218</f>
        <v/>
      </c>
      <c r="N246" s="78" t="str">
        <f>'Manual Entry'!N218</f>
        <v/>
      </c>
      <c r="O246" s="76">
        <f t="shared" si="6"/>
        <v>0</v>
      </c>
      <c r="P246" s="76">
        <f t="shared" si="7"/>
        <v>0</v>
      </c>
      <c r="Q246" s="76">
        <f t="shared" si="8"/>
        <v>0</v>
      </c>
      <c r="R246" s="76">
        <f t="shared" si="9"/>
        <v>0</v>
      </c>
      <c r="S246" s="76" t="str">
        <f t="shared" si="10"/>
        <v/>
      </c>
      <c r="T246" s="76" t="str">
        <f t="shared" si="11"/>
        <v/>
      </c>
      <c r="U246" s="76" t="str">
        <f t="shared" si="12"/>
        <v/>
      </c>
      <c r="V246" s="76" t="str">
        <f t="shared" si="13"/>
        <v/>
      </c>
      <c r="W246" s="76" t="str">
        <f t="shared" si="14"/>
        <v/>
      </c>
      <c r="X246" s="76" t="str">
        <f t="shared" si="15"/>
        <v/>
      </c>
      <c r="Y246" s="76" t="str">
        <f t="shared" si="16"/>
        <v/>
      </c>
      <c r="Z246" s="76" t="str">
        <f t="shared" si="17"/>
        <v/>
      </c>
      <c r="AA246" s="76" t="str">
        <f t="shared" si="18"/>
        <v/>
      </c>
      <c r="AB246" s="76" t="str">
        <f t="shared" si="19"/>
        <v/>
      </c>
      <c r="AC246" s="76" t="str">
        <f t="shared" si="20"/>
        <v/>
      </c>
      <c r="AD246" s="76" t="str">
        <f t="shared" si="21"/>
        <v/>
      </c>
      <c r="AE246" s="76" t="str">
        <f t="shared" si="22"/>
        <v/>
      </c>
      <c r="AF246" s="76" t="str">
        <f t="shared" si="23"/>
        <v/>
      </c>
      <c r="AG246" s="76" t="str">
        <f t="shared" si="24"/>
        <v/>
      </c>
      <c r="AH246" s="76" t="str">
        <f t="shared" si="25"/>
        <v/>
      </c>
      <c r="AI246" s="76" t="str">
        <f t="shared" si="26"/>
        <v/>
      </c>
      <c r="AJ246" s="76" t="str">
        <f t="shared" si="27"/>
        <v/>
      </c>
      <c r="AK246" s="76" t="str">
        <f t="shared" si="28"/>
        <v/>
      </c>
      <c r="AL246" s="76" t="str">
        <f t="shared" si="29"/>
        <v/>
      </c>
      <c r="AM246" s="76" t="str">
        <f t="shared" si="30"/>
        <v/>
      </c>
      <c r="AN246" s="76" t="str">
        <f t="shared" si="31"/>
        <v/>
      </c>
      <c r="AO246" s="76" t="str">
        <f t="shared" si="32"/>
        <v/>
      </c>
      <c r="AP246" s="76" t="str">
        <f t="shared" si="33"/>
        <v/>
      </c>
    </row>
    <row r="247" ht="15.75" customHeight="1">
      <c r="A247" s="76" t="str">
        <f>IF('Manual Entry'!A219="","",'Manual Entry'!A219)</f>
        <v/>
      </c>
      <c r="B247" s="76" t="str">
        <f t="shared" si="3"/>
        <v/>
      </c>
      <c r="C247" s="76" t="str">
        <f t="shared" si="4"/>
        <v/>
      </c>
      <c r="D247" s="76" t="str">
        <f>'Manual Entry'!D219</f>
        <v/>
      </c>
      <c r="E247" s="76" t="str">
        <f>'Manual Entry'!B219</f>
        <v/>
      </c>
      <c r="F247" s="76" t="str">
        <f>'Manual Entry'!F219</f>
        <v/>
      </c>
      <c r="G247" s="76" t="str">
        <f>'Manual Entry'!G219</f>
        <v/>
      </c>
      <c r="H247" s="76" t="str">
        <f>'Manual Entry'!H219</f>
        <v/>
      </c>
      <c r="I247" s="78" t="str">
        <f>'Manual Entry'!I219</f>
        <v/>
      </c>
      <c r="J247" s="78" t="str">
        <f>'Manual Entry'!J219</f>
        <v/>
      </c>
      <c r="K247" s="78" t="str">
        <f>'Manual Entry'!K219</f>
        <v/>
      </c>
      <c r="L247" s="78" t="str">
        <f>'Manual Entry'!L219</f>
        <v/>
      </c>
      <c r="M247" s="78" t="str">
        <f>'Manual Entry'!M219</f>
        <v/>
      </c>
      <c r="N247" s="78" t="str">
        <f>'Manual Entry'!N219</f>
        <v/>
      </c>
      <c r="O247" s="76">
        <f t="shared" si="6"/>
        <v>0</v>
      </c>
      <c r="P247" s="76">
        <f t="shared" si="7"/>
        <v>0</v>
      </c>
      <c r="Q247" s="76">
        <f t="shared" si="8"/>
        <v>0</v>
      </c>
      <c r="R247" s="76">
        <f t="shared" si="9"/>
        <v>0</v>
      </c>
      <c r="S247" s="76" t="str">
        <f t="shared" si="10"/>
        <v/>
      </c>
      <c r="T247" s="76" t="str">
        <f t="shared" si="11"/>
        <v/>
      </c>
      <c r="U247" s="76" t="str">
        <f t="shared" si="12"/>
        <v/>
      </c>
      <c r="V247" s="76" t="str">
        <f t="shared" si="13"/>
        <v/>
      </c>
      <c r="W247" s="76" t="str">
        <f t="shared" si="14"/>
        <v/>
      </c>
      <c r="X247" s="76" t="str">
        <f t="shared" si="15"/>
        <v/>
      </c>
      <c r="Y247" s="76" t="str">
        <f t="shared" si="16"/>
        <v/>
      </c>
      <c r="Z247" s="76" t="str">
        <f t="shared" si="17"/>
        <v/>
      </c>
      <c r="AA247" s="76" t="str">
        <f t="shared" si="18"/>
        <v/>
      </c>
      <c r="AB247" s="76" t="str">
        <f t="shared" si="19"/>
        <v/>
      </c>
      <c r="AC247" s="76" t="str">
        <f t="shared" si="20"/>
        <v/>
      </c>
      <c r="AD247" s="76" t="str">
        <f t="shared" si="21"/>
        <v/>
      </c>
      <c r="AE247" s="76" t="str">
        <f t="shared" si="22"/>
        <v/>
      </c>
      <c r="AF247" s="76" t="str">
        <f t="shared" si="23"/>
        <v/>
      </c>
      <c r="AG247" s="76" t="str">
        <f t="shared" si="24"/>
        <v/>
      </c>
      <c r="AH247" s="76" t="str">
        <f t="shared" si="25"/>
        <v/>
      </c>
      <c r="AI247" s="76" t="str">
        <f t="shared" si="26"/>
        <v/>
      </c>
      <c r="AJ247" s="76" t="str">
        <f t="shared" si="27"/>
        <v/>
      </c>
      <c r="AK247" s="76" t="str">
        <f t="shared" si="28"/>
        <v/>
      </c>
      <c r="AL247" s="76" t="str">
        <f t="shared" si="29"/>
        <v/>
      </c>
      <c r="AM247" s="76" t="str">
        <f t="shared" si="30"/>
        <v/>
      </c>
      <c r="AN247" s="76" t="str">
        <f t="shared" si="31"/>
        <v/>
      </c>
      <c r="AO247" s="76" t="str">
        <f t="shared" si="32"/>
        <v/>
      </c>
      <c r="AP247" s="76" t="str">
        <f t="shared" si="33"/>
        <v/>
      </c>
    </row>
    <row r="248" ht="15.75" customHeight="1">
      <c r="A248" s="76" t="str">
        <f>IF('Manual Entry'!A220="","",'Manual Entry'!A220)</f>
        <v/>
      </c>
      <c r="B248" s="76" t="str">
        <f t="shared" si="3"/>
        <v/>
      </c>
      <c r="C248" s="76" t="str">
        <f t="shared" si="4"/>
        <v/>
      </c>
      <c r="D248" s="76" t="str">
        <f>'Manual Entry'!D220</f>
        <v/>
      </c>
      <c r="E248" s="76" t="str">
        <f>'Manual Entry'!B220</f>
        <v/>
      </c>
      <c r="F248" s="76" t="str">
        <f>'Manual Entry'!F220</f>
        <v/>
      </c>
      <c r="G248" s="76" t="str">
        <f>'Manual Entry'!G220</f>
        <v/>
      </c>
      <c r="H248" s="76" t="str">
        <f>'Manual Entry'!H220</f>
        <v/>
      </c>
      <c r="I248" s="78" t="str">
        <f>'Manual Entry'!I220</f>
        <v/>
      </c>
      <c r="J248" s="78" t="str">
        <f>'Manual Entry'!J220</f>
        <v/>
      </c>
      <c r="K248" s="78" t="str">
        <f>'Manual Entry'!K220</f>
        <v/>
      </c>
      <c r="L248" s="78" t="str">
        <f>'Manual Entry'!L220</f>
        <v/>
      </c>
      <c r="M248" s="78" t="str">
        <f>'Manual Entry'!M220</f>
        <v/>
      </c>
      <c r="N248" s="78" t="str">
        <f>'Manual Entry'!N220</f>
        <v/>
      </c>
      <c r="O248" s="76">
        <f t="shared" si="6"/>
        <v>0</v>
      </c>
      <c r="P248" s="76">
        <f t="shared" si="7"/>
        <v>0</v>
      </c>
      <c r="Q248" s="76">
        <f t="shared" si="8"/>
        <v>0</v>
      </c>
      <c r="R248" s="76">
        <f t="shared" si="9"/>
        <v>0</v>
      </c>
      <c r="S248" s="76" t="str">
        <f t="shared" si="10"/>
        <v/>
      </c>
      <c r="T248" s="76" t="str">
        <f t="shared" si="11"/>
        <v/>
      </c>
      <c r="U248" s="76" t="str">
        <f t="shared" si="12"/>
        <v/>
      </c>
      <c r="V248" s="76" t="str">
        <f t="shared" si="13"/>
        <v/>
      </c>
      <c r="W248" s="76" t="str">
        <f t="shared" si="14"/>
        <v/>
      </c>
      <c r="X248" s="76" t="str">
        <f t="shared" si="15"/>
        <v/>
      </c>
      <c r="Y248" s="76" t="str">
        <f t="shared" si="16"/>
        <v/>
      </c>
      <c r="Z248" s="76" t="str">
        <f t="shared" si="17"/>
        <v/>
      </c>
      <c r="AA248" s="76" t="str">
        <f t="shared" si="18"/>
        <v/>
      </c>
      <c r="AB248" s="76" t="str">
        <f t="shared" si="19"/>
        <v/>
      </c>
      <c r="AC248" s="76" t="str">
        <f t="shared" si="20"/>
        <v/>
      </c>
      <c r="AD248" s="76" t="str">
        <f t="shared" si="21"/>
        <v/>
      </c>
      <c r="AE248" s="76" t="str">
        <f t="shared" si="22"/>
        <v/>
      </c>
      <c r="AF248" s="76" t="str">
        <f t="shared" si="23"/>
        <v/>
      </c>
      <c r="AG248" s="76" t="str">
        <f t="shared" si="24"/>
        <v/>
      </c>
      <c r="AH248" s="76" t="str">
        <f t="shared" si="25"/>
        <v/>
      </c>
      <c r="AI248" s="76" t="str">
        <f t="shared" si="26"/>
        <v/>
      </c>
      <c r="AJ248" s="76" t="str">
        <f t="shared" si="27"/>
        <v/>
      </c>
      <c r="AK248" s="76" t="str">
        <f t="shared" si="28"/>
        <v/>
      </c>
      <c r="AL248" s="76" t="str">
        <f t="shared" si="29"/>
        <v/>
      </c>
      <c r="AM248" s="76" t="str">
        <f t="shared" si="30"/>
        <v/>
      </c>
      <c r="AN248" s="76" t="str">
        <f t="shared" si="31"/>
        <v/>
      </c>
      <c r="AO248" s="76" t="str">
        <f t="shared" si="32"/>
        <v/>
      </c>
      <c r="AP248" s="76" t="str">
        <f t="shared" si="33"/>
        <v/>
      </c>
    </row>
    <row r="249" ht="15.75" customHeight="1">
      <c r="A249" s="76" t="str">
        <f>IF('Manual Entry'!A221="","",'Manual Entry'!A221)</f>
        <v/>
      </c>
      <c r="B249" s="76" t="str">
        <f t="shared" si="3"/>
        <v/>
      </c>
      <c r="C249" s="76" t="str">
        <f t="shared" si="4"/>
        <v/>
      </c>
      <c r="D249" s="76" t="str">
        <f>'Manual Entry'!D221</f>
        <v/>
      </c>
      <c r="E249" s="76" t="str">
        <f>'Manual Entry'!B221</f>
        <v/>
      </c>
      <c r="F249" s="76" t="str">
        <f>'Manual Entry'!F221</f>
        <v/>
      </c>
      <c r="G249" s="76" t="str">
        <f>'Manual Entry'!G221</f>
        <v/>
      </c>
      <c r="H249" s="76" t="str">
        <f>'Manual Entry'!H221</f>
        <v/>
      </c>
      <c r="I249" s="78" t="str">
        <f>'Manual Entry'!I221</f>
        <v/>
      </c>
      <c r="J249" s="78" t="str">
        <f>'Manual Entry'!J221</f>
        <v/>
      </c>
      <c r="K249" s="78" t="str">
        <f>'Manual Entry'!K221</f>
        <v/>
      </c>
      <c r="L249" s="78" t="str">
        <f>'Manual Entry'!L221</f>
        <v/>
      </c>
      <c r="M249" s="78" t="str">
        <f>'Manual Entry'!M221</f>
        <v/>
      </c>
      <c r="N249" s="78" t="str">
        <f>'Manual Entry'!N221</f>
        <v/>
      </c>
      <c r="O249" s="76">
        <f t="shared" si="6"/>
        <v>0</v>
      </c>
      <c r="P249" s="76">
        <f t="shared" si="7"/>
        <v>0</v>
      </c>
      <c r="Q249" s="76">
        <f t="shared" si="8"/>
        <v>0</v>
      </c>
      <c r="R249" s="76">
        <f t="shared" si="9"/>
        <v>0</v>
      </c>
      <c r="S249" s="76" t="str">
        <f t="shared" si="10"/>
        <v/>
      </c>
      <c r="T249" s="76" t="str">
        <f t="shared" si="11"/>
        <v/>
      </c>
      <c r="U249" s="76" t="str">
        <f t="shared" si="12"/>
        <v/>
      </c>
      <c r="V249" s="76" t="str">
        <f t="shared" si="13"/>
        <v/>
      </c>
      <c r="W249" s="76" t="str">
        <f t="shared" si="14"/>
        <v/>
      </c>
      <c r="X249" s="76" t="str">
        <f t="shared" si="15"/>
        <v/>
      </c>
      <c r="Y249" s="76" t="str">
        <f t="shared" si="16"/>
        <v/>
      </c>
      <c r="Z249" s="76" t="str">
        <f t="shared" si="17"/>
        <v/>
      </c>
      <c r="AA249" s="76" t="str">
        <f t="shared" si="18"/>
        <v/>
      </c>
      <c r="AB249" s="76" t="str">
        <f t="shared" si="19"/>
        <v/>
      </c>
      <c r="AC249" s="76" t="str">
        <f t="shared" si="20"/>
        <v/>
      </c>
      <c r="AD249" s="76" t="str">
        <f t="shared" si="21"/>
        <v/>
      </c>
      <c r="AE249" s="76" t="str">
        <f t="shared" si="22"/>
        <v/>
      </c>
      <c r="AF249" s="76" t="str">
        <f t="shared" si="23"/>
        <v/>
      </c>
      <c r="AG249" s="76" t="str">
        <f t="shared" si="24"/>
        <v/>
      </c>
      <c r="AH249" s="76" t="str">
        <f t="shared" si="25"/>
        <v/>
      </c>
      <c r="AI249" s="76" t="str">
        <f t="shared" si="26"/>
        <v/>
      </c>
      <c r="AJ249" s="76" t="str">
        <f t="shared" si="27"/>
        <v/>
      </c>
      <c r="AK249" s="76" t="str">
        <f t="shared" si="28"/>
        <v/>
      </c>
      <c r="AL249" s="76" t="str">
        <f t="shared" si="29"/>
        <v/>
      </c>
      <c r="AM249" s="76" t="str">
        <f t="shared" si="30"/>
        <v/>
      </c>
      <c r="AN249" s="76" t="str">
        <f t="shared" si="31"/>
        <v/>
      </c>
      <c r="AO249" s="76" t="str">
        <f t="shared" si="32"/>
        <v/>
      </c>
      <c r="AP249" s="76" t="str">
        <f t="shared" si="33"/>
        <v/>
      </c>
    </row>
    <row r="250" ht="15.75" customHeight="1">
      <c r="A250" s="76" t="str">
        <f>IF('Manual Entry'!A222="","",'Manual Entry'!A222)</f>
        <v/>
      </c>
      <c r="B250" s="76" t="str">
        <f t="shared" si="3"/>
        <v/>
      </c>
      <c r="C250" s="76" t="str">
        <f t="shared" si="4"/>
        <v/>
      </c>
      <c r="D250" s="76" t="str">
        <f>'Manual Entry'!D222</f>
        <v/>
      </c>
      <c r="E250" s="76" t="str">
        <f>'Manual Entry'!B222</f>
        <v/>
      </c>
      <c r="F250" s="76" t="str">
        <f>'Manual Entry'!F222</f>
        <v/>
      </c>
      <c r="G250" s="76" t="str">
        <f>'Manual Entry'!G222</f>
        <v/>
      </c>
      <c r="H250" s="76" t="str">
        <f>'Manual Entry'!H222</f>
        <v/>
      </c>
      <c r="I250" s="78" t="str">
        <f>'Manual Entry'!I222</f>
        <v/>
      </c>
      <c r="J250" s="78" t="str">
        <f>'Manual Entry'!J222</f>
        <v/>
      </c>
      <c r="K250" s="78" t="str">
        <f>'Manual Entry'!K222</f>
        <v/>
      </c>
      <c r="L250" s="78" t="str">
        <f>'Manual Entry'!L222</f>
        <v/>
      </c>
      <c r="M250" s="78" t="str">
        <f>'Manual Entry'!M222</f>
        <v/>
      </c>
      <c r="N250" s="78" t="str">
        <f>'Manual Entry'!N222</f>
        <v/>
      </c>
      <c r="O250" s="76">
        <f t="shared" si="6"/>
        <v>0</v>
      </c>
      <c r="P250" s="76">
        <f t="shared" si="7"/>
        <v>0</v>
      </c>
      <c r="Q250" s="76">
        <f t="shared" si="8"/>
        <v>0</v>
      </c>
      <c r="R250" s="76">
        <f t="shared" si="9"/>
        <v>0</v>
      </c>
      <c r="S250" s="76" t="str">
        <f t="shared" si="10"/>
        <v/>
      </c>
      <c r="T250" s="76" t="str">
        <f t="shared" si="11"/>
        <v/>
      </c>
      <c r="U250" s="76" t="str">
        <f t="shared" si="12"/>
        <v/>
      </c>
      <c r="V250" s="76" t="str">
        <f t="shared" si="13"/>
        <v/>
      </c>
      <c r="W250" s="76" t="str">
        <f t="shared" si="14"/>
        <v/>
      </c>
      <c r="X250" s="76" t="str">
        <f t="shared" si="15"/>
        <v/>
      </c>
      <c r="Y250" s="76" t="str">
        <f t="shared" si="16"/>
        <v/>
      </c>
      <c r="Z250" s="76" t="str">
        <f t="shared" si="17"/>
        <v/>
      </c>
      <c r="AA250" s="76" t="str">
        <f t="shared" si="18"/>
        <v/>
      </c>
      <c r="AB250" s="76" t="str">
        <f t="shared" si="19"/>
        <v/>
      </c>
      <c r="AC250" s="76" t="str">
        <f t="shared" si="20"/>
        <v/>
      </c>
      <c r="AD250" s="76" t="str">
        <f t="shared" si="21"/>
        <v/>
      </c>
      <c r="AE250" s="76" t="str">
        <f t="shared" si="22"/>
        <v/>
      </c>
      <c r="AF250" s="76" t="str">
        <f t="shared" si="23"/>
        <v/>
      </c>
      <c r="AG250" s="76" t="str">
        <f t="shared" si="24"/>
        <v/>
      </c>
      <c r="AH250" s="76" t="str">
        <f t="shared" si="25"/>
        <v/>
      </c>
      <c r="AI250" s="76" t="str">
        <f t="shared" si="26"/>
        <v/>
      </c>
      <c r="AJ250" s="76" t="str">
        <f t="shared" si="27"/>
        <v/>
      </c>
      <c r="AK250" s="76" t="str">
        <f t="shared" si="28"/>
        <v/>
      </c>
      <c r="AL250" s="76" t="str">
        <f t="shared" si="29"/>
        <v/>
      </c>
      <c r="AM250" s="76" t="str">
        <f t="shared" si="30"/>
        <v/>
      </c>
      <c r="AN250" s="76" t="str">
        <f t="shared" si="31"/>
        <v/>
      </c>
      <c r="AO250" s="76" t="str">
        <f t="shared" si="32"/>
        <v/>
      </c>
      <c r="AP250" s="76" t="str">
        <f t="shared" si="33"/>
        <v/>
      </c>
    </row>
    <row r="251" ht="15.75" customHeight="1">
      <c r="A251" s="76" t="str">
        <f>IF('Manual Entry'!A223="","",'Manual Entry'!A223)</f>
        <v/>
      </c>
      <c r="B251" s="76" t="str">
        <f t="shared" si="3"/>
        <v/>
      </c>
      <c r="C251" s="76" t="str">
        <f t="shared" si="4"/>
        <v/>
      </c>
      <c r="D251" s="76" t="str">
        <f>'Manual Entry'!D223</f>
        <v/>
      </c>
      <c r="E251" s="76" t="str">
        <f>'Manual Entry'!B223</f>
        <v/>
      </c>
      <c r="F251" s="76" t="str">
        <f>'Manual Entry'!F223</f>
        <v/>
      </c>
      <c r="G251" s="76" t="str">
        <f>'Manual Entry'!G223</f>
        <v/>
      </c>
      <c r="H251" s="76" t="str">
        <f>'Manual Entry'!H223</f>
        <v/>
      </c>
      <c r="I251" s="78" t="str">
        <f>'Manual Entry'!I223</f>
        <v/>
      </c>
      <c r="J251" s="78" t="str">
        <f>'Manual Entry'!J223</f>
        <v/>
      </c>
      <c r="K251" s="78" t="str">
        <f>'Manual Entry'!K223</f>
        <v/>
      </c>
      <c r="L251" s="78" t="str">
        <f>'Manual Entry'!L223</f>
        <v/>
      </c>
      <c r="M251" s="78" t="str">
        <f>'Manual Entry'!M223</f>
        <v/>
      </c>
      <c r="N251" s="78" t="str">
        <f>'Manual Entry'!N223</f>
        <v/>
      </c>
      <c r="O251" s="76">
        <f t="shared" si="6"/>
        <v>0</v>
      </c>
      <c r="P251" s="76">
        <f t="shared" si="7"/>
        <v>0</v>
      </c>
      <c r="Q251" s="76">
        <f t="shared" si="8"/>
        <v>0</v>
      </c>
      <c r="R251" s="76">
        <f t="shared" si="9"/>
        <v>0</v>
      </c>
      <c r="S251" s="76" t="str">
        <f t="shared" si="10"/>
        <v/>
      </c>
      <c r="T251" s="76" t="str">
        <f t="shared" si="11"/>
        <v/>
      </c>
      <c r="U251" s="76" t="str">
        <f t="shared" si="12"/>
        <v/>
      </c>
      <c r="V251" s="76" t="str">
        <f t="shared" si="13"/>
        <v/>
      </c>
      <c r="W251" s="76" t="str">
        <f t="shared" si="14"/>
        <v/>
      </c>
      <c r="X251" s="76" t="str">
        <f t="shared" si="15"/>
        <v/>
      </c>
      <c r="Y251" s="76" t="str">
        <f t="shared" si="16"/>
        <v/>
      </c>
      <c r="Z251" s="76" t="str">
        <f t="shared" si="17"/>
        <v/>
      </c>
      <c r="AA251" s="76" t="str">
        <f t="shared" si="18"/>
        <v/>
      </c>
      <c r="AB251" s="76" t="str">
        <f t="shared" si="19"/>
        <v/>
      </c>
      <c r="AC251" s="76" t="str">
        <f t="shared" si="20"/>
        <v/>
      </c>
      <c r="AD251" s="76" t="str">
        <f t="shared" si="21"/>
        <v/>
      </c>
      <c r="AE251" s="76" t="str">
        <f t="shared" si="22"/>
        <v/>
      </c>
      <c r="AF251" s="76" t="str">
        <f t="shared" si="23"/>
        <v/>
      </c>
      <c r="AG251" s="76" t="str">
        <f t="shared" si="24"/>
        <v/>
      </c>
      <c r="AH251" s="76" t="str">
        <f t="shared" si="25"/>
        <v/>
      </c>
      <c r="AI251" s="76" t="str">
        <f t="shared" si="26"/>
        <v/>
      </c>
      <c r="AJ251" s="76" t="str">
        <f t="shared" si="27"/>
        <v/>
      </c>
      <c r="AK251" s="76" t="str">
        <f t="shared" si="28"/>
        <v/>
      </c>
      <c r="AL251" s="76" t="str">
        <f t="shared" si="29"/>
        <v/>
      </c>
      <c r="AM251" s="76" t="str">
        <f t="shared" si="30"/>
        <v/>
      </c>
      <c r="AN251" s="76" t="str">
        <f t="shared" si="31"/>
        <v/>
      </c>
      <c r="AO251" s="76" t="str">
        <f t="shared" si="32"/>
        <v/>
      </c>
      <c r="AP251" s="76" t="str">
        <f t="shared" si="33"/>
        <v/>
      </c>
    </row>
    <row r="252" ht="15.75" customHeight="1">
      <c r="A252" s="76" t="str">
        <f>IF('Manual Entry'!A224="","",'Manual Entry'!A224)</f>
        <v/>
      </c>
      <c r="B252" s="76" t="str">
        <f t="shared" si="3"/>
        <v/>
      </c>
      <c r="C252" s="76" t="str">
        <f t="shared" si="4"/>
        <v/>
      </c>
      <c r="D252" s="76" t="str">
        <f>'Manual Entry'!D224</f>
        <v/>
      </c>
      <c r="E252" s="76" t="str">
        <f>'Manual Entry'!B224</f>
        <v/>
      </c>
      <c r="F252" s="76" t="str">
        <f>'Manual Entry'!F224</f>
        <v/>
      </c>
      <c r="G252" s="76" t="str">
        <f>'Manual Entry'!G224</f>
        <v/>
      </c>
      <c r="H252" s="76" t="str">
        <f>'Manual Entry'!H224</f>
        <v/>
      </c>
      <c r="I252" s="78" t="str">
        <f>'Manual Entry'!I224</f>
        <v/>
      </c>
      <c r="J252" s="78" t="str">
        <f>'Manual Entry'!J224</f>
        <v/>
      </c>
      <c r="K252" s="78" t="str">
        <f>'Manual Entry'!K224</f>
        <v/>
      </c>
      <c r="L252" s="78" t="str">
        <f>'Manual Entry'!L224</f>
        <v/>
      </c>
      <c r="M252" s="78" t="str">
        <f>'Manual Entry'!M224</f>
        <v/>
      </c>
      <c r="N252" s="78" t="str">
        <f>'Manual Entry'!N224</f>
        <v/>
      </c>
      <c r="O252" s="76">
        <f t="shared" si="6"/>
        <v>0</v>
      </c>
      <c r="P252" s="76">
        <f t="shared" si="7"/>
        <v>0</v>
      </c>
      <c r="Q252" s="76">
        <f t="shared" si="8"/>
        <v>0</v>
      </c>
      <c r="R252" s="76">
        <f t="shared" si="9"/>
        <v>0</v>
      </c>
      <c r="S252" s="76" t="str">
        <f t="shared" si="10"/>
        <v/>
      </c>
      <c r="T252" s="76" t="str">
        <f t="shared" si="11"/>
        <v/>
      </c>
      <c r="U252" s="76" t="str">
        <f t="shared" si="12"/>
        <v/>
      </c>
      <c r="V252" s="76" t="str">
        <f t="shared" si="13"/>
        <v/>
      </c>
      <c r="W252" s="76" t="str">
        <f t="shared" si="14"/>
        <v/>
      </c>
      <c r="X252" s="76" t="str">
        <f t="shared" si="15"/>
        <v/>
      </c>
      <c r="Y252" s="76" t="str">
        <f t="shared" si="16"/>
        <v/>
      </c>
      <c r="Z252" s="76" t="str">
        <f t="shared" si="17"/>
        <v/>
      </c>
      <c r="AA252" s="76" t="str">
        <f t="shared" si="18"/>
        <v/>
      </c>
      <c r="AB252" s="76" t="str">
        <f t="shared" si="19"/>
        <v/>
      </c>
      <c r="AC252" s="76" t="str">
        <f t="shared" si="20"/>
        <v/>
      </c>
      <c r="AD252" s="76" t="str">
        <f t="shared" si="21"/>
        <v/>
      </c>
      <c r="AE252" s="76" t="str">
        <f t="shared" si="22"/>
        <v/>
      </c>
      <c r="AF252" s="76" t="str">
        <f t="shared" si="23"/>
        <v/>
      </c>
      <c r="AG252" s="76" t="str">
        <f t="shared" si="24"/>
        <v/>
      </c>
      <c r="AH252" s="76" t="str">
        <f t="shared" si="25"/>
        <v/>
      </c>
      <c r="AI252" s="76" t="str">
        <f t="shared" si="26"/>
        <v/>
      </c>
      <c r="AJ252" s="76" t="str">
        <f t="shared" si="27"/>
        <v/>
      </c>
      <c r="AK252" s="76" t="str">
        <f t="shared" si="28"/>
        <v/>
      </c>
      <c r="AL252" s="76" t="str">
        <f t="shared" si="29"/>
        <v/>
      </c>
      <c r="AM252" s="76" t="str">
        <f t="shared" si="30"/>
        <v/>
      </c>
      <c r="AN252" s="76" t="str">
        <f t="shared" si="31"/>
        <v/>
      </c>
      <c r="AO252" s="76" t="str">
        <f t="shared" si="32"/>
        <v/>
      </c>
      <c r="AP252" s="76" t="str">
        <f t="shared" si="33"/>
        <v/>
      </c>
    </row>
    <row r="253" ht="15.75" customHeight="1">
      <c r="A253" s="76" t="str">
        <f>IF('Manual Entry'!A225="","",'Manual Entry'!A225)</f>
        <v/>
      </c>
      <c r="B253" s="76" t="str">
        <f t="shared" si="3"/>
        <v/>
      </c>
      <c r="C253" s="76" t="str">
        <f t="shared" si="4"/>
        <v/>
      </c>
      <c r="D253" s="76" t="str">
        <f>'Manual Entry'!D225</f>
        <v/>
      </c>
      <c r="E253" s="76" t="str">
        <f>'Manual Entry'!B225</f>
        <v/>
      </c>
      <c r="F253" s="76" t="str">
        <f>'Manual Entry'!F225</f>
        <v/>
      </c>
      <c r="G253" s="76" t="str">
        <f>'Manual Entry'!G225</f>
        <v/>
      </c>
      <c r="H253" s="76" t="str">
        <f>'Manual Entry'!H225</f>
        <v/>
      </c>
      <c r="I253" s="78" t="str">
        <f>'Manual Entry'!I225</f>
        <v/>
      </c>
      <c r="J253" s="78" t="str">
        <f>'Manual Entry'!J225</f>
        <v/>
      </c>
      <c r="K253" s="78" t="str">
        <f>'Manual Entry'!K225</f>
        <v/>
      </c>
      <c r="L253" s="78" t="str">
        <f>'Manual Entry'!L225</f>
        <v/>
      </c>
      <c r="M253" s="78" t="str">
        <f>'Manual Entry'!M225</f>
        <v/>
      </c>
      <c r="N253" s="78" t="str">
        <f>'Manual Entry'!N225</f>
        <v/>
      </c>
      <c r="O253" s="76">
        <f t="shared" si="6"/>
        <v>0</v>
      </c>
      <c r="P253" s="76">
        <f t="shared" si="7"/>
        <v>0</v>
      </c>
      <c r="Q253" s="76">
        <f t="shared" si="8"/>
        <v>0</v>
      </c>
      <c r="R253" s="76">
        <f t="shared" si="9"/>
        <v>0</v>
      </c>
      <c r="S253" s="76" t="str">
        <f t="shared" si="10"/>
        <v/>
      </c>
      <c r="T253" s="76" t="str">
        <f t="shared" si="11"/>
        <v/>
      </c>
      <c r="U253" s="76" t="str">
        <f t="shared" si="12"/>
        <v/>
      </c>
      <c r="V253" s="76" t="str">
        <f t="shared" si="13"/>
        <v/>
      </c>
      <c r="W253" s="76" t="str">
        <f t="shared" si="14"/>
        <v/>
      </c>
      <c r="X253" s="76" t="str">
        <f t="shared" si="15"/>
        <v/>
      </c>
      <c r="Y253" s="76" t="str">
        <f t="shared" si="16"/>
        <v/>
      </c>
      <c r="Z253" s="76" t="str">
        <f t="shared" si="17"/>
        <v/>
      </c>
      <c r="AA253" s="76" t="str">
        <f t="shared" si="18"/>
        <v/>
      </c>
      <c r="AB253" s="76" t="str">
        <f t="shared" si="19"/>
        <v/>
      </c>
      <c r="AC253" s="76" t="str">
        <f t="shared" si="20"/>
        <v/>
      </c>
      <c r="AD253" s="76" t="str">
        <f t="shared" si="21"/>
        <v/>
      </c>
      <c r="AE253" s="76" t="str">
        <f t="shared" si="22"/>
        <v/>
      </c>
      <c r="AF253" s="76" t="str">
        <f t="shared" si="23"/>
        <v/>
      </c>
      <c r="AG253" s="76" t="str">
        <f t="shared" si="24"/>
        <v/>
      </c>
      <c r="AH253" s="76" t="str">
        <f t="shared" si="25"/>
        <v/>
      </c>
      <c r="AI253" s="76" t="str">
        <f t="shared" si="26"/>
        <v/>
      </c>
      <c r="AJ253" s="76" t="str">
        <f t="shared" si="27"/>
        <v/>
      </c>
      <c r="AK253" s="76" t="str">
        <f t="shared" si="28"/>
        <v/>
      </c>
      <c r="AL253" s="76" t="str">
        <f t="shared" si="29"/>
        <v/>
      </c>
      <c r="AM253" s="76" t="str">
        <f t="shared" si="30"/>
        <v/>
      </c>
      <c r="AN253" s="76" t="str">
        <f t="shared" si="31"/>
        <v/>
      </c>
      <c r="AO253" s="76" t="str">
        <f t="shared" si="32"/>
        <v/>
      </c>
      <c r="AP253" s="76" t="str">
        <f t="shared" si="33"/>
        <v/>
      </c>
    </row>
    <row r="254" ht="15.75" customHeight="1">
      <c r="A254" s="76" t="str">
        <f>IF('Manual Entry'!A226="","",'Manual Entry'!A226)</f>
        <v/>
      </c>
      <c r="B254" s="76" t="str">
        <f t="shared" si="3"/>
        <v/>
      </c>
      <c r="C254" s="76" t="str">
        <f t="shared" si="4"/>
        <v/>
      </c>
      <c r="D254" s="76" t="str">
        <f>'Manual Entry'!D226</f>
        <v/>
      </c>
      <c r="E254" s="76" t="str">
        <f>'Manual Entry'!B226</f>
        <v/>
      </c>
      <c r="F254" s="76" t="str">
        <f>'Manual Entry'!F226</f>
        <v/>
      </c>
      <c r="G254" s="76" t="str">
        <f>'Manual Entry'!G226</f>
        <v/>
      </c>
      <c r="H254" s="76" t="str">
        <f>'Manual Entry'!H226</f>
        <v/>
      </c>
      <c r="I254" s="78" t="str">
        <f>'Manual Entry'!I226</f>
        <v/>
      </c>
      <c r="J254" s="78" t="str">
        <f>'Manual Entry'!J226</f>
        <v/>
      </c>
      <c r="K254" s="78" t="str">
        <f>'Manual Entry'!K226</f>
        <v/>
      </c>
      <c r="L254" s="78" t="str">
        <f>'Manual Entry'!L226</f>
        <v/>
      </c>
      <c r="M254" s="78" t="str">
        <f>'Manual Entry'!M226</f>
        <v/>
      </c>
      <c r="N254" s="78" t="str">
        <f>'Manual Entry'!N226</f>
        <v/>
      </c>
      <c r="O254" s="76">
        <f t="shared" si="6"/>
        <v>0</v>
      </c>
      <c r="P254" s="76">
        <f t="shared" si="7"/>
        <v>0</v>
      </c>
      <c r="Q254" s="76">
        <f t="shared" si="8"/>
        <v>0</v>
      </c>
      <c r="R254" s="76">
        <f t="shared" si="9"/>
        <v>0</v>
      </c>
      <c r="S254" s="76" t="str">
        <f t="shared" si="10"/>
        <v/>
      </c>
      <c r="T254" s="76" t="str">
        <f t="shared" si="11"/>
        <v/>
      </c>
      <c r="U254" s="76" t="str">
        <f t="shared" si="12"/>
        <v/>
      </c>
      <c r="V254" s="76" t="str">
        <f t="shared" si="13"/>
        <v/>
      </c>
      <c r="W254" s="76" t="str">
        <f t="shared" si="14"/>
        <v/>
      </c>
      <c r="X254" s="76" t="str">
        <f t="shared" si="15"/>
        <v/>
      </c>
      <c r="Y254" s="76" t="str">
        <f t="shared" si="16"/>
        <v/>
      </c>
      <c r="Z254" s="76" t="str">
        <f t="shared" si="17"/>
        <v/>
      </c>
      <c r="AA254" s="76" t="str">
        <f t="shared" si="18"/>
        <v/>
      </c>
      <c r="AB254" s="76" t="str">
        <f t="shared" si="19"/>
        <v/>
      </c>
      <c r="AC254" s="76" t="str">
        <f t="shared" si="20"/>
        <v/>
      </c>
      <c r="AD254" s="76" t="str">
        <f t="shared" si="21"/>
        <v/>
      </c>
      <c r="AE254" s="76" t="str">
        <f t="shared" si="22"/>
        <v/>
      </c>
      <c r="AF254" s="76" t="str">
        <f t="shared" si="23"/>
        <v/>
      </c>
      <c r="AG254" s="76" t="str">
        <f t="shared" si="24"/>
        <v/>
      </c>
      <c r="AH254" s="76" t="str">
        <f t="shared" si="25"/>
        <v/>
      </c>
      <c r="AI254" s="76" t="str">
        <f t="shared" si="26"/>
        <v/>
      </c>
      <c r="AJ254" s="76" t="str">
        <f t="shared" si="27"/>
        <v/>
      </c>
      <c r="AK254" s="76" t="str">
        <f t="shared" si="28"/>
        <v/>
      </c>
      <c r="AL254" s="76" t="str">
        <f t="shared" si="29"/>
        <v/>
      </c>
      <c r="AM254" s="76" t="str">
        <f t="shared" si="30"/>
        <v/>
      </c>
      <c r="AN254" s="76" t="str">
        <f t="shared" si="31"/>
        <v/>
      </c>
      <c r="AO254" s="76" t="str">
        <f t="shared" si="32"/>
        <v/>
      </c>
      <c r="AP254" s="76" t="str">
        <f t="shared" si="33"/>
        <v/>
      </c>
    </row>
    <row r="255" ht="15.75" customHeight="1">
      <c r="A255" s="76" t="str">
        <f>IF('Manual Entry'!A227="","",'Manual Entry'!A227)</f>
        <v/>
      </c>
      <c r="B255" s="76" t="str">
        <f t="shared" si="3"/>
        <v/>
      </c>
      <c r="C255" s="76" t="str">
        <f t="shared" si="4"/>
        <v/>
      </c>
      <c r="D255" s="76" t="str">
        <f>'Manual Entry'!D227</f>
        <v/>
      </c>
      <c r="E255" s="76" t="str">
        <f>'Manual Entry'!B227</f>
        <v/>
      </c>
      <c r="F255" s="76" t="str">
        <f>'Manual Entry'!F227</f>
        <v/>
      </c>
      <c r="G255" s="76" t="str">
        <f>'Manual Entry'!G227</f>
        <v/>
      </c>
      <c r="H255" s="76" t="str">
        <f>'Manual Entry'!H227</f>
        <v/>
      </c>
      <c r="I255" s="78" t="str">
        <f>'Manual Entry'!I227</f>
        <v/>
      </c>
      <c r="J255" s="78" t="str">
        <f>'Manual Entry'!J227</f>
        <v/>
      </c>
      <c r="K255" s="78" t="str">
        <f>'Manual Entry'!K227</f>
        <v/>
      </c>
      <c r="L255" s="78" t="str">
        <f>'Manual Entry'!L227</f>
        <v/>
      </c>
      <c r="M255" s="78" t="str">
        <f>'Manual Entry'!M227</f>
        <v/>
      </c>
      <c r="N255" s="78" t="str">
        <f>'Manual Entry'!N227</f>
        <v/>
      </c>
      <c r="O255" s="76">
        <f t="shared" si="6"/>
        <v>0</v>
      </c>
      <c r="P255" s="76">
        <f t="shared" si="7"/>
        <v>0</v>
      </c>
      <c r="Q255" s="76">
        <f t="shared" si="8"/>
        <v>0</v>
      </c>
      <c r="R255" s="76">
        <f t="shared" si="9"/>
        <v>0</v>
      </c>
      <c r="S255" s="76" t="str">
        <f t="shared" si="10"/>
        <v/>
      </c>
      <c r="T255" s="76" t="str">
        <f t="shared" si="11"/>
        <v/>
      </c>
      <c r="U255" s="76" t="str">
        <f t="shared" si="12"/>
        <v/>
      </c>
      <c r="V255" s="76" t="str">
        <f t="shared" si="13"/>
        <v/>
      </c>
      <c r="W255" s="76" t="str">
        <f t="shared" si="14"/>
        <v/>
      </c>
      <c r="X255" s="76" t="str">
        <f t="shared" si="15"/>
        <v/>
      </c>
      <c r="Y255" s="76" t="str">
        <f t="shared" si="16"/>
        <v/>
      </c>
      <c r="Z255" s="76" t="str">
        <f t="shared" si="17"/>
        <v/>
      </c>
      <c r="AA255" s="76" t="str">
        <f t="shared" si="18"/>
        <v/>
      </c>
      <c r="AB255" s="76" t="str">
        <f t="shared" si="19"/>
        <v/>
      </c>
      <c r="AC255" s="76" t="str">
        <f t="shared" si="20"/>
        <v/>
      </c>
      <c r="AD255" s="76" t="str">
        <f t="shared" si="21"/>
        <v/>
      </c>
      <c r="AE255" s="76" t="str">
        <f t="shared" si="22"/>
        <v/>
      </c>
      <c r="AF255" s="76" t="str">
        <f t="shared" si="23"/>
        <v/>
      </c>
      <c r="AG255" s="76" t="str">
        <f t="shared" si="24"/>
        <v/>
      </c>
      <c r="AH255" s="76" t="str">
        <f t="shared" si="25"/>
        <v/>
      </c>
      <c r="AI255" s="76" t="str">
        <f t="shared" si="26"/>
        <v/>
      </c>
      <c r="AJ255" s="76" t="str">
        <f t="shared" si="27"/>
        <v/>
      </c>
      <c r="AK255" s="76" t="str">
        <f t="shared" si="28"/>
        <v/>
      </c>
      <c r="AL255" s="76" t="str">
        <f t="shared" si="29"/>
        <v/>
      </c>
      <c r="AM255" s="76" t="str">
        <f t="shared" si="30"/>
        <v/>
      </c>
      <c r="AN255" s="76" t="str">
        <f t="shared" si="31"/>
        <v/>
      </c>
      <c r="AO255" s="76" t="str">
        <f t="shared" si="32"/>
        <v/>
      </c>
      <c r="AP255" s="76" t="str">
        <f t="shared" si="33"/>
        <v/>
      </c>
    </row>
    <row r="256" ht="15.75" customHeight="1">
      <c r="A256" s="76" t="str">
        <f>IF('Manual Entry'!A228="","",'Manual Entry'!A228)</f>
        <v/>
      </c>
      <c r="B256" s="76" t="str">
        <f t="shared" si="3"/>
        <v/>
      </c>
      <c r="C256" s="76" t="str">
        <f t="shared" si="4"/>
        <v/>
      </c>
      <c r="D256" s="76" t="str">
        <f>'Manual Entry'!D228</f>
        <v/>
      </c>
      <c r="E256" s="76" t="str">
        <f>'Manual Entry'!B228</f>
        <v/>
      </c>
      <c r="F256" s="76" t="str">
        <f>'Manual Entry'!F228</f>
        <v/>
      </c>
      <c r="G256" s="76" t="str">
        <f>'Manual Entry'!G228</f>
        <v/>
      </c>
      <c r="H256" s="76" t="str">
        <f>'Manual Entry'!H228</f>
        <v/>
      </c>
      <c r="I256" s="78" t="str">
        <f>'Manual Entry'!I228</f>
        <v/>
      </c>
      <c r="J256" s="78" t="str">
        <f>'Manual Entry'!J228</f>
        <v/>
      </c>
      <c r="K256" s="78" t="str">
        <f>'Manual Entry'!K228</f>
        <v/>
      </c>
      <c r="L256" s="78" t="str">
        <f>'Manual Entry'!L228</f>
        <v/>
      </c>
      <c r="M256" s="78" t="str">
        <f>'Manual Entry'!M228</f>
        <v/>
      </c>
      <c r="N256" s="78" t="str">
        <f>'Manual Entry'!N228</f>
        <v/>
      </c>
      <c r="O256" s="76">
        <f t="shared" si="6"/>
        <v>0</v>
      </c>
      <c r="P256" s="76">
        <f t="shared" si="7"/>
        <v>0</v>
      </c>
      <c r="Q256" s="76">
        <f t="shared" si="8"/>
        <v>0</v>
      </c>
      <c r="R256" s="76">
        <f t="shared" si="9"/>
        <v>0</v>
      </c>
      <c r="S256" s="76" t="str">
        <f t="shared" si="10"/>
        <v/>
      </c>
      <c r="T256" s="76" t="str">
        <f t="shared" si="11"/>
        <v/>
      </c>
      <c r="U256" s="76" t="str">
        <f t="shared" si="12"/>
        <v/>
      </c>
      <c r="V256" s="76" t="str">
        <f t="shared" si="13"/>
        <v/>
      </c>
      <c r="W256" s="76" t="str">
        <f t="shared" si="14"/>
        <v/>
      </c>
      <c r="X256" s="76" t="str">
        <f t="shared" si="15"/>
        <v/>
      </c>
      <c r="Y256" s="76" t="str">
        <f t="shared" si="16"/>
        <v/>
      </c>
      <c r="Z256" s="76" t="str">
        <f t="shared" si="17"/>
        <v/>
      </c>
      <c r="AA256" s="76" t="str">
        <f t="shared" si="18"/>
        <v/>
      </c>
      <c r="AB256" s="76" t="str">
        <f t="shared" si="19"/>
        <v/>
      </c>
      <c r="AC256" s="76" t="str">
        <f t="shared" si="20"/>
        <v/>
      </c>
      <c r="AD256" s="76" t="str">
        <f t="shared" si="21"/>
        <v/>
      </c>
      <c r="AE256" s="76" t="str">
        <f t="shared" si="22"/>
        <v/>
      </c>
      <c r="AF256" s="76" t="str">
        <f t="shared" si="23"/>
        <v/>
      </c>
      <c r="AG256" s="76" t="str">
        <f t="shared" si="24"/>
        <v/>
      </c>
      <c r="AH256" s="76" t="str">
        <f t="shared" si="25"/>
        <v/>
      </c>
      <c r="AI256" s="76" t="str">
        <f t="shared" si="26"/>
        <v/>
      </c>
      <c r="AJ256" s="76" t="str">
        <f t="shared" si="27"/>
        <v/>
      </c>
      <c r="AK256" s="76" t="str">
        <f t="shared" si="28"/>
        <v/>
      </c>
      <c r="AL256" s="76" t="str">
        <f t="shared" si="29"/>
        <v/>
      </c>
      <c r="AM256" s="76" t="str">
        <f t="shared" si="30"/>
        <v/>
      </c>
      <c r="AN256" s="76" t="str">
        <f t="shared" si="31"/>
        <v/>
      </c>
      <c r="AO256" s="76" t="str">
        <f t="shared" si="32"/>
        <v/>
      </c>
      <c r="AP256" s="76" t="str">
        <f t="shared" si="33"/>
        <v/>
      </c>
    </row>
    <row r="257" ht="15.75" customHeight="1">
      <c r="A257" s="76" t="str">
        <f>IF('Manual Entry'!A229="","",'Manual Entry'!A229)</f>
        <v/>
      </c>
      <c r="B257" s="76" t="str">
        <f t="shared" si="3"/>
        <v/>
      </c>
      <c r="C257" s="76" t="str">
        <f t="shared" si="4"/>
        <v/>
      </c>
      <c r="D257" s="76" t="str">
        <f>'Manual Entry'!D229</f>
        <v/>
      </c>
      <c r="E257" s="76" t="str">
        <f>'Manual Entry'!B229</f>
        <v/>
      </c>
      <c r="F257" s="76" t="str">
        <f>'Manual Entry'!F229</f>
        <v/>
      </c>
      <c r="G257" s="76" t="str">
        <f>'Manual Entry'!G229</f>
        <v/>
      </c>
      <c r="H257" s="76" t="str">
        <f>'Manual Entry'!H229</f>
        <v/>
      </c>
      <c r="I257" s="78" t="str">
        <f>'Manual Entry'!I229</f>
        <v/>
      </c>
      <c r="J257" s="78" t="str">
        <f>'Manual Entry'!J229</f>
        <v/>
      </c>
      <c r="K257" s="78" t="str">
        <f>'Manual Entry'!K229</f>
        <v/>
      </c>
      <c r="L257" s="78" t="str">
        <f>'Manual Entry'!L229</f>
        <v/>
      </c>
      <c r="M257" s="78" t="str">
        <f>'Manual Entry'!M229</f>
        <v/>
      </c>
      <c r="N257" s="78" t="str">
        <f>'Manual Entry'!N229</f>
        <v/>
      </c>
      <c r="O257" s="76">
        <f t="shared" si="6"/>
        <v>0</v>
      </c>
      <c r="P257" s="76">
        <f t="shared" si="7"/>
        <v>0</v>
      </c>
      <c r="Q257" s="76">
        <f t="shared" si="8"/>
        <v>0</v>
      </c>
      <c r="R257" s="76">
        <f t="shared" si="9"/>
        <v>0</v>
      </c>
      <c r="S257" s="76" t="str">
        <f t="shared" si="10"/>
        <v/>
      </c>
      <c r="T257" s="76" t="str">
        <f t="shared" si="11"/>
        <v/>
      </c>
      <c r="U257" s="76" t="str">
        <f t="shared" si="12"/>
        <v/>
      </c>
      <c r="V257" s="76" t="str">
        <f t="shared" si="13"/>
        <v/>
      </c>
      <c r="W257" s="76" t="str">
        <f t="shared" si="14"/>
        <v/>
      </c>
      <c r="X257" s="76" t="str">
        <f t="shared" si="15"/>
        <v/>
      </c>
      <c r="Y257" s="76" t="str">
        <f t="shared" si="16"/>
        <v/>
      </c>
      <c r="Z257" s="76" t="str">
        <f t="shared" si="17"/>
        <v/>
      </c>
      <c r="AA257" s="76" t="str">
        <f t="shared" si="18"/>
        <v/>
      </c>
      <c r="AB257" s="76" t="str">
        <f t="shared" si="19"/>
        <v/>
      </c>
      <c r="AC257" s="76" t="str">
        <f t="shared" si="20"/>
        <v/>
      </c>
      <c r="AD257" s="76" t="str">
        <f t="shared" si="21"/>
        <v/>
      </c>
      <c r="AE257" s="76" t="str">
        <f t="shared" si="22"/>
        <v/>
      </c>
      <c r="AF257" s="76" t="str">
        <f t="shared" si="23"/>
        <v/>
      </c>
      <c r="AG257" s="76" t="str">
        <f t="shared" si="24"/>
        <v/>
      </c>
      <c r="AH257" s="76" t="str">
        <f t="shared" si="25"/>
        <v/>
      </c>
      <c r="AI257" s="76" t="str">
        <f t="shared" si="26"/>
        <v/>
      </c>
      <c r="AJ257" s="76" t="str">
        <f t="shared" si="27"/>
        <v/>
      </c>
      <c r="AK257" s="76" t="str">
        <f t="shared" si="28"/>
        <v/>
      </c>
      <c r="AL257" s="76" t="str">
        <f t="shared" si="29"/>
        <v/>
      </c>
      <c r="AM257" s="76" t="str">
        <f t="shared" si="30"/>
        <v/>
      </c>
      <c r="AN257" s="76" t="str">
        <f t="shared" si="31"/>
        <v/>
      </c>
      <c r="AO257" s="76" t="str">
        <f t="shared" si="32"/>
        <v/>
      </c>
      <c r="AP257" s="76" t="str">
        <f t="shared" si="33"/>
        <v/>
      </c>
    </row>
    <row r="258" ht="15.75" customHeight="1">
      <c r="A258" s="76" t="str">
        <f>IF('Manual Entry'!A230="","",'Manual Entry'!A230)</f>
        <v/>
      </c>
      <c r="B258" s="76" t="str">
        <f t="shared" si="3"/>
        <v/>
      </c>
      <c r="C258" s="76" t="str">
        <f t="shared" si="4"/>
        <v/>
      </c>
      <c r="D258" s="76" t="str">
        <f>'Manual Entry'!D230</f>
        <v/>
      </c>
      <c r="E258" s="76" t="str">
        <f>'Manual Entry'!B230</f>
        <v/>
      </c>
      <c r="F258" s="76" t="str">
        <f>'Manual Entry'!F230</f>
        <v/>
      </c>
      <c r="G258" s="76" t="str">
        <f>'Manual Entry'!G230</f>
        <v/>
      </c>
      <c r="H258" s="76" t="str">
        <f>'Manual Entry'!H230</f>
        <v/>
      </c>
      <c r="I258" s="78" t="str">
        <f>'Manual Entry'!I230</f>
        <v/>
      </c>
      <c r="J258" s="78" t="str">
        <f>'Manual Entry'!J230</f>
        <v/>
      </c>
      <c r="K258" s="78" t="str">
        <f>'Manual Entry'!K230</f>
        <v/>
      </c>
      <c r="L258" s="78" t="str">
        <f>'Manual Entry'!L230</f>
        <v/>
      </c>
      <c r="M258" s="78" t="str">
        <f>'Manual Entry'!M230</f>
        <v/>
      </c>
      <c r="N258" s="78" t="str">
        <f>'Manual Entry'!N230</f>
        <v/>
      </c>
      <c r="O258" s="76">
        <f t="shared" si="6"/>
        <v>0</v>
      </c>
      <c r="P258" s="76">
        <f t="shared" si="7"/>
        <v>0</v>
      </c>
      <c r="Q258" s="76">
        <f t="shared" si="8"/>
        <v>0</v>
      </c>
      <c r="R258" s="76">
        <f t="shared" si="9"/>
        <v>0</v>
      </c>
      <c r="S258" s="76" t="str">
        <f t="shared" si="10"/>
        <v/>
      </c>
      <c r="T258" s="76" t="str">
        <f t="shared" si="11"/>
        <v/>
      </c>
      <c r="U258" s="76" t="str">
        <f t="shared" si="12"/>
        <v/>
      </c>
      <c r="V258" s="76" t="str">
        <f t="shared" si="13"/>
        <v/>
      </c>
      <c r="W258" s="76" t="str">
        <f t="shared" si="14"/>
        <v/>
      </c>
      <c r="X258" s="76" t="str">
        <f t="shared" si="15"/>
        <v/>
      </c>
      <c r="Y258" s="76" t="str">
        <f t="shared" si="16"/>
        <v/>
      </c>
      <c r="Z258" s="76" t="str">
        <f t="shared" si="17"/>
        <v/>
      </c>
      <c r="AA258" s="76" t="str">
        <f t="shared" si="18"/>
        <v/>
      </c>
      <c r="AB258" s="76" t="str">
        <f t="shared" si="19"/>
        <v/>
      </c>
      <c r="AC258" s="76" t="str">
        <f t="shared" si="20"/>
        <v/>
      </c>
      <c r="AD258" s="76" t="str">
        <f t="shared" si="21"/>
        <v/>
      </c>
      <c r="AE258" s="76" t="str">
        <f t="shared" si="22"/>
        <v/>
      </c>
      <c r="AF258" s="76" t="str">
        <f t="shared" si="23"/>
        <v/>
      </c>
      <c r="AG258" s="76" t="str">
        <f t="shared" si="24"/>
        <v/>
      </c>
      <c r="AH258" s="76" t="str">
        <f t="shared" si="25"/>
        <v/>
      </c>
      <c r="AI258" s="76" t="str">
        <f t="shared" si="26"/>
        <v/>
      </c>
      <c r="AJ258" s="76" t="str">
        <f t="shared" si="27"/>
        <v/>
      </c>
      <c r="AK258" s="76" t="str">
        <f t="shared" si="28"/>
        <v/>
      </c>
      <c r="AL258" s="76" t="str">
        <f t="shared" si="29"/>
        <v/>
      </c>
      <c r="AM258" s="76" t="str">
        <f t="shared" si="30"/>
        <v/>
      </c>
      <c r="AN258" s="76" t="str">
        <f t="shared" si="31"/>
        <v/>
      </c>
      <c r="AO258" s="76" t="str">
        <f t="shared" si="32"/>
        <v/>
      </c>
      <c r="AP258" s="76" t="str">
        <f t="shared" si="33"/>
        <v/>
      </c>
    </row>
    <row r="259" ht="15.75" customHeight="1">
      <c r="A259" s="76" t="str">
        <f>IF('Manual Entry'!A231="","",'Manual Entry'!A231)</f>
        <v/>
      </c>
      <c r="B259" s="76" t="str">
        <f t="shared" si="3"/>
        <v/>
      </c>
      <c r="C259" s="76" t="str">
        <f t="shared" si="4"/>
        <v/>
      </c>
      <c r="D259" s="76" t="str">
        <f>'Manual Entry'!D231</f>
        <v/>
      </c>
      <c r="E259" s="76" t="str">
        <f>'Manual Entry'!B231</f>
        <v/>
      </c>
      <c r="F259" s="76" t="str">
        <f>'Manual Entry'!F231</f>
        <v/>
      </c>
      <c r="G259" s="76" t="str">
        <f>'Manual Entry'!G231</f>
        <v/>
      </c>
      <c r="H259" s="76" t="str">
        <f>'Manual Entry'!H231</f>
        <v/>
      </c>
      <c r="I259" s="78" t="str">
        <f>'Manual Entry'!I231</f>
        <v/>
      </c>
      <c r="J259" s="78" t="str">
        <f>'Manual Entry'!J231</f>
        <v/>
      </c>
      <c r="K259" s="78" t="str">
        <f>'Manual Entry'!K231</f>
        <v/>
      </c>
      <c r="L259" s="78" t="str">
        <f>'Manual Entry'!L231</f>
        <v/>
      </c>
      <c r="M259" s="78" t="str">
        <f>'Manual Entry'!M231</f>
        <v/>
      </c>
      <c r="N259" s="78" t="str">
        <f>'Manual Entry'!N231</f>
        <v/>
      </c>
      <c r="O259" s="76">
        <f t="shared" si="6"/>
        <v>0</v>
      </c>
      <c r="P259" s="76">
        <f t="shared" si="7"/>
        <v>0</v>
      </c>
      <c r="Q259" s="76">
        <f t="shared" si="8"/>
        <v>0</v>
      </c>
      <c r="R259" s="76">
        <f t="shared" si="9"/>
        <v>0</v>
      </c>
      <c r="S259" s="76" t="str">
        <f t="shared" si="10"/>
        <v/>
      </c>
      <c r="T259" s="76" t="str">
        <f t="shared" si="11"/>
        <v/>
      </c>
      <c r="U259" s="76" t="str">
        <f t="shared" si="12"/>
        <v/>
      </c>
      <c r="V259" s="76" t="str">
        <f t="shared" si="13"/>
        <v/>
      </c>
      <c r="W259" s="76" t="str">
        <f t="shared" si="14"/>
        <v/>
      </c>
      <c r="X259" s="76" t="str">
        <f t="shared" si="15"/>
        <v/>
      </c>
      <c r="Y259" s="76" t="str">
        <f t="shared" si="16"/>
        <v/>
      </c>
      <c r="Z259" s="76" t="str">
        <f t="shared" si="17"/>
        <v/>
      </c>
      <c r="AA259" s="76" t="str">
        <f t="shared" si="18"/>
        <v/>
      </c>
      <c r="AB259" s="76" t="str">
        <f t="shared" si="19"/>
        <v/>
      </c>
      <c r="AC259" s="76" t="str">
        <f t="shared" si="20"/>
        <v/>
      </c>
      <c r="AD259" s="76" t="str">
        <f t="shared" si="21"/>
        <v/>
      </c>
      <c r="AE259" s="76" t="str">
        <f t="shared" si="22"/>
        <v/>
      </c>
      <c r="AF259" s="76" t="str">
        <f t="shared" si="23"/>
        <v/>
      </c>
      <c r="AG259" s="76" t="str">
        <f t="shared" si="24"/>
        <v/>
      </c>
      <c r="AH259" s="76" t="str">
        <f t="shared" si="25"/>
        <v/>
      </c>
      <c r="AI259" s="76" t="str">
        <f t="shared" si="26"/>
        <v/>
      </c>
      <c r="AJ259" s="76" t="str">
        <f t="shared" si="27"/>
        <v/>
      </c>
      <c r="AK259" s="76" t="str">
        <f t="shared" si="28"/>
        <v/>
      </c>
      <c r="AL259" s="76" t="str">
        <f t="shared" si="29"/>
        <v/>
      </c>
      <c r="AM259" s="76" t="str">
        <f t="shared" si="30"/>
        <v/>
      </c>
      <c r="AN259" s="76" t="str">
        <f t="shared" si="31"/>
        <v/>
      </c>
      <c r="AO259" s="76" t="str">
        <f t="shared" si="32"/>
        <v/>
      </c>
      <c r="AP259" s="76" t="str">
        <f t="shared" si="33"/>
        <v/>
      </c>
    </row>
    <row r="260" ht="15.75" customHeight="1">
      <c r="A260" s="76" t="str">
        <f>IF('Manual Entry'!A232="","",'Manual Entry'!A232)</f>
        <v/>
      </c>
      <c r="B260" s="76" t="str">
        <f t="shared" si="3"/>
        <v/>
      </c>
      <c r="C260" s="76" t="str">
        <f t="shared" si="4"/>
        <v/>
      </c>
      <c r="D260" s="76" t="str">
        <f>'Manual Entry'!D232</f>
        <v/>
      </c>
      <c r="E260" s="76" t="str">
        <f>'Manual Entry'!B232</f>
        <v/>
      </c>
      <c r="F260" s="76" t="str">
        <f>'Manual Entry'!F232</f>
        <v/>
      </c>
      <c r="G260" s="76" t="str">
        <f>'Manual Entry'!G232</f>
        <v/>
      </c>
      <c r="H260" s="76" t="str">
        <f>'Manual Entry'!H232</f>
        <v/>
      </c>
      <c r="I260" s="78" t="str">
        <f>'Manual Entry'!I232</f>
        <v/>
      </c>
      <c r="J260" s="78" t="str">
        <f>'Manual Entry'!J232</f>
        <v/>
      </c>
      <c r="K260" s="78" t="str">
        <f>'Manual Entry'!K232</f>
        <v/>
      </c>
      <c r="L260" s="78" t="str">
        <f>'Manual Entry'!L232</f>
        <v/>
      </c>
      <c r="M260" s="78" t="str">
        <f>'Manual Entry'!M232</f>
        <v/>
      </c>
      <c r="N260" s="78" t="str">
        <f>'Manual Entry'!N232</f>
        <v/>
      </c>
      <c r="O260" s="76">
        <f t="shared" si="6"/>
        <v>0</v>
      </c>
      <c r="P260" s="76">
        <f t="shared" si="7"/>
        <v>0</v>
      </c>
      <c r="Q260" s="76">
        <f t="shared" si="8"/>
        <v>0</v>
      </c>
      <c r="R260" s="76">
        <f t="shared" si="9"/>
        <v>0</v>
      </c>
      <c r="S260" s="76" t="str">
        <f t="shared" si="10"/>
        <v/>
      </c>
      <c r="T260" s="76" t="str">
        <f t="shared" si="11"/>
        <v/>
      </c>
      <c r="U260" s="76" t="str">
        <f t="shared" si="12"/>
        <v/>
      </c>
      <c r="V260" s="76" t="str">
        <f t="shared" si="13"/>
        <v/>
      </c>
      <c r="W260" s="76" t="str">
        <f t="shared" si="14"/>
        <v/>
      </c>
      <c r="X260" s="76" t="str">
        <f t="shared" si="15"/>
        <v/>
      </c>
      <c r="Y260" s="76" t="str">
        <f t="shared" si="16"/>
        <v/>
      </c>
      <c r="Z260" s="76" t="str">
        <f t="shared" si="17"/>
        <v/>
      </c>
      <c r="AA260" s="76" t="str">
        <f t="shared" si="18"/>
        <v/>
      </c>
      <c r="AB260" s="76" t="str">
        <f t="shared" si="19"/>
        <v/>
      </c>
      <c r="AC260" s="76" t="str">
        <f t="shared" si="20"/>
        <v/>
      </c>
      <c r="AD260" s="76" t="str">
        <f t="shared" si="21"/>
        <v/>
      </c>
      <c r="AE260" s="76" t="str">
        <f t="shared" si="22"/>
        <v/>
      </c>
      <c r="AF260" s="76" t="str">
        <f t="shared" si="23"/>
        <v/>
      </c>
      <c r="AG260" s="76" t="str">
        <f t="shared" si="24"/>
        <v/>
      </c>
      <c r="AH260" s="76" t="str">
        <f t="shared" si="25"/>
        <v/>
      </c>
      <c r="AI260" s="76" t="str">
        <f t="shared" si="26"/>
        <v/>
      </c>
      <c r="AJ260" s="76" t="str">
        <f t="shared" si="27"/>
        <v/>
      </c>
      <c r="AK260" s="76" t="str">
        <f t="shared" si="28"/>
        <v/>
      </c>
      <c r="AL260" s="76" t="str">
        <f t="shared" si="29"/>
        <v/>
      </c>
      <c r="AM260" s="76" t="str">
        <f t="shared" si="30"/>
        <v/>
      </c>
      <c r="AN260" s="76" t="str">
        <f t="shared" si="31"/>
        <v/>
      </c>
      <c r="AO260" s="76" t="str">
        <f t="shared" si="32"/>
        <v/>
      </c>
      <c r="AP260" s="76" t="str">
        <f t="shared" si="33"/>
        <v/>
      </c>
    </row>
    <row r="261" ht="15.75" customHeight="1">
      <c r="A261" s="76" t="str">
        <f>IF('Manual Entry'!A233="","",'Manual Entry'!A233)</f>
        <v/>
      </c>
      <c r="B261" s="76" t="str">
        <f t="shared" si="3"/>
        <v/>
      </c>
      <c r="C261" s="76" t="str">
        <f t="shared" si="4"/>
        <v/>
      </c>
      <c r="D261" s="76" t="str">
        <f>'Manual Entry'!D233</f>
        <v/>
      </c>
      <c r="E261" s="76" t="str">
        <f>'Manual Entry'!B233</f>
        <v/>
      </c>
      <c r="F261" s="76" t="str">
        <f>'Manual Entry'!F233</f>
        <v/>
      </c>
      <c r="G261" s="76" t="str">
        <f>'Manual Entry'!G233</f>
        <v/>
      </c>
      <c r="H261" s="76" t="str">
        <f>'Manual Entry'!H233</f>
        <v/>
      </c>
      <c r="I261" s="78" t="str">
        <f>'Manual Entry'!I233</f>
        <v/>
      </c>
      <c r="J261" s="78" t="str">
        <f>'Manual Entry'!J233</f>
        <v/>
      </c>
      <c r="K261" s="78" t="str">
        <f>'Manual Entry'!K233</f>
        <v/>
      </c>
      <c r="L261" s="78" t="str">
        <f>'Manual Entry'!L233</f>
        <v/>
      </c>
      <c r="M261" s="78" t="str">
        <f>'Manual Entry'!M233</f>
        <v/>
      </c>
      <c r="N261" s="78" t="str">
        <f>'Manual Entry'!N233</f>
        <v/>
      </c>
      <c r="O261" s="76">
        <f t="shared" si="6"/>
        <v>0</v>
      </c>
      <c r="P261" s="76">
        <f t="shared" si="7"/>
        <v>0</v>
      </c>
      <c r="Q261" s="76">
        <f t="shared" si="8"/>
        <v>0</v>
      </c>
      <c r="R261" s="76">
        <f t="shared" si="9"/>
        <v>0</v>
      </c>
      <c r="S261" s="76" t="str">
        <f t="shared" si="10"/>
        <v/>
      </c>
      <c r="T261" s="76" t="str">
        <f t="shared" si="11"/>
        <v/>
      </c>
      <c r="U261" s="76" t="str">
        <f t="shared" si="12"/>
        <v/>
      </c>
      <c r="V261" s="76" t="str">
        <f t="shared" si="13"/>
        <v/>
      </c>
      <c r="W261" s="76" t="str">
        <f t="shared" si="14"/>
        <v/>
      </c>
      <c r="X261" s="76" t="str">
        <f t="shared" si="15"/>
        <v/>
      </c>
      <c r="Y261" s="76" t="str">
        <f t="shared" si="16"/>
        <v/>
      </c>
      <c r="Z261" s="76" t="str">
        <f t="shared" si="17"/>
        <v/>
      </c>
      <c r="AA261" s="76" t="str">
        <f t="shared" si="18"/>
        <v/>
      </c>
      <c r="AB261" s="76" t="str">
        <f t="shared" si="19"/>
        <v/>
      </c>
      <c r="AC261" s="76" t="str">
        <f t="shared" si="20"/>
        <v/>
      </c>
      <c r="AD261" s="76" t="str">
        <f t="shared" si="21"/>
        <v/>
      </c>
      <c r="AE261" s="76" t="str">
        <f t="shared" si="22"/>
        <v/>
      </c>
      <c r="AF261" s="76" t="str">
        <f t="shared" si="23"/>
        <v/>
      </c>
      <c r="AG261" s="76" t="str">
        <f t="shared" si="24"/>
        <v/>
      </c>
      <c r="AH261" s="76" t="str">
        <f t="shared" si="25"/>
        <v/>
      </c>
      <c r="AI261" s="76" t="str">
        <f t="shared" si="26"/>
        <v/>
      </c>
      <c r="AJ261" s="76" t="str">
        <f t="shared" si="27"/>
        <v/>
      </c>
      <c r="AK261" s="76" t="str">
        <f t="shared" si="28"/>
        <v/>
      </c>
      <c r="AL261" s="76" t="str">
        <f t="shared" si="29"/>
        <v/>
      </c>
      <c r="AM261" s="76" t="str">
        <f t="shared" si="30"/>
        <v/>
      </c>
      <c r="AN261" s="76" t="str">
        <f t="shared" si="31"/>
        <v/>
      </c>
      <c r="AO261" s="76" t="str">
        <f t="shared" si="32"/>
        <v/>
      </c>
      <c r="AP261" s="76" t="str">
        <f t="shared" si="33"/>
        <v/>
      </c>
    </row>
    <row r="262" ht="15.75" customHeight="1">
      <c r="A262" s="76" t="str">
        <f>IF('Manual Entry'!A234="","",'Manual Entry'!A234)</f>
        <v/>
      </c>
      <c r="B262" s="76" t="str">
        <f t="shared" si="3"/>
        <v/>
      </c>
      <c r="C262" s="76" t="str">
        <f t="shared" si="4"/>
        <v/>
      </c>
      <c r="D262" s="76" t="str">
        <f>'Manual Entry'!D234</f>
        <v/>
      </c>
      <c r="E262" s="76" t="str">
        <f>'Manual Entry'!B234</f>
        <v/>
      </c>
      <c r="F262" s="76" t="str">
        <f>'Manual Entry'!F234</f>
        <v/>
      </c>
      <c r="G262" s="76" t="str">
        <f>'Manual Entry'!G234</f>
        <v/>
      </c>
      <c r="H262" s="76" t="str">
        <f>'Manual Entry'!H234</f>
        <v/>
      </c>
      <c r="I262" s="78" t="str">
        <f>'Manual Entry'!I234</f>
        <v/>
      </c>
      <c r="J262" s="78" t="str">
        <f>'Manual Entry'!J234</f>
        <v/>
      </c>
      <c r="K262" s="78" t="str">
        <f>'Manual Entry'!K234</f>
        <v/>
      </c>
      <c r="L262" s="78" t="str">
        <f>'Manual Entry'!L234</f>
        <v/>
      </c>
      <c r="M262" s="78" t="str">
        <f>'Manual Entry'!M234</f>
        <v/>
      </c>
      <c r="N262" s="78" t="str">
        <f>'Manual Entry'!N234</f>
        <v/>
      </c>
      <c r="O262" s="76">
        <f t="shared" si="6"/>
        <v>0</v>
      </c>
      <c r="P262" s="76">
        <f t="shared" si="7"/>
        <v>0</v>
      </c>
      <c r="Q262" s="76">
        <f t="shared" si="8"/>
        <v>0</v>
      </c>
      <c r="R262" s="76">
        <f t="shared" si="9"/>
        <v>0</v>
      </c>
      <c r="S262" s="76" t="str">
        <f t="shared" si="10"/>
        <v/>
      </c>
      <c r="T262" s="76" t="str">
        <f t="shared" si="11"/>
        <v/>
      </c>
      <c r="U262" s="76" t="str">
        <f t="shared" si="12"/>
        <v/>
      </c>
      <c r="V262" s="76" t="str">
        <f t="shared" si="13"/>
        <v/>
      </c>
      <c r="W262" s="76" t="str">
        <f t="shared" si="14"/>
        <v/>
      </c>
      <c r="X262" s="76" t="str">
        <f t="shared" si="15"/>
        <v/>
      </c>
      <c r="Y262" s="76" t="str">
        <f t="shared" si="16"/>
        <v/>
      </c>
      <c r="Z262" s="76" t="str">
        <f t="shared" si="17"/>
        <v/>
      </c>
      <c r="AA262" s="76" t="str">
        <f t="shared" si="18"/>
        <v/>
      </c>
      <c r="AB262" s="76" t="str">
        <f t="shared" si="19"/>
        <v/>
      </c>
      <c r="AC262" s="76" t="str">
        <f t="shared" si="20"/>
        <v/>
      </c>
      <c r="AD262" s="76" t="str">
        <f t="shared" si="21"/>
        <v/>
      </c>
      <c r="AE262" s="76" t="str">
        <f t="shared" si="22"/>
        <v/>
      </c>
      <c r="AF262" s="76" t="str">
        <f t="shared" si="23"/>
        <v/>
      </c>
      <c r="AG262" s="76" t="str">
        <f t="shared" si="24"/>
        <v/>
      </c>
      <c r="AH262" s="76" t="str">
        <f t="shared" si="25"/>
        <v/>
      </c>
      <c r="AI262" s="76" t="str">
        <f t="shared" si="26"/>
        <v/>
      </c>
      <c r="AJ262" s="76" t="str">
        <f t="shared" si="27"/>
        <v/>
      </c>
      <c r="AK262" s="76" t="str">
        <f t="shared" si="28"/>
        <v/>
      </c>
      <c r="AL262" s="76" t="str">
        <f t="shared" si="29"/>
        <v/>
      </c>
      <c r="AM262" s="76" t="str">
        <f t="shared" si="30"/>
        <v/>
      </c>
      <c r="AN262" s="76" t="str">
        <f t="shared" si="31"/>
        <v/>
      </c>
      <c r="AO262" s="76" t="str">
        <f t="shared" si="32"/>
        <v/>
      </c>
      <c r="AP262" s="76" t="str">
        <f t="shared" si="33"/>
        <v/>
      </c>
    </row>
    <row r="263" ht="15.75" customHeight="1">
      <c r="A263" s="76" t="str">
        <f>IF('Manual Entry'!A235="","",'Manual Entry'!A235)</f>
        <v/>
      </c>
      <c r="B263" s="76" t="str">
        <f t="shared" si="3"/>
        <v/>
      </c>
      <c r="C263" s="76" t="str">
        <f t="shared" si="4"/>
        <v/>
      </c>
      <c r="D263" s="76" t="str">
        <f>'Manual Entry'!D235</f>
        <v/>
      </c>
      <c r="E263" s="76" t="str">
        <f>'Manual Entry'!B235</f>
        <v/>
      </c>
      <c r="F263" s="76" t="str">
        <f>'Manual Entry'!F235</f>
        <v/>
      </c>
      <c r="G263" s="76" t="str">
        <f>'Manual Entry'!G235</f>
        <v/>
      </c>
      <c r="H263" s="76" t="str">
        <f>'Manual Entry'!H235</f>
        <v/>
      </c>
      <c r="I263" s="78" t="str">
        <f>'Manual Entry'!I235</f>
        <v/>
      </c>
      <c r="J263" s="78" t="str">
        <f>'Manual Entry'!J235</f>
        <v/>
      </c>
      <c r="K263" s="78" t="str">
        <f>'Manual Entry'!K235</f>
        <v/>
      </c>
      <c r="L263" s="78" t="str">
        <f>'Manual Entry'!L235</f>
        <v/>
      </c>
      <c r="M263" s="78" t="str">
        <f>'Manual Entry'!M235</f>
        <v/>
      </c>
      <c r="N263" s="78" t="str">
        <f>'Manual Entry'!N235</f>
        <v/>
      </c>
      <c r="O263" s="76">
        <f t="shared" si="6"/>
        <v>0</v>
      </c>
      <c r="P263" s="76">
        <f t="shared" si="7"/>
        <v>0</v>
      </c>
      <c r="Q263" s="76">
        <f t="shared" si="8"/>
        <v>0</v>
      </c>
      <c r="R263" s="76">
        <f t="shared" si="9"/>
        <v>0</v>
      </c>
      <c r="S263" s="76" t="str">
        <f t="shared" si="10"/>
        <v/>
      </c>
      <c r="T263" s="76" t="str">
        <f t="shared" si="11"/>
        <v/>
      </c>
      <c r="U263" s="76" t="str">
        <f t="shared" si="12"/>
        <v/>
      </c>
      <c r="V263" s="76" t="str">
        <f t="shared" si="13"/>
        <v/>
      </c>
      <c r="W263" s="76" t="str">
        <f t="shared" si="14"/>
        <v/>
      </c>
      <c r="X263" s="76" t="str">
        <f t="shared" si="15"/>
        <v/>
      </c>
      <c r="Y263" s="76" t="str">
        <f t="shared" si="16"/>
        <v/>
      </c>
      <c r="Z263" s="76" t="str">
        <f t="shared" si="17"/>
        <v/>
      </c>
      <c r="AA263" s="76" t="str">
        <f t="shared" si="18"/>
        <v/>
      </c>
      <c r="AB263" s="76" t="str">
        <f t="shared" si="19"/>
        <v/>
      </c>
      <c r="AC263" s="76" t="str">
        <f t="shared" si="20"/>
        <v/>
      </c>
      <c r="AD263" s="76" t="str">
        <f t="shared" si="21"/>
        <v/>
      </c>
      <c r="AE263" s="76" t="str">
        <f t="shared" si="22"/>
        <v/>
      </c>
      <c r="AF263" s="76" t="str">
        <f t="shared" si="23"/>
        <v/>
      </c>
      <c r="AG263" s="76" t="str">
        <f t="shared" si="24"/>
        <v/>
      </c>
      <c r="AH263" s="76" t="str">
        <f t="shared" si="25"/>
        <v/>
      </c>
      <c r="AI263" s="76" t="str">
        <f t="shared" si="26"/>
        <v/>
      </c>
      <c r="AJ263" s="76" t="str">
        <f t="shared" si="27"/>
        <v/>
      </c>
      <c r="AK263" s="76" t="str">
        <f t="shared" si="28"/>
        <v/>
      </c>
      <c r="AL263" s="76" t="str">
        <f t="shared" si="29"/>
        <v/>
      </c>
      <c r="AM263" s="76" t="str">
        <f t="shared" si="30"/>
        <v/>
      </c>
      <c r="AN263" s="76" t="str">
        <f t="shared" si="31"/>
        <v/>
      </c>
      <c r="AO263" s="76" t="str">
        <f t="shared" si="32"/>
        <v/>
      </c>
      <c r="AP263" s="76" t="str">
        <f t="shared" si="33"/>
        <v/>
      </c>
    </row>
    <row r="264" ht="15.75" customHeight="1">
      <c r="A264" s="76" t="str">
        <f>IF('Manual Entry'!A236="","",'Manual Entry'!A236)</f>
        <v/>
      </c>
      <c r="B264" s="76" t="str">
        <f t="shared" si="3"/>
        <v/>
      </c>
      <c r="C264" s="76" t="str">
        <f t="shared" si="4"/>
        <v/>
      </c>
      <c r="D264" s="76" t="str">
        <f>'Manual Entry'!D236</f>
        <v/>
      </c>
      <c r="E264" s="76" t="str">
        <f>'Manual Entry'!B236</f>
        <v/>
      </c>
      <c r="F264" s="76" t="str">
        <f>'Manual Entry'!F236</f>
        <v/>
      </c>
      <c r="G264" s="76" t="str">
        <f>'Manual Entry'!G236</f>
        <v/>
      </c>
      <c r="H264" s="76" t="str">
        <f>'Manual Entry'!H236</f>
        <v/>
      </c>
      <c r="I264" s="78" t="str">
        <f>'Manual Entry'!I236</f>
        <v/>
      </c>
      <c r="J264" s="78" t="str">
        <f>'Manual Entry'!J236</f>
        <v/>
      </c>
      <c r="K264" s="78" t="str">
        <f>'Manual Entry'!K236</f>
        <v/>
      </c>
      <c r="L264" s="78" t="str">
        <f>'Manual Entry'!L236</f>
        <v/>
      </c>
      <c r="M264" s="78" t="str">
        <f>'Manual Entry'!M236</f>
        <v/>
      </c>
      <c r="N264" s="78" t="str">
        <f>'Manual Entry'!N236</f>
        <v/>
      </c>
      <c r="O264" s="76">
        <f t="shared" si="6"/>
        <v>0</v>
      </c>
      <c r="P264" s="76">
        <f t="shared" si="7"/>
        <v>0</v>
      </c>
      <c r="Q264" s="76">
        <f t="shared" si="8"/>
        <v>0</v>
      </c>
      <c r="R264" s="76">
        <f t="shared" si="9"/>
        <v>0</v>
      </c>
      <c r="S264" s="76" t="str">
        <f t="shared" si="10"/>
        <v/>
      </c>
      <c r="T264" s="76" t="str">
        <f t="shared" si="11"/>
        <v/>
      </c>
      <c r="U264" s="76" t="str">
        <f t="shared" si="12"/>
        <v/>
      </c>
      <c r="V264" s="76" t="str">
        <f t="shared" si="13"/>
        <v/>
      </c>
      <c r="W264" s="76" t="str">
        <f t="shared" si="14"/>
        <v/>
      </c>
      <c r="X264" s="76" t="str">
        <f t="shared" si="15"/>
        <v/>
      </c>
      <c r="Y264" s="76" t="str">
        <f t="shared" si="16"/>
        <v/>
      </c>
      <c r="Z264" s="76" t="str">
        <f t="shared" si="17"/>
        <v/>
      </c>
      <c r="AA264" s="76" t="str">
        <f t="shared" si="18"/>
        <v/>
      </c>
      <c r="AB264" s="76" t="str">
        <f t="shared" si="19"/>
        <v/>
      </c>
      <c r="AC264" s="76" t="str">
        <f t="shared" si="20"/>
        <v/>
      </c>
      <c r="AD264" s="76" t="str">
        <f t="shared" si="21"/>
        <v/>
      </c>
      <c r="AE264" s="76" t="str">
        <f t="shared" si="22"/>
        <v/>
      </c>
      <c r="AF264" s="76" t="str">
        <f t="shared" si="23"/>
        <v/>
      </c>
      <c r="AG264" s="76" t="str">
        <f t="shared" si="24"/>
        <v/>
      </c>
      <c r="AH264" s="76" t="str">
        <f t="shared" si="25"/>
        <v/>
      </c>
      <c r="AI264" s="76" t="str">
        <f t="shared" si="26"/>
        <v/>
      </c>
      <c r="AJ264" s="76" t="str">
        <f t="shared" si="27"/>
        <v/>
      </c>
      <c r="AK264" s="76" t="str">
        <f t="shared" si="28"/>
        <v/>
      </c>
      <c r="AL264" s="76" t="str">
        <f t="shared" si="29"/>
        <v/>
      </c>
      <c r="AM264" s="76" t="str">
        <f t="shared" si="30"/>
        <v/>
      </c>
      <c r="AN264" s="76" t="str">
        <f t="shared" si="31"/>
        <v/>
      </c>
      <c r="AO264" s="76" t="str">
        <f t="shared" si="32"/>
        <v/>
      </c>
      <c r="AP264" s="76" t="str">
        <f t="shared" si="33"/>
        <v/>
      </c>
    </row>
    <row r="265" ht="15.75" customHeight="1">
      <c r="A265" s="76" t="str">
        <f>IF('Manual Entry'!A237="","",'Manual Entry'!A237)</f>
        <v/>
      </c>
      <c r="B265" s="76" t="str">
        <f t="shared" si="3"/>
        <v/>
      </c>
      <c r="C265" s="76" t="str">
        <f t="shared" si="4"/>
        <v/>
      </c>
      <c r="D265" s="76" t="str">
        <f>'Manual Entry'!D237</f>
        <v/>
      </c>
      <c r="E265" s="76" t="str">
        <f>'Manual Entry'!B237</f>
        <v/>
      </c>
      <c r="F265" s="76" t="str">
        <f>'Manual Entry'!F237</f>
        <v/>
      </c>
      <c r="G265" s="76" t="str">
        <f>'Manual Entry'!G237</f>
        <v/>
      </c>
      <c r="H265" s="76" t="str">
        <f>'Manual Entry'!H237</f>
        <v/>
      </c>
      <c r="I265" s="78" t="str">
        <f>'Manual Entry'!I237</f>
        <v/>
      </c>
      <c r="J265" s="78" t="str">
        <f>'Manual Entry'!J237</f>
        <v/>
      </c>
      <c r="K265" s="78" t="str">
        <f>'Manual Entry'!K237</f>
        <v/>
      </c>
      <c r="L265" s="78" t="str">
        <f>'Manual Entry'!L237</f>
        <v/>
      </c>
      <c r="M265" s="78" t="str">
        <f>'Manual Entry'!M237</f>
        <v/>
      </c>
      <c r="N265" s="78" t="str">
        <f>'Manual Entry'!N237</f>
        <v/>
      </c>
      <c r="O265" s="76">
        <f t="shared" si="6"/>
        <v>0</v>
      </c>
      <c r="P265" s="76">
        <f t="shared" si="7"/>
        <v>0</v>
      </c>
      <c r="Q265" s="76">
        <f t="shared" si="8"/>
        <v>0</v>
      </c>
      <c r="R265" s="76">
        <f t="shared" si="9"/>
        <v>0</v>
      </c>
      <c r="S265" s="76" t="str">
        <f t="shared" si="10"/>
        <v/>
      </c>
      <c r="T265" s="76" t="str">
        <f t="shared" si="11"/>
        <v/>
      </c>
      <c r="U265" s="76" t="str">
        <f t="shared" si="12"/>
        <v/>
      </c>
      <c r="V265" s="76" t="str">
        <f t="shared" si="13"/>
        <v/>
      </c>
      <c r="W265" s="76" t="str">
        <f t="shared" si="14"/>
        <v/>
      </c>
      <c r="X265" s="76" t="str">
        <f t="shared" si="15"/>
        <v/>
      </c>
      <c r="Y265" s="76" t="str">
        <f t="shared" si="16"/>
        <v/>
      </c>
      <c r="Z265" s="76" t="str">
        <f t="shared" si="17"/>
        <v/>
      </c>
      <c r="AA265" s="76" t="str">
        <f t="shared" si="18"/>
        <v/>
      </c>
      <c r="AB265" s="76" t="str">
        <f t="shared" si="19"/>
        <v/>
      </c>
      <c r="AC265" s="76" t="str">
        <f t="shared" si="20"/>
        <v/>
      </c>
      <c r="AD265" s="76" t="str">
        <f t="shared" si="21"/>
        <v/>
      </c>
      <c r="AE265" s="76" t="str">
        <f t="shared" si="22"/>
        <v/>
      </c>
      <c r="AF265" s="76" t="str">
        <f t="shared" si="23"/>
        <v/>
      </c>
      <c r="AG265" s="76" t="str">
        <f t="shared" si="24"/>
        <v/>
      </c>
      <c r="AH265" s="76" t="str">
        <f t="shared" si="25"/>
        <v/>
      </c>
      <c r="AI265" s="76" t="str">
        <f t="shared" si="26"/>
        <v/>
      </c>
      <c r="AJ265" s="76" t="str">
        <f t="shared" si="27"/>
        <v/>
      </c>
      <c r="AK265" s="76" t="str">
        <f t="shared" si="28"/>
        <v/>
      </c>
      <c r="AL265" s="76" t="str">
        <f t="shared" si="29"/>
        <v/>
      </c>
      <c r="AM265" s="76" t="str">
        <f t="shared" si="30"/>
        <v/>
      </c>
      <c r="AN265" s="76" t="str">
        <f t="shared" si="31"/>
        <v/>
      </c>
      <c r="AO265" s="76" t="str">
        <f t="shared" si="32"/>
        <v/>
      </c>
      <c r="AP265" s="76" t="str">
        <f t="shared" si="33"/>
        <v/>
      </c>
    </row>
    <row r="266" ht="15.75" customHeight="1">
      <c r="A266" s="76" t="str">
        <f>IF('Manual Entry'!A238="","",'Manual Entry'!A238)</f>
        <v/>
      </c>
      <c r="B266" s="76" t="str">
        <f t="shared" si="3"/>
        <v/>
      </c>
      <c r="C266" s="76" t="str">
        <f t="shared" si="4"/>
        <v/>
      </c>
      <c r="D266" s="76" t="str">
        <f>'Manual Entry'!D238</f>
        <v/>
      </c>
      <c r="E266" s="76" t="str">
        <f>'Manual Entry'!B238</f>
        <v/>
      </c>
      <c r="F266" s="76" t="str">
        <f>'Manual Entry'!F238</f>
        <v/>
      </c>
      <c r="G266" s="76" t="str">
        <f>'Manual Entry'!G238</f>
        <v/>
      </c>
      <c r="H266" s="76" t="str">
        <f>'Manual Entry'!H238</f>
        <v/>
      </c>
      <c r="I266" s="78" t="str">
        <f>'Manual Entry'!I238</f>
        <v/>
      </c>
      <c r="J266" s="78" t="str">
        <f>'Manual Entry'!J238</f>
        <v/>
      </c>
      <c r="K266" s="78" t="str">
        <f>'Manual Entry'!K238</f>
        <v/>
      </c>
      <c r="L266" s="78" t="str">
        <f>'Manual Entry'!L238</f>
        <v/>
      </c>
      <c r="M266" s="78" t="str">
        <f>'Manual Entry'!M238</f>
        <v/>
      </c>
      <c r="N266" s="78" t="str">
        <f>'Manual Entry'!N238</f>
        <v/>
      </c>
      <c r="O266" s="76">
        <f t="shared" si="6"/>
        <v>0</v>
      </c>
      <c r="P266" s="76">
        <f t="shared" si="7"/>
        <v>0</v>
      </c>
      <c r="Q266" s="76">
        <f t="shared" si="8"/>
        <v>0</v>
      </c>
      <c r="R266" s="76">
        <f t="shared" si="9"/>
        <v>0</v>
      </c>
      <c r="S266" s="76" t="str">
        <f t="shared" si="10"/>
        <v/>
      </c>
      <c r="T266" s="76" t="str">
        <f t="shared" si="11"/>
        <v/>
      </c>
      <c r="U266" s="76" t="str">
        <f t="shared" si="12"/>
        <v/>
      </c>
      <c r="V266" s="76" t="str">
        <f t="shared" si="13"/>
        <v/>
      </c>
      <c r="W266" s="76" t="str">
        <f t="shared" si="14"/>
        <v/>
      </c>
      <c r="X266" s="76" t="str">
        <f t="shared" si="15"/>
        <v/>
      </c>
      <c r="Y266" s="76" t="str">
        <f t="shared" si="16"/>
        <v/>
      </c>
      <c r="Z266" s="76" t="str">
        <f t="shared" si="17"/>
        <v/>
      </c>
      <c r="AA266" s="76" t="str">
        <f t="shared" si="18"/>
        <v/>
      </c>
      <c r="AB266" s="76" t="str">
        <f t="shared" si="19"/>
        <v/>
      </c>
      <c r="AC266" s="76" t="str">
        <f t="shared" si="20"/>
        <v/>
      </c>
      <c r="AD266" s="76" t="str">
        <f t="shared" si="21"/>
        <v/>
      </c>
      <c r="AE266" s="76" t="str">
        <f t="shared" si="22"/>
        <v/>
      </c>
      <c r="AF266" s="76" t="str">
        <f t="shared" si="23"/>
        <v/>
      </c>
      <c r="AG266" s="76" t="str">
        <f t="shared" si="24"/>
        <v/>
      </c>
      <c r="AH266" s="76" t="str">
        <f t="shared" si="25"/>
        <v/>
      </c>
      <c r="AI266" s="76" t="str">
        <f t="shared" si="26"/>
        <v/>
      </c>
      <c r="AJ266" s="76" t="str">
        <f t="shared" si="27"/>
        <v/>
      </c>
      <c r="AK266" s="76" t="str">
        <f t="shared" si="28"/>
        <v/>
      </c>
      <c r="AL266" s="76" t="str">
        <f t="shared" si="29"/>
        <v/>
      </c>
      <c r="AM266" s="76" t="str">
        <f t="shared" si="30"/>
        <v/>
      </c>
      <c r="AN266" s="76" t="str">
        <f t="shared" si="31"/>
        <v/>
      </c>
      <c r="AO266" s="76" t="str">
        <f t="shared" si="32"/>
        <v/>
      </c>
      <c r="AP266" s="76" t="str">
        <f t="shared" si="33"/>
        <v/>
      </c>
    </row>
    <row r="267" ht="15.75" customHeight="1">
      <c r="A267" s="76" t="str">
        <f>IF('Manual Entry'!A239="","",'Manual Entry'!A239)</f>
        <v/>
      </c>
      <c r="B267" s="76" t="str">
        <f t="shared" si="3"/>
        <v/>
      </c>
      <c r="C267" s="76" t="str">
        <f t="shared" si="4"/>
        <v/>
      </c>
      <c r="D267" s="76" t="str">
        <f>'Manual Entry'!D239</f>
        <v/>
      </c>
      <c r="E267" s="76" t="str">
        <f>'Manual Entry'!B239</f>
        <v/>
      </c>
      <c r="F267" s="76" t="str">
        <f>'Manual Entry'!F239</f>
        <v/>
      </c>
      <c r="G267" s="76" t="str">
        <f>'Manual Entry'!G239</f>
        <v/>
      </c>
      <c r="H267" s="76" t="str">
        <f>'Manual Entry'!H239</f>
        <v/>
      </c>
      <c r="I267" s="78" t="str">
        <f>'Manual Entry'!I239</f>
        <v/>
      </c>
      <c r="J267" s="78" t="str">
        <f>'Manual Entry'!J239</f>
        <v/>
      </c>
      <c r="K267" s="78" t="str">
        <f>'Manual Entry'!K239</f>
        <v/>
      </c>
      <c r="L267" s="78" t="str">
        <f>'Manual Entry'!L239</f>
        <v/>
      </c>
      <c r="M267" s="78" t="str">
        <f>'Manual Entry'!M239</f>
        <v/>
      </c>
      <c r="N267" s="78" t="str">
        <f>'Manual Entry'!N239</f>
        <v/>
      </c>
      <c r="O267" s="76">
        <f t="shared" si="6"/>
        <v>0</v>
      </c>
      <c r="P267" s="76">
        <f t="shared" si="7"/>
        <v>0</v>
      </c>
      <c r="Q267" s="76">
        <f t="shared" si="8"/>
        <v>0</v>
      </c>
      <c r="R267" s="76">
        <f t="shared" si="9"/>
        <v>0</v>
      </c>
      <c r="S267" s="76" t="str">
        <f t="shared" si="10"/>
        <v/>
      </c>
      <c r="T267" s="76" t="str">
        <f t="shared" si="11"/>
        <v/>
      </c>
      <c r="U267" s="76" t="str">
        <f t="shared" si="12"/>
        <v/>
      </c>
      <c r="V267" s="76" t="str">
        <f t="shared" si="13"/>
        <v/>
      </c>
      <c r="W267" s="76" t="str">
        <f t="shared" si="14"/>
        <v/>
      </c>
      <c r="X267" s="76" t="str">
        <f t="shared" si="15"/>
        <v/>
      </c>
      <c r="Y267" s="76" t="str">
        <f t="shared" si="16"/>
        <v/>
      </c>
      <c r="Z267" s="76" t="str">
        <f t="shared" si="17"/>
        <v/>
      </c>
      <c r="AA267" s="76" t="str">
        <f t="shared" si="18"/>
        <v/>
      </c>
      <c r="AB267" s="76" t="str">
        <f t="shared" si="19"/>
        <v/>
      </c>
      <c r="AC267" s="76" t="str">
        <f t="shared" si="20"/>
        <v/>
      </c>
      <c r="AD267" s="76" t="str">
        <f t="shared" si="21"/>
        <v/>
      </c>
      <c r="AE267" s="76" t="str">
        <f t="shared" si="22"/>
        <v/>
      </c>
      <c r="AF267" s="76" t="str">
        <f t="shared" si="23"/>
        <v/>
      </c>
      <c r="AG267" s="76" t="str">
        <f t="shared" si="24"/>
        <v/>
      </c>
      <c r="AH267" s="76" t="str">
        <f t="shared" si="25"/>
        <v/>
      </c>
      <c r="AI267" s="76" t="str">
        <f t="shared" si="26"/>
        <v/>
      </c>
      <c r="AJ267" s="76" t="str">
        <f t="shared" si="27"/>
        <v/>
      </c>
      <c r="AK267" s="76" t="str">
        <f t="shared" si="28"/>
        <v/>
      </c>
      <c r="AL267" s="76" t="str">
        <f t="shared" si="29"/>
        <v/>
      </c>
      <c r="AM267" s="76" t="str">
        <f t="shared" si="30"/>
        <v/>
      </c>
      <c r="AN267" s="76" t="str">
        <f t="shared" si="31"/>
        <v/>
      </c>
      <c r="AO267" s="76" t="str">
        <f t="shared" si="32"/>
        <v/>
      </c>
      <c r="AP267" s="76" t="str">
        <f t="shared" si="33"/>
        <v/>
      </c>
    </row>
    <row r="268" ht="15.75" customHeight="1">
      <c r="A268" s="76" t="str">
        <f>IF('Manual Entry'!A240="","",'Manual Entry'!A240)</f>
        <v/>
      </c>
      <c r="B268" s="76" t="str">
        <f t="shared" si="3"/>
        <v/>
      </c>
      <c r="C268" s="76" t="str">
        <f t="shared" si="4"/>
        <v/>
      </c>
      <c r="D268" s="76" t="str">
        <f>'Manual Entry'!D240</f>
        <v/>
      </c>
      <c r="E268" s="76" t="str">
        <f>'Manual Entry'!B240</f>
        <v/>
      </c>
      <c r="F268" s="76" t="str">
        <f>'Manual Entry'!F240</f>
        <v/>
      </c>
      <c r="G268" s="76" t="str">
        <f>'Manual Entry'!G240</f>
        <v/>
      </c>
      <c r="H268" s="76" t="str">
        <f>'Manual Entry'!H240</f>
        <v/>
      </c>
      <c r="I268" s="78" t="str">
        <f>'Manual Entry'!I240</f>
        <v/>
      </c>
      <c r="J268" s="78" t="str">
        <f>'Manual Entry'!J240</f>
        <v/>
      </c>
      <c r="K268" s="78" t="str">
        <f>'Manual Entry'!K240</f>
        <v/>
      </c>
      <c r="L268" s="78" t="str">
        <f>'Manual Entry'!L240</f>
        <v/>
      </c>
      <c r="M268" s="78" t="str">
        <f>'Manual Entry'!M240</f>
        <v/>
      </c>
      <c r="N268" s="78" t="str">
        <f>'Manual Entry'!N240</f>
        <v/>
      </c>
      <c r="O268" s="76">
        <f t="shared" si="6"/>
        <v>0</v>
      </c>
      <c r="P268" s="76">
        <f t="shared" si="7"/>
        <v>0</v>
      </c>
      <c r="Q268" s="76">
        <f t="shared" si="8"/>
        <v>0</v>
      </c>
      <c r="R268" s="76">
        <f t="shared" si="9"/>
        <v>0</v>
      </c>
      <c r="S268" s="76" t="str">
        <f t="shared" si="10"/>
        <v/>
      </c>
      <c r="T268" s="76" t="str">
        <f t="shared" si="11"/>
        <v/>
      </c>
      <c r="U268" s="76" t="str">
        <f t="shared" si="12"/>
        <v/>
      </c>
      <c r="V268" s="76" t="str">
        <f t="shared" si="13"/>
        <v/>
      </c>
      <c r="W268" s="76" t="str">
        <f t="shared" si="14"/>
        <v/>
      </c>
      <c r="X268" s="76" t="str">
        <f t="shared" si="15"/>
        <v/>
      </c>
      <c r="Y268" s="76" t="str">
        <f t="shared" si="16"/>
        <v/>
      </c>
      <c r="Z268" s="76" t="str">
        <f t="shared" si="17"/>
        <v/>
      </c>
      <c r="AA268" s="76" t="str">
        <f t="shared" si="18"/>
        <v/>
      </c>
      <c r="AB268" s="76" t="str">
        <f t="shared" si="19"/>
        <v/>
      </c>
      <c r="AC268" s="76" t="str">
        <f t="shared" si="20"/>
        <v/>
      </c>
      <c r="AD268" s="76" t="str">
        <f t="shared" si="21"/>
        <v/>
      </c>
      <c r="AE268" s="76" t="str">
        <f t="shared" si="22"/>
        <v/>
      </c>
      <c r="AF268" s="76" t="str">
        <f t="shared" si="23"/>
        <v/>
      </c>
      <c r="AG268" s="76" t="str">
        <f t="shared" si="24"/>
        <v/>
      </c>
      <c r="AH268" s="76" t="str">
        <f t="shared" si="25"/>
        <v/>
      </c>
      <c r="AI268" s="76" t="str">
        <f t="shared" si="26"/>
        <v/>
      </c>
      <c r="AJ268" s="76" t="str">
        <f t="shared" si="27"/>
        <v/>
      </c>
      <c r="AK268" s="76" t="str">
        <f t="shared" si="28"/>
        <v/>
      </c>
      <c r="AL268" s="76" t="str">
        <f t="shared" si="29"/>
        <v/>
      </c>
      <c r="AM268" s="76" t="str">
        <f t="shared" si="30"/>
        <v/>
      </c>
      <c r="AN268" s="76" t="str">
        <f t="shared" si="31"/>
        <v/>
      </c>
      <c r="AO268" s="76" t="str">
        <f t="shared" si="32"/>
        <v/>
      </c>
      <c r="AP268" s="76" t="str">
        <f t="shared" si="33"/>
        <v/>
      </c>
    </row>
    <row r="269" ht="15.75" customHeight="1">
      <c r="A269" s="76" t="str">
        <f>IF('Manual Entry'!A241="","",'Manual Entry'!A241)</f>
        <v/>
      </c>
      <c r="B269" s="76" t="str">
        <f t="shared" si="3"/>
        <v/>
      </c>
      <c r="C269" s="76" t="str">
        <f t="shared" si="4"/>
        <v/>
      </c>
      <c r="D269" s="76" t="str">
        <f>'Manual Entry'!D241</f>
        <v/>
      </c>
      <c r="E269" s="76" t="str">
        <f>'Manual Entry'!B241</f>
        <v/>
      </c>
      <c r="F269" s="76" t="str">
        <f>'Manual Entry'!F241</f>
        <v/>
      </c>
      <c r="G269" s="76" t="str">
        <f>'Manual Entry'!G241</f>
        <v/>
      </c>
      <c r="H269" s="76" t="str">
        <f>'Manual Entry'!H241</f>
        <v/>
      </c>
      <c r="I269" s="78" t="str">
        <f>'Manual Entry'!I241</f>
        <v/>
      </c>
      <c r="J269" s="78" t="str">
        <f>'Manual Entry'!J241</f>
        <v/>
      </c>
      <c r="K269" s="78" t="str">
        <f>'Manual Entry'!K241</f>
        <v/>
      </c>
      <c r="L269" s="78" t="str">
        <f>'Manual Entry'!L241</f>
        <v/>
      </c>
      <c r="M269" s="78" t="str">
        <f>'Manual Entry'!M241</f>
        <v/>
      </c>
      <c r="N269" s="78" t="str">
        <f>'Manual Entry'!N241</f>
        <v/>
      </c>
      <c r="O269" s="76">
        <f t="shared" si="6"/>
        <v>0</v>
      </c>
      <c r="P269" s="76">
        <f t="shared" si="7"/>
        <v>0</v>
      </c>
      <c r="Q269" s="76">
        <f t="shared" si="8"/>
        <v>0</v>
      </c>
      <c r="R269" s="76">
        <f t="shared" si="9"/>
        <v>0</v>
      </c>
      <c r="S269" s="76" t="str">
        <f t="shared" si="10"/>
        <v/>
      </c>
      <c r="T269" s="76" t="str">
        <f t="shared" si="11"/>
        <v/>
      </c>
      <c r="U269" s="76" t="str">
        <f t="shared" si="12"/>
        <v/>
      </c>
      <c r="V269" s="76" t="str">
        <f t="shared" si="13"/>
        <v/>
      </c>
      <c r="W269" s="76" t="str">
        <f t="shared" si="14"/>
        <v/>
      </c>
      <c r="X269" s="76" t="str">
        <f t="shared" si="15"/>
        <v/>
      </c>
      <c r="Y269" s="76" t="str">
        <f t="shared" si="16"/>
        <v/>
      </c>
      <c r="Z269" s="76" t="str">
        <f t="shared" si="17"/>
        <v/>
      </c>
      <c r="AA269" s="76" t="str">
        <f t="shared" si="18"/>
        <v/>
      </c>
      <c r="AB269" s="76" t="str">
        <f t="shared" si="19"/>
        <v/>
      </c>
      <c r="AC269" s="76" t="str">
        <f t="shared" si="20"/>
        <v/>
      </c>
      <c r="AD269" s="76" t="str">
        <f t="shared" si="21"/>
        <v/>
      </c>
      <c r="AE269" s="76" t="str">
        <f t="shared" si="22"/>
        <v/>
      </c>
      <c r="AF269" s="76" t="str">
        <f t="shared" si="23"/>
        <v/>
      </c>
      <c r="AG269" s="76" t="str">
        <f t="shared" si="24"/>
        <v/>
      </c>
      <c r="AH269" s="76" t="str">
        <f t="shared" si="25"/>
        <v/>
      </c>
      <c r="AI269" s="76" t="str">
        <f t="shared" si="26"/>
        <v/>
      </c>
      <c r="AJ269" s="76" t="str">
        <f t="shared" si="27"/>
        <v/>
      </c>
      <c r="AK269" s="76" t="str">
        <f t="shared" si="28"/>
        <v/>
      </c>
      <c r="AL269" s="76" t="str">
        <f t="shared" si="29"/>
        <v/>
      </c>
      <c r="AM269" s="76" t="str">
        <f t="shared" si="30"/>
        <v/>
      </c>
      <c r="AN269" s="76" t="str">
        <f t="shared" si="31"/>
        <v/>
      </c>
      <c r="AO269" s="76" t="str">
        <f t="shared" si="32"/>
        <v/>
      </c>
      <c r="AP269" s="76" t="str">
        <f t="shared" si="33"/>
        <v/>
      </c>
    </row>
    <row r="270" ht="15.75" customHeight="1">
      <c r="A270" s="76" t="str">
        <f>IF('Manual Entry'!A242="","",'Manual Entry'!A242)</f>
        <v/>
      </c>
      <c r="B270" s="76" t="str">
        <f t="shared" si="3"/>
        <v/>
      </c>
      <c r="C270" s="76" t="str">
        <f t="shared" si="4"/>
        <v/>
      </c>
      <c r="D270" s="76" t="str">
        <f>'Manual Entry'!D242</f>
        <v/>
      </c>
      <c r="E270" s="76" t="str">
        <f>'Manual Entry'!B242</f>
        <v/>
      </c>
      <c r="F270" s="76" t="str">
        <f>'Manual Entry'!F242</f>
        <v/>
      </c>
      <c r="G270" s="76" t="str">
        <f>'Manual Entry'!G242</f>
        <v/>
      </c>
      <c r="H270" s="76" t="str">
        <f>'Manual Entry'!H242</f>
        <v/>
      </c>
      <c r="I270" s="78" t="str">
        <f>'Manual Entry'!I242</f>
        <v/>
      </c>
      <c r="J270" s="78" t="str">
        <f>'Manual Entry'!J242</f>
        <v/>
      </c>
      <c r="K270" s="78" t="str">
        <f>'Manual Entry'!K242</f>
        <v/>
      </c>
      <c r="L270" s="78" t="str">
        <f>'Manual Entry'!L242</f>
        <v/>
      </c>
      <c r="M270" s="78" t="str">
        <f>'Manual Entry'!M242</f>
        <v/>
      </c>
      <c r="N270" s="78" t="str">
        <f>'Manual Entry'!N242</f>
        <v/>
      </c>
      <c r="O270" s="76">
        <f t="shared" si="6"/>
        <v>0</v>
      </c>
      <c r="P270" s="76">
        <f t="shared" si="7"/>
        <v>0</v>
      </c>
      <c r="Q270" s="76">
        <f t="shared" si="8"/>
        <v>0</v>
      </c>
      <c r="R270" s="76">
        <f t="shared" si="9"/>
        <v>0</v>
      </c>
      <c r="S270" s="76" t="str">
        <f t="shared" si="10"/>
        <v/>
      </c>
      <c r="T270" s="76" t="str">
        <f t="shared" si="11"/>
        <v/>
      </c>
      <c r="U270" s="76" t="str">
        <f t="shared" si="12"/>
        <v/>
      </c>
      <c r="V270" s="76" t="str">
        <f t="shared" si="13"/>
        <v/>
      </c>
      <c r="W270" s="76" t="str">
        <f t="shared" si="14"/>
        <v/>
      </c>
      <c r="X270" s="76" t="str">
        <f t="shared" si="15"/>
        <v/>
      </c>
      <c r="Y270" s="76" t="str">
        <f t="shared" si="16"/>
        <v/>
      </c>
      <c r="Z270" s="76" t="str">
        <f t="shared" si="17"/>
        <v/>
      </c>
      <c r="AA270" s="76" t="str">
        <f t="shared" si="18"/>
        <v/>
      </c>
      <c r="AB270" s="76" t="str">
        <f t="shared" si="19"/>
        <v/>
      </c>
      <c r="AC270" s="76" t="str">
        <f t="shared" si="20"/>
        <v/>
      </c>
      <c r="AD270" s="76" t="str">
        <f t="shared" si="21"/>
        <v/>
      </c>
      <c r="AE270" s="76" t="str">
        <f t="shared" si="22"/>
        <v/>
      </c>
      <c r="AF270" s="76" t="str">
        <f t="shared" si="23"/>
        <v/>
      </c>
      <c r="AG270" s="76" t="str">
        <f t="shared" si="24"/>
        <v/>
      </c>
      <c r="AH270" s="76" t="str">
        <f t="shared" si="25"/>
        <v/>
      </c>
      <c r="AI270" s="76" t="str">
        <f t="shared" si="26"/>
        <v/>
      </c>
      <c r="AJ270" s="76" t="str">
        <f t="shared" si="27"/>
        <v/>
      </c>
      <c r="AK270" s="76" t="str">
        <f t="shared" si="28"/>
        <v/>
      </c>
      <c r="AL270" s="76" t="str">
        <f t="shared" si="29"/>
        <v/>
      </c>
      <c r="AM270" s="76" t="str">
        <f t="shared" si="30"/>
        <v/>
      </c>
      <c r="AN270" s="76" t="str">
        <f t="shared" si="31"/>
        <v/>
      </c>
      <c r="AO270" s="76" t="str">
        <f t="shared" si="32"/>
        <v/>
      </c>
      <c r="AP270" s="76" t="str">
        <f t="shared" si="33"/>
        <v/>
      </c>
    </row>
    <row r="271" ht="15.75" customHeight="1">
      <c r="A271" s="76" t="str">
        <f>IF('Manual Entry'!A243="","",'Manual Entry'!A243)</f>
        <v/>
      </c>
      <c r="B271" s="76" t="str">
        <f t="shared" si="3"/>
        <v/>
      </c>
      <c r="C271" s="76" t="str">
        <f t="shared" si="4"/>
        <v/>
      </c>
      <c r="D271" s="76" t="str">
        <f>'Manual Entry'!D243</f>
        <v/>
      </c>
      <c r="E271" s="76" t="str">
        <f>'Manual Entry'!B243</f>
        <v/>
      </c>
      <c r="F271" s="76" t="str">
        <f>'Manual Entry'!F243</f>
        <v/>
      </c>
      <c r="G271" s="76" t="str">
        <f>'Manual Entry'!G243</f>
        <v/>
      </c>
      <c r="H271" s="76" t="str">
        <f>'Manual Entry'!H243</f>
        <v/>
      </c>
      <c r="I271" s="78" t="str">
        <f>'Manual Entry'!I243</f>
        <v/>
      </c>
      <c r="J271" s="78" t="str">
        <f>'Manual Entry'!J243</f>
        <v/>
      </c>
      <c r="K271" s="78" t="str">
        <f>'Manual Entry'!K243</f>
        <v/>
      </c>
      <c r="L271" s="78" t="str">
        <f>'Manual Entry'!L243</f>
        <v/>
      </c>
      <c r="M271" s="78" t="str">
        <f>'Manual Entry'!M243</f>
        <v/>
      </c>
      <c r="N271" s="78" t="str">
        <f>'Manual Entry'!N243</f>
        <v/>
      </c>
      <c r="O271" s="76">
        <f t="shared" si="6"/>
        <v>0</v>
      </c>
      <c r="P271" s="76">
        <f t="shared" si="7"/>
        <v>0</v>
      </c>
      <c r="Q271" s="76">
        <f t="shared" si="8"/>
        <v>0</v>
      </c>
      <c r="R271" s="76">
        <f t="shared" si="9"/>
        <v>0</v>
      </c>
      <c r="S271" s="76" t="str">
        <f t="shared" si="10"/>
        <v/>
      </c>
      <c r="T271" s="76" t="str">
        <f t="shared" si="11"/>
        <v/>
      </c>
      <c r="U271" s="76" t="str">
        <f t="shared" si="12"/>
        <v/>
      </c>
      <c r="V271" s="76" t="str">
        <f t="shared" si="13"/>
        <v/>
      </c>
      <c r="W271" s="76" t="str">
        <f t="shared" si="14"/>
        <v/>
      </c>
      <c r="X271" s="76" t="str">
        <f t="shared" si="15"/>
        <v/>
      </c>
      <c r="Y271" s="76" t="str">
        <f t="shared" si="16"/>
        <v/>
      </c>
      <c r="Z271" s="76" t="str">
        <f t="shared" si="17"/>
        <v/>
      </c>
      <c r="AA271" s="76" t="str">
        <f t="shared" si="18"/>
        <v/>
      </c>
      <c r="AB271" s="76" t="str">
        <f t="shared" si="19"/>
        <v/>
      </c>
      <c r="AC271" s="76" t="str">
        <f t="shared" si="20"/>
        <v/>
      </c>
      <c r="AD271" s="76" t="str">
        <f t="shared" si="21"/>
        <v/>
      </c>
      <c r="AE271" s="76" t="str">
        <f t="shared" si="22"/>
        <v/>
      </c>
      <c r="AF271" s="76" t="str">
        <f t="shared" si="23"/>
        <v/>
      </c>
      <c r="AG271" s="76" t="str">
        <f t="shared" si="24"/>
        <v/>
      </c>
      <c r="AH271" s="76" t="str">
        <f t="shared" si="25"/>
        <v/>
      </c>
      <c r="AI271" s="76" t="str">
        <f t="shared" si="26"/>
        <v/>
      </c>
      <c r="AJ271" s="76" t="str">
        <f t="shared" si="27"/>
        <v/>
      </c>
      <c r="AK271" s="76" t="str">
        <f t="shared" si="28"/>
        <v/>
      </c>
      <c r="AL271" s="76" t="str">
        <f t="shared" si="29"/>
        <v/>
      </c>
      <c r="AM271" s="76" t="str">
        <f t="shared" si="30"/>
        <v/>
      </c>
      <c r="AN271" s="76" t="str">
        <f t="shared" si="31"/>
        <v/>
      </c>
      <c r="AO271" s="76" t="str">
        <f t="shared" si="32"/>
        <v/>
      </c>
      <c r="AP271" s="76" t="str">
        <f t="shared" si="33"/>
        <v/>
      </c>
    </row>
    <row r="272" ht="15.75" customHeight="1">
      <c r="A272" s="76" t="str">
        <f>IF('Manual Entry'!A244="","",'Manual Entry'!A244)</f>
        <v/>
      </c>
      <c r="B272" s="76" t="str">
        <f t="shared" si="3"/>
        <v/>
      </c>
      <c r="C272" s="76" t="str">
        <f t="shared" si="4"/>
        <v/>
      </c>
      <c r="D272" s="76" t="str">
        <f>'Manual Entry'!D244</f>
        <v/>
      </c>
      <c r="E272" s="76" t="str">
        <f>'Manual Entry'!B244</f>
        <v/>
      </c>
      <c r="F272" s="76" t="str">
        <f>'Manual Entry'!F244</f>
        <v/>
      </c>
      <c r="G272" s="76" t="str">
        <f>'Manual Entry'!G244</f>
        <v/>
      </c>
      <c r="H272" s="76" t="str">
        <f>'Manual Entry'!H244</f>
        <v/>
      </c>
      <c r="I272" s="78" t="str">
        <f>'Manual Entry'!I244</f>
        <v/>
      </c>
      <c r="J272" s="78" t="str">
        <f>'Manual Entry'!J244</f>
        <v/>
      </c>
      <c r="K272" s="78" t="str">
        <f>'Manual Entry'!K244</f>
        <v/>
      </c>
      <c r="L272" s="78" t="str">
        <f>'Manual Entry'!L244</f>
        <v/>
      </c>
      <c r="M272" s="78" t="str">
        <f>'Manual Entry'!M244</f>
        <v/>
      </c>
      <c r="N272" s="78" t="str">
        <f>'Manual Entry'!N244</f>
        <v/>
      </c>
      <c r="O272" s="76">
        <f t="shared" si="6"/>
        <v>0</v>
      </c>
      <c r="P272" s="76">
        <f t="shared" si="7"/>
        <v>0</v>
      </c>
      <c r="Q272" s="76">
        <f t="shared" si="8"/>
        <v>0</v>
      </c>
      <c r="R272" s="76">
        <f t="shared" si="9"/>
        <v>0</v>
      </c>
      <c r="S272" s="76" t="str">
        <f t="shared" si="10"/>
        <v/>
      </c>
      <c r="T272" s="76" t="str">
        <f t="shared" si="11"/>
        <v/>
      </c>
      <c r="U272" s="76" t="str">
        <f t="shared" si="12"/>
        <v/>
      </c>
      <c r="V272" s="76" t="str">
        <f t="shared" si="13"/>
        <v/>
      </c>
      <c r="W272" s="76" t="str">
        <f t="shared" si="14"/>
        <v/>
      </c>
      <c r="X272" s="76" t="str">
        <f t="shared" si="15"/>
        <v/>
      </c>
      <c r="Y272" s="76" t="str">
        <f t="shared" si="16"/>
        <v/>
      </c>
      <c r="Z272" s="76" t="str">
        <f t="shared" si="17"/>
        <v/>
      </c>
      <c r="AA272" s="76" t="str">
        <f t="shared" si="18"/>
        <v/>
      </c>
      <c r="AB272" s="76" t="str">
        <f t="shared" si="19"/>
        <v/>
      </c>
      <c r="AC272" s="76" t="str">
        <f t="shared" si="20"/>
        <v/>
      </c>
      <c r="AD272" s="76" t="str">
        <f t="shared" si="21"/>
        <v/>
      </c>
      <c r="AE272" s="76" t="str">
        <f t="shared" si="22"/>
        <v/>
      </c>
      <c r="AF272" s="76" t="str">
        <f t="shared" si="23"/>
        <v/>
      </c>
      <c r="AG272" s="76" t="str">
        <f t="shared" si="24"/>
        <v/>
      </c>
      <c r="AH272" s="76" t="str">
        <f t="shared" si="25"/>
        <v/>
      </c>
      <c r="AI272" s="76" t="str">
        <f t="shared" si="26"/>
        <v/>
      </c>
      <c r="AJ272" s="76" t="str">
        <f t="shared" si="27"/>
        <v/>
      </c>
      <c r="AK272" s="76" t="str">
        <f t="shared" si="28"/>
        <v/>
      </c>
      <c r="AL272" s="76" t="str">
        <f t="shared" si="29"/>
        <v/>
      </c>
      <c r="AM272" s="76" t="str">
        <f t="shared" si="30"/>
        <v/>
      </c>
      <c r="AN272" s="76" t="str">
        <f t="shared" si="31"/>
        <v/>
      </c>
      <c r="AO272" s="76" t="str">
        <f t="shared" si="32"/>
        <v/>
      </c>
      <c r="AP272" s="76" t="str">
        <f t="shared" si="33"/>
        <v/>
      </c>
    </row>
    <row r="273" ht="15.75" customHeight="1">
      <c r="A273" s="76" t="str">
        <f>IF('Manual Entry'!A245="","",'Manual Entry'!A245)</f>
        <v/>
      </c>
      <c r="B273" s="76" t="str">
        <f t="shared" si="3"/>
        <v/>
      </c>
      <c r="C273" s="76" t="str">
        <f t="shared" si="4"/>
        <v/>
      </c>
      <c r="D273" s="76" t="str">
        <f>'Manual Entry'!D245</f>
        <v/>
      </c>
      <c r="E273" s="76" t="str">
        <f>'Manual Entry'!B245</f>
        <v/>
      </c>
      <c r="F273" s="76" t="str">
        <f>'Manual Entry'!F245</f>
        <v/>
      </c>
      <c r="G273" s="76" t="str">
        <f>'Manual Entry'!G245</f>
        <v/>
      </c>
      <c r="H273" s="76" t="str">
        <f>'Manual Entry'!H245</f>
        <v/>
      </c>
      <c r="I273" s="78" t="str">
        <f>'Manual Entry'!I245</f>
        <v/>
      </c>
      <c r="J273" s="78" t="str">
        <f>'Manual Entry'!J245</f>
        <v/>
      </c>
      <c r="K273" s="78" t="str">
        <f>'Manual Entry'!K245</f>
        <v/>
      </c>
      <c r="L273" s="78" t="str">
        <f>'Manual Entry'!L245</f>
        <v/>
      </c>
      <c r="M273" s="78" t="str">
        <f>'Manual Entry'!M245</f>
        <v/>
      </c>
      <c r="N273" s="78" t="str">
        <f>'Manual Entry'!N245</f>
        <v/>
      </c>
      <c r="O273" s="76">
        <f t="shared" si="6"/>
        <v>0</v>
      </c>
      <c r="P273" s="76">
        <f t="shared" si="7"/>
        <v>0</v>
      </c>
      <c r="Q273" s="76">
        <f t="shared" si="8"/>
        <v>0</v>
      </c>
      <c r="R273" s="76">
        <f t="shared" si="9"/>
        <v>0</v>
      </c>
      <c r="S273" s="76" t="str">
        <f t="shared" si="10"/>
        <v/>
      </c>
      <c r="T273" s="76" t="str">
        <f t="shared" si="11"/>
        <v/>
      </c>
      <c r="U273" s="76" t="str">
        <f t="shared" si="12"/>
        <v/>
      </c>
      <c r="V273" s="76" t="str">
        <f t="shared" si="13"/>
        <v/>
      </c>
      <c r="W273" s="76" t="str">
        <f t="shared" si="14"/>
        <v/>
      </c>
      <c r="X273" s="76" t="str">
        <f t="shared" si="15"/>
        <v/>
      </c>
      <c r="Y273" s="76" t="str">
        <f t="shared" si="16"/>
        <v/>
      </c>
      <c r="Z273" s="76" t="str">
        <f t="shared" si="17"/>
        <v/>
      </c>
      <c r="AA273" s="76" t="str">
        <f t="shared" si="18"/>
        <v/>
      </c>
      <c r="AB273" s="76" t="str">
        <f t="shared" si="19"/>
        <v/>
      </c>
      <c r="AC273" s="76" t="str">
        <f t="shared" si="20"/>
        <v/>
      </c>
      <c r="AD273" s="76" t="str">
        <f t="shared" si="21"/>
        <v/>
      </c>
      <c r="AE273" s="76" t="str">
        <f t="shared" si="22"/>
        <v/>
      </c>
      <c r="AF273" s="76" t="str">
        <f t="shared" si="23"/>
        <v/>
      </c>
      <c r="AG273" s="76" t="str">
        <f t="shared" si="24"/>
        <v/>
      </c>
      <c r="AH273" s="76" t="str">
        <f t="shared" si="25"/>
        <v/>
      </c>
      <c r="AI273" s="76" t="str">
        <f t="shared" si="26"/>
        <v/>
      </c>
      <c r="AJ273" s="76" t="str">
        <f t="shared" si="27"/>
        <v/>
      </c>
      <c r="AK273" s="76" t="str">
        <f t="shared" si="28"/>
        <v/>
      </c>
      <c r="AL273" s="76" t="str">
        <f t="shared" si="29"/>
        <v/>
      </c>
      <c r="AM273" s="76" t="str">
        <f t="shared" si="30"/>
        <v/>
      </c>
      <c r="AN273" s="76" t="str">
        <f t="shared" si="31"/>
        <v/>
      </c>
      <c r="AO273" s="76" t="str">
        <f t="shared" si="32"/>
        <v/>
      </c>
      <c r="AP273" s="76" t="str">
        <f t="shared" si="33"/>
        <v/>
      </c>
    </row>
    <row r="274" ht="15.75" customHeight="1">
      <c r="A274" s="76" t="str">
        <f>IF('Manual Entry'!A246="","",'Manual Entry'!A246)</f>
        <v/>
      </c>
      <c r="B274" s="76" t="str">
        <f t="shared" si="3"/>
        <v/>
      </c>
      <c r="C274" s="76" t="str">
        <f t="shared" si="4"/>
        <v/>
      </c>
      <c r="D274" s="76" t="str">
        <f>'Manual Entry'!D246</f>
        <v/>
      </c>
      <c r="E274" s="76" t="str">
        <f>'Manual Entry'!B246</f>
        <v/>
      </c>
      <c r="F274" s="76" t="str">
        <f>'Manual Entry'!F246</f>
        <v/>
      </c>
      <c r="G274" s="76" t="str">
        <f>'Manual Entry'!G246</f>
        <v/>
      </c>
      <c r="H274" s="76" t="str">
        <f>'Manual Entry'!H246</f>
        <v/>
      </c>
      <c r="I274" s="78" t="str">
        <f>'Manual Entry'!I246</f>
        <v/>
      </c>
      <c r="J274" s="78" t="str">
        <f>'Manual Entry'!J246</f>
        <v/>
      </c>
      <c r="K274" s="78" t="str">
        <f>'Manual Entry'!K246</f>
        <v/>
      </c>
      <c r="L274" s="78" t="str">
        <f>'Manual Entry'!L246</f>
        <v/>
      </c>
      <c r="M274" s="78" t="str">
        <f>'Manual Entry'!M246</f>
        <v/>
      </c>
      <c r="N274" s="78" t="str">
        <f>'Manual Entry'!N246</f>
        <v/>
      </c>
      <c r="O274" s="76">
        <f t="shared" si="6"/>
        <v>0</v>
      </c>
      <c r="P274" s="76">
        <f t="shared" si="7"/>
        <v>0</v>
      </c>
      <c r="Q274" s="76">
        <f t="shared" si="8"/>
        <v>0</v>
      </c>
      <c r="R274" s="76">
        <f t="shared" si="9"/>
        <v>0</v>
      </c>
      <c r="S274" s="76" t="str">
        <f t="shared" si="10"/>
        <v/>
      </c>
      <c r="T274" s="76" t="str">
        <f t="shared" si="11"/>
        <v/>
      </c>
      <c r="U274" s="76" t="str">
        <f t="shared" si="12"/>
        <v/>
      </c>
      <c r="V274" s="76" t="str">
        <f t="shared" si="13"/>
        <v/>
      </c>
      <c r="W274" s="76" t="str">
        <f t="shared" si="14"/>
        <v/>
      </c>
      <c r="X274" s="76" t="str">
        <f t="shared" si="15"/>
        <v/>
      </c>
      <c r="Y274" s="76" t="str">
        <f t="shared" si="16"/>
        <v/>
      </c>
      <c r="Z274" s="76" t="str">
        <f t="shared" si="17"/>
        <v/>
      </c>
      <c r="AA274" s="76" t="str">
        <f t="shared" si="18"/>
        <v/>
      </c>
      <c r="AB274" s="76" t="str">
        <f t="shared" si="19"/>
        <v/>
      </c>
      <c r="AC274" s="76" t="str">
        <f t="shared" si="20"/>
        <v/>
      </c>
      <c r="AD274" s="76" t="str">
        <f t="shared" si="21"/>
        <v/>
      </c>
      <c r="AE274" s="76" t="str">
        <f t="shared" si="22"/>
        <v/>
      </c>
      <c r="AF274" s="76" t="str">
        <f t="shared" si="23"/>
        <v/>
      </c>
      <c r="AG274" s="76" t="str">
        <f t="shared" si="24"/>
        <v/>
      </c>
      <c r="AH274" s="76" t="str">
        <f t="shared" si="25"/>
        <v/>
      </c>
      <c r="AI274" s="76" t="str">
        <f t="shared" si="26"/>
        <v/>
      </c>
      <c r="AJ274" s="76" t="str">
        <f t="shared" si="27"/>
        <v/>
      </c>
      <c r="AK274" s="76" t="str">
        <f t="shared" si="28"/>
        <v/>
      </c>
      <c r="AL274" s="76" t="str">
        <f t="shared" si="29"/>
        <v/>
      </c>
      <c r="AM274" s="76" t="str">
        <f t="shared" si="30"/>
        <v/>
      </c>
      <c r="AN274" s="76" t="str">
        <f t="shared" si="31"/>
        <v/>
      </c>
      <c r="AO274" s="76" t="str">
        <f t="shared" si="32"/>
        <v/>
      </c>
      <c r="AP274" s="76" t="str">
        <f t="shared" si="33"/>
        <v/>
      </c>
    </row>
    <row r="275" ht="15.75" customHeight="1">
      <c r="A275" s="76" t="str">
        <f>IF('Manual Entry'!A247="","",'Manual Entry'!A247)</f>
        <v/>
      </c>
      <c r="B275" s="76" t="str">
        <f t="shared" si="3"/>
        <v/>
      </c>
      <c r="C275" s="76" t="str">
        <f t="shared" si="4"/>
        <v/>
      </c>
      <c r="D275" s="76" t="str">
        <f>'Manual Entry'!D247</f>
        <v/>
      </c>
      <c r="E275" s="76" t="str">
        <f>'Manual Entry'!B247</f>
        <v/>
      </c>
      <c r="F275" s="76" t="str">
        <f>'Manual Entry'!F247</f>
        <v/>
      </c>
      <c r="G275" s="76" t="str">
        <f>'Manual Entry'!G247</f>
        <v/>
      </c>
      <c r="H275" s="76" t="str">
        <f>'Manual Entry'!H247</f>
        <v/>
      </c>
      <c r="I275" s="78" t="str">
        <f>'Manual Entry'!I247</f>
        <v/>
      </c>
      <c r="J275" s="78" t="str">
        <f>'Manual Entry'!J247</f>
        <v/>
      </c>
      <c r="K275" s="78" t="str">
        <f>'Manual Entry'!K247</f>
        <v/>
      </c>
      <c r="L275" s="78" t="str">
        <f>'Manual Entry'!L247</f>
        <v/>
      </c>
      <c r="M275" s="78" t="str">
        <f>'Manual Entry'!M247</f>
        <v/>
      </c>
      <c r="N275" s="78" t="str">
        <f>'Manual Entry'!N247</f>
        <v/>
      </c>
      <c r="O275" s="76">
        <f t="shared" si="6"/>
        <v>0</v>
      </c>
      <c r="P275" s="76">
        <f t="shared" si="7"/>
        <v>0</v>
      </c>
      <c r="Q275" s="76">
        <f t="shared" si="8"/>
        <v>0</v>
      </c>
      <c r="R275" s="76">
        <f t="shared" si="9"/>
        <v>0</v>
      </c>
      <c r="S275" s="76" t="str">
        <f t="shared" si="10"/>
        <v/>
      </c>
      <c r="T275" s="76" t="str">
        <f t="shared" si="11"/>
        <v/>
      </c>
      <c r="U275" s="76" t="str">
        <f t="shared" si="12"/>
        <v/>
      </c>
      <c r="V275" s="76" t="str">
        <f t="shared" si="13"/>
        <v/>
      </c>
      <c r="W275" s="76" t="str">
        <f t="shared" si="14"/>
        <v/>
      </c>
      <c r="X275" s="76" t="str">
        <f t="shared" si="15"/>
        <v/>
      </c>
      <c r="Y275" s="76" t="str">
        <f t="shared" si="16"/>
        <v/>
      </c>
      <c r="Z275" s="76" t="str">
        <f t="shared" si="17"/>
        <v/>
      </c>
      <c r="AA275" s="76" t="str">
        <f t="shared" si="18"/>
        <v/>
      </c>
      <c r="AB275" s="76" t="str">
        <f t="shared" si="19"/>
        <v/>
      </c>
      <c r="AC275" s="76" t="str">
        <f t="shared" si="20"/>
        <v/>
      </c>
      <c r="AD275" s="76" t="str">
        <f t="shared" si="21"/>
        <v/>
      </c>
      <c r="AE275" s="76" t="str">
        <f t="shared" si="22"/>
        <v/>
      </c>
      <c r="AF275" s="76" t="str">
        <f t="shared" si="23"/>
        <v/>
      </c>
      <c r="AG275" s="76" t="str">
        <f t="shared" si="24"/>
        <v/>
      </c>
      <c r="AH275" s="76" t="str">
        <f t="shared" si="25"/>
        <v/>
      </c>
      <c r="AI275" s="76" t="str">
        <f t="shared" si="26"/>
        <v/>
      </c>
      <c r="AJ275" s="76" t="str">
        <f t="shared" si="27"/>
        <v/>
      </c>
      <c r="AK275" s="76" t="str">
        <f t="shared" si="28"/>
        <v/>
      </c>
      <c r="AL275" s="76" t="str">
        <f t="shared" si="29"/>
        <v/>
      </c>
      <c r="AM275" s="76" t="str">
        <f t="shared" si="30"/>
        <v/>
      </c>
      <c r="AN275" s="76" t="str">
        <f t="shared" si="31"/>
        <v/>
      </c>
      <c r="AO275" s="76" t="str">
        <f t="shared" si="32"/>
        <v/>
      </c>
      <c r="AP275" s="76" t="str">
        <f t="shared" si="33"/>
        <v/>
      </c>
    </row>
    <row r="276" ht="15.75" customHeight="1">
      <c r="A276" s="76" t="str">
        <f>IF('Manual Entry'!A248="","",'Manual Entry'!A248)</f>
        <v/>
      </c>
      <c r="B276" s="76" t="str">
        <f t="shared" si="3"/>
        <v/>
      </c>
      <c r="C276" s="76" t="str">
        <f t="shared" si="4"/>
        <v/>
      </c>
      <c r="D276" s="76" t="str">
        <f>'Manual Entry'!D248</f>
        <v/>
      </c>
      <c r="E276" s="76" t="str">
        <f>'Manual Entry'!B248</f>
        <v/>
      </c>
      <c r="F276" s="76" t="str">
        <f>'Manual Entry'!F248</f>
        <v/>
      </c>
      <c r="G276" s="76" t="str">
        <f>'Manual Entry'!G248</f>
        <v/>
      </c>
      <c r="H276" s="76" t="str">
        <f>'Manual Entry'!H248</f>
        <v/>
      </c>
      <c r="I276" s="78" t="str">
        <f>'Manual Entry'!I248</f>
        <v/>
      </c>
      <c r="J276" s="78" t="str">
        <f>'Manual Entry'!J248</f>
        <v/>
      </c>
      <c r="K276" s="78" t="str">
        <f>'Manual Entry'!K248</f>
        <v/>
      </c>
      <c r="L276" s="78" t="str">
        <f>'Manual Entry'!L248</f>
        <v/>
      </c>
      <c r="M276" s="78" t="str">
        <f>'Manual Entry'!M248</f>
        <v/>
      </c>
      <c r="N276" s="78" t="str">
        <f>'Manual Entry'!N248</f>
        <v/>
      </c>
      <c r="O276" s="76">
        <f t="shared" si="6"/>
        <v>0</v>
      </c>
      <c r="P276" s="76">
        <f t="shared" si="7"/>
        <v>0</v>
      </c>
      <c r="Q276" s="76">
        <f t="shared" si="8"/>
        <v>0</v>
      </c>
      <c r="R276" s="76">
        <f t="shared" si="9"/>
        <v>0</v>
      </c>
      <c r="S276" s="76" t="str">
        <f t="shared" si="10"/>
        <v/>
      </c>
      <c r="T276" s="76" t="str">
        <f t="shared" si="11"/>
        <v/>
      </c>
      <c r="U276" s="76" t="str">
        <f t="shared" si="12"/>
        <v/>
      </c>
      <c r="V276" s="76" t="str">
        <f t="shared" si="13"/>
        <v/>
      </c>
      <c r="W276" s="76" t="str">
        <f t="shared" si="14"/>
        <v/>
      </c>
      <c r="X276" s="76" t="str">
        <f t="shared" si="15"/>
        <v/>
      </c>
      <c r="Y276" s="76" t="str">
        <f t="shared" si="16"/>
        <v/>
      </c>
      <c r="Z276" s="76" t="str">
        <f t="shared" si="17"/>
        <v/>
      </c>
      <c r="AA276" s="76" t="str">
        <f t="shared" si="18"/>
        <v/>
      </c>
      <c r="AB276" s="76" t="str">
        <f t="shared" si="19"/>
        <v/>
      </c>
      <c r="AC276" s="76" t="str">
        <f t="shared" si="20"/>
        <v/>
      </c>
      <c r="AD276" s="76" t="str">
        <f t="shared" si="21"/>
        <v/>
      </c>
      <c r="AE276" s="76" t="str">
        <f t="shared" si="22"/>
        <v/>
      </c>
      <c r="AF276" s="76" t="str">
        <f t="shared" si="23"/>
        <v/>
      </c>
      <c r="AG276" s="76" t="str">
        <f t="shared" si="24"/>
        <v/>
      </c>
      <c r="AH276" s="76" t="str">
        <f t="shared" si="25"/>
        <v/>
      </c>
      <c r="AI276" s="76" t="str">
        <f t="shared" si="26"/>
        <v/>
      </c>
      <c r="AJ276" s="76" t="str">
        <f t="shared" si="27"/>
        <v/>
      </c>
      <c r="AK276" s="76" t="str">
        <f t="shared" si="28"/>
        <v/>
      </c>
      <c r="AL276" s="76" t="str">
        <f t="shared" si="29"/>
        <v/>
      </c>
      <c r="AM276" s="76" t="str">
        <f t="shared" si="30"/>
        <v/>
      </c>
      <c r="AN276" s="76" t="str">
        <f t="shared" si="31"/>
        <v/>
      </c>
      <c r="AO276" s="76" t="str">
        <f t="shared" si="32"/>
        <v/>
      </c>
      <c r="AP276" s="76" t="str">
        <f t="shared" si="33"/>
        <v/>
      </c>
    </row>
    <row r="277" ht="15.75" customHeight="1">
      <c r="A277" s="76" t="str">
        <f>IF('Manual Entry'!A249="","",'Manual Entry'!A249)</f>
        <v/>
      </c>
      <c r="B277" s="76" t="str">
        <f t="shared" si="3"/>
        <v/>
      </c>
      <c r="C277" s="76" t="str">
        <f t="shared" si="4"/>
        <v/>
      </c>
      <c r="D277" s="76" t="str">
        <f>'Manual Entry'!D249</f>
        <v/>
      </c>
      <c r="E277" s="76" t="str">
        <f>'Manual Entry'!B249</f>
        <v/>
      </c>
      <c r="F277" s="76" t="str">
        <f>'Manual Entry'!F249</f>
        <v/>
      </c>
      <c r="G277" s="76" t="str">
        <f>'Manual Entry'!G249</f>
        <v/>
      </c>
      <c r="H277" s="76" t="str">
        <f>'Manual Entry'!H249</f>
        <v/>
      </c>
      <c r="I277" s="78" t="str">
        <f>'Manual Entry'!I249</f>
        <v/>
      </c>
      <c r="J277" s="78" t="str">
        <f>'Manual Entry'!J249</f>
        <v/>
      </c>
      <c r="K277" s="78" t="str">
        <f>'Manual Entry'!K249</f>
        <v/>
      </c>
      <c r="L277" s="78" t="str">
        <f>'Manual Entry'!L249</f>
        <v/>
      </c>
      <c r="M277" s="78" t="str">
        <f>'Manual Entry'!M249</f>
        <v/>
      </c>
      <c r="N277" s="78" t="str">
        <f>'Manual Entry'!N249</f>
        <v/>
      </c>
      <c r="O277" s="76">
        <f t="shared" si="6"/>
        <v>0</v>
      </c>
      <c r="P277" s="76">
        <f t="shared" si="7"/>
        <v>0</v>
      </c>
      <c r="Q277" s="76">
        <f t="shared" si="8"/>
        <v>0</v>
      </c>
      <c r="R277" s="76">
        <f t="shared" si="9"/>
        <v>0</v>
      </c>
      <c r="S277" s="76" t="str">
        <f t="shared" si="10"/>
        <v/>
      </c>
      <c r="T277" s="76" t="str">
        <f t="shared" si="11"/>
        <v/>
      </c>
      <c r="U277" s="76" t="str">
        <f t="shared" si="12"/>
        <v/>
      </c>
      <c r="V277" s="76" t="str">
        <f t="shared" si="13"/>
        <v/>
      </c>
      <c r="W277" s="76" t="str">
        <f t="shared" si="14"/>
        <v/>
      </c>
      <c r="X277" s="76" t="str">
        <f t="shared" si="15"/>
        <v/>
      </c>
      <c r="Y277" s="76" t="str">
        <f t="shared" si="16"/>
        <v/>
      </c>
      <c r="Z277" s="76" t="str">
        <f t="shared" si="17"/>
        <v/>
      </c>
      <c r="AA277" s="76" t="str">
        <f t="shared" si="18"/>
        <v/>
      </c>
      <c r="AB277" s="76" t="str">
        <f t="shared" si="19"/>
        <v/>
      </c>
      <c r="AC277" s="76" t="str">
        <f t="shared" si="20"/>
        <v/>
      </c>
      <c r="AD277" s="76" t="str">
        <f t="shared" si="21"/>
        <v/>
      </c>
      <c r="AE277" s="76" t="str">
        <f t="shared" si="22"/>
        <v/>
      </c>
      <c r="AF277" s="76" t="str">
        <f t="shared" si="23"/>
        <v/>
      </c>
      <c r="AG277" s="76" t="str">
        <f t="shared" si="24"/>
        <v/>
      </c>
      <c r="AH277" s="76" t="str">
        <f t="shared" si="25"/>
        <v/>
      </c>
      <c r="AI277" s="76" t="str">
        <f t="shared" si="26"/>
        <v/>
      </c>
      <c r="AJ277" s="76" t="str">
        <f t="shared" si="27"/>
        <v/>
      </c>
      <c r="AK277" s="76" t="str">
        <f t="shared" si="28"/>
        <v/>
      </c>
      <c r="AL277" s="76" t="str">
        <f t="shared" si="29"/>
        <v/>
      </c>
      <c r="AM277" s="76" t="str">
        <f t="shared" si="30"/>
        <v/>
      </c>
      <c r="AN277" s="76" t="str">
        <f t="shared" si="31"/>
        <v/>
      </c>
      <c r="AO277" s="76" t="str">
        <f t="shared" si="32"/>
        <v/>
      </c>
      <c r="AP277" s="76" t="str">
        <f t="shared" si="33"/>
        <v/>
      </c>
    </row>
    <row r="278" ht="15.75" customHeight="1">
      <c r="A278" s="76" t="str">
        <f>IF('Manual Entry'!A250="","",'Manual Entry'!A250)</f>
        <v/>
      </c>
      <c r="B278" s="76" t="str">
        <f t="shared" si="3"/>
        <v/>
      </c>
      <c r="C278" s="76" t="str">
        <f t="shared" si="4"/>
        <v/>
      </c>
      <c r="D278" s="76" t="str">
        <f>'Manual Entry'!D250</f>
        <v/>
      </c>
      <c r="E278" s="76" t="str">
        <f>'Manual Entry'!B250</f>
        <v/>
      </c>
      <c r="F278" s="76" t="str">
        <f>'Manual Entry'!F250</f>
        <v/>
      </c>
      <c r="G278" s="76" t="str">
        <f>'Manual Entry'!G250</f>
        <v/>
      </c>
      <c r="H278" s="76" t="str">
        <f>'Manual Entry'!H250</f>
        <v/>
      </c>
      <c r="I278" s="78" t="str">
        <f>'Manual Entry'!I250</f>
        <v/>
      </c>
      <c r="J278" s="78" t="str">
        <f>'Manual Entry'!J250</f>
        <v/>
      </c>
      <c r="K278" s="78" t="str">
        <f>'Manual Entry'!K250</f>
        <v/>
      </c>
      <c r="L278" s="78" t="str">
        <f>'Manual Entry'!L250</f>
        <v/>
      </c>
      <c r="M278" s="78" t="str">
        <f>'Manual Entry'!M250</f>
        <v/>
      </c>
      <c r="N278" s="78" t="str">
        <f>'Manual Entry'!N250</f>
        <v/>
      </c>
      <c r="O278" s="76">
        <f t="shared" si="6"/>
        <v>0</v>
      </c>
      <c r="P278" s="76">
        <f t="shared" si="7"/>
        <v>0</v>
      </c>
      <c r="Q278" s="76">
        <f t="shared" si="8"/>
        <v>0</v>
      </c>
      <c r="R278" s="76">
        <f t="shared" si="9"/>
        <v>0</v>
      </c>
      <c r="S278" s="76" t="str">
        <f t="shared" si="10"/>
        <v/>
      </c>
      <c r="T278" s="76" t="str">
        <f t="shared" si="11"/>
        <v/>
      </c>
      <c r="U278" s="76" t="str">
        <f t="shared" si="12"/>
        <v/>
      </c>
      <c r="V278" s="76" t="str">
        <f t="shared" si="13"/>
        <v/>
      </c>
      <c r="W278" s="76" t="str">
        <f t="shared" si="14"/>
        <v/>
      </c>
      <c r="X278" s="76" t="str">
        <f t="shared" si="15"/>
        <v/>
      </c>
      <c r="Y278" s="76" t="str">
        <f t="shared" si="16"/>
        <v/>
      </c>
      <c r="Z278" s="76" t="str">
        <f t="shared" si="17"/>
        <v/>
      </c>
      <c r="AA278" s="76" t="str">
        <f t="shared" si="18"/>
        <v/>
      </c>
      <c r="AB278" s="76" t="str">
        <f t="shared" si="19"/>
        <v/>
      </c>
      <c r="AC278" s="76" t="str">
        <f t="shared" si="20"/>
        <v/>
      </c>
      <c r="AD278" s="76" t="str">
        <f t="shared" si="21"/>
        <v/>
      </c>
      <c r="AE278" s="76" t="str">
        <f t="shared" si="22"/>
        <v/>
      </c>
      <c r="AF278" s="76" t="str">
        <f t="shared" si="23"/>
        <v/>
      </c>
      <c r="AG278" s="76" t="str">
        <f t="shared" si="24"/>
        <v/>
      </c>
      <c r="AH278" s="76" t="str">
        <f t="shared" si="25"/>
        <v/>
      </c>
      <c r="AI278" s="76" t="str">
        <f t="shared" si="26"/>
        <v/>
      </c>
      <c r="AJ278" s="76" t="str">
        <f t="shared" si="27"/>
        <v/>
      </c>
      <c r="AK278" s="76" t="str">
        <f t="shared" si="28"/>
        <v/>
      </c>
      <c r="AL278" s="76" t="str">
        <f t="shared" si="29"/>
        <v/>
      </c>
      <c r="AM278" s="76" t="str">
        <f t="shared" si="30"/>
        <v/>
      </c>
      <c r="AN278" s="76" t="str">
        <f t="shared" si="31"/>
        <v/>
      </c>
      <c r="AO278" s="76" t="str">
        <f t="shared" si="32"/>
        <v/>
      </c>
      <c r="AP278" s="76" t="str">
        <f t="shared" si="33"/>
        <v/>
      </c>
    </row>
    <row r="279" ht="15.75" customHeight="1">
      <c r="A279" s="76" t="str">
        <f>IF('Manual Entry'!A251="","",'Manual Entry'!A251)</f>
        <v/>
      </c>
      <c r="B279" s="76" t="str">
        <f t="shared" si="3"/>
        <v/>
      </c>
      <c r="C279" s="76" t="str">
        <f t="shared" si="4"/>
        <v/>
      </c>
      <c r="D279" s="76" t="str">
        <f>'Manual Entry'!D251</f>
        <v/>
      </c>
      <c r="E279" s="76" t="str">
        <f>'Manual Entry'!B251</f>
        <v/>
      </c>
      <c r="F279" s="76" t="str">
        <f>'Manual Entry'!F251</f>
        <v/>
      </c>
      <c r="G279" s="76" t="str">
        <f>'Manual Entry'!G251</f>
        <v/>
      </c>
      <c r="H279" s="76" t="str">
        <f>'Manual Entry'!H251</f>
        <v/>
      </c>
      <c r="I279" s="78" t="str">
        <f>'Manual Entry'!I251</f>
        <v/>
      </c>
      <c r="J279" s="78" t="str">
        <f>'Manual Entry'!J251</f>
        <v/>
      </c>
      <c r="K279" s="78" t="str">
        <f>'Manual Entry'!K251</f>
        <v/>
      </c>
      <c r="L279" s="78" t="str">
        <f>'Manual Entry'!L251</f>
        <v/>
      </c>
      <c r="M279" s="78" t="str">
        <f>'Manual Entry'!M251</f>
        <v/>
      </c>
      <c r="N279" s="78" t="str">
        <f>'Manual Entry'!N251</f>
        <v/>
      </c>
      <c r="O279" s="76">
        <f t="shared" si="6"/>
        <v>0</v>
      </c>
      <c r="P279" s="76">
        <f t="shared" si="7"/>
        <v>0</v>
      </c>
      <c r="Q279" s="76">
        <f t="shared" si="8"/>
        <v>0</v>
      </c>
      <c r="R279" s="76">
        <f t="shared" si="9"/>
        <v>0</v>
      </c>
      <c r="S279" s="76" t="str">
        <f t="shared" si="10"/>
        <v/>
      </c>
      <c r="T279" s="76" t="str">
        <f t="shared" si="11"/>
        <v/>
      </c>
      <c r="U279" s="76" t="str">
        <f t="shared" si="12"/>
        <v/>
      </c>
      <c r="V279" s="76" t="str">
        <f t="shared" si="13"/>
        <v/>
      </c>
      <c r="W279" s="76" t="str">
        <f t="shared" si="14"/>
        <v/>
      </c>
      <c r="X279" s="76" t="str">
        <f t="shared" si="15"/>
        <v/>
      </c>
      <c r="Y279" s="76" t="str">
        <f t="shared" si="16"/>
        <v/>
      </c>
      <c r="Z279" s="76" t="str">
        <f t="shared" si="17"/>
        <v/>
      </c>
      <c r="AA279" s="76" t="str">
        <f t="shared" si="18"/>
        <v/>
      </c>
      <c r="AB279" s="76" t="str">
        <f t="shared" si="19"/>
        <v/>
      </c>
      <c r="AC279" s="76" t="str">
        <f t="shared" si="20"/>
        <v/>
      </c>
      <c r="AD279" s="76" t="str">
        <f t="shared" si="21"/>
        <v/>
      </c>
      <c r="AE279" s="76" t="str">
        <f t="shared" si="22"/>
        <v/>
      </c>
      <c r="AF279" s="76" t="str">
        <f t="shared" si="23"/>
        <v/>
      </c>
      <c r="AG279" s="76" t="str">
        <f t="shared" si="24"/>
        <v/>
      </c>
      <c r="AH279" s="76" t="str">
        <f t="shared" si="25"/>
        <v/>
      </c>
      <c r="AI279" s="76" t="str">
        <f t="shared" si="26"/>
        <v/>
      </c>
      <c r="AJ279" s="76" t="str">
        <f t="shared" si="27"/>
        <v/>
      </c>
      <c r="AK279" s="76" t="str">
        <f t="shared" si="28"/>
        <v/>
      </c>
      <c r="AL279" s="76" t="str">
        <f t="shared" si="29"/>
        <v/>
      </c>
      <c r="AM279" s="76" t="str">
        <f t="shared" si="30"/>
        <v/>
      </c>
      <c r="AN279" s="76" t="str">
        <f t="shared" si="31"/>
        <v/>
      </c>
      <c r="AO279" s="76" t="str">
        <f t="shared" si="32"/>
        <v/>
      </c>
      <c r="AP279" s="76" t="str">
        <f t="shared" si="33"/>
        <v/>
      </c>
    </row>
    <row r="280" ht="15.75" customHeight="1">
      <c r="A280" s="76" t="str">
        <f>IF('Manual Entry'!A252="","",'Manual Entry'!A252)</f>
        <v/>
      </c>
      <c r="B280" s="76" t="str">
        <f t="shared" si="3"/>
        <v/>
      </c>
      <c r="C280" s="76" t="str">
        <f t="shared" si="4"/>
        <v/>
      </c>
      <c r="D280" s="76" t="str">
        <f>'Manual Entry'!D252</f>
        <v/>
      </c>
      <c r="E280" s="76" t="str">
        <f>'Manual Entry'!B252</f>
        <v/>
      </c>
      <c r="F280" s="76" t="str">
        <f>'Manual Entry'!F252</f>
        <v/>
      </c>
      <c r="G280" s="76" t="str">
        <f>'Manual Entry'!G252</f>
        <v/>
      </c>
      <c r="H280" s="76" t="str">
        <f>'Manual Entry'!H252</f>
        <v/>
      </c>
      <c r="I280" s="78" t="str">
        <f>'Manual Entry'!I252</f>
        <v/>
      </c>
      <c r="J280" s="78" t="str">
        <f>'Manual Entry'!J252</f>
        <v/>
      </c>
      <c r="K280" s="78" t="str">
        <f>'Manual Entry'!K252</f>
        <v/>
      </c>
      <c r="L280" s="78" t="str">
        <f>'Manual Entry'!L252</f>
        <v/>
      </c>
      <c r="M280" s="78" t="str">
        <f>'Manual Entry'!M252</f>
        <v/>
      </c>
      <c r="N280" s="78" t="str">
        <f>'Manual Entry'!N252</f>
        <v/>
      </c>
      <c r="O280" s="76">
        <f t="shared" si="6"/>
        <v>0</v>
      </c>
      <c r="P280" s="76">
        <f t="shared" si="7"/>
        <v>0</v>
      </c>
      <c r="Q280" s="76">
        <f t="shared" si="8"/>
        <v>0</v>
      </c>
      <c r="R280" s="76">
        <f t="shared" si="9"/>
        <v>0</v>
      </c>
      <c r="S280" s="76" t="str">
        <f t="shared" si="10"/>
        <v/>
      </c>
      <c r="T280" s="76" t="str">
        <f t="shared" si="11"/>
        <v/>
      </c>
      <c r="U280" s="76" t="str">
        <f t="shared" si="12"/>
        <v/>
      </c>
      <c r="V280" s="76" t="str">
        <f t="shared" si="13"/>
        <v/>
      </c>
      <c r="W280" s="76" t="str">
        <f t="shared" si="14"/>
        <v/>
      </c>
      <c r="X280" s="76" t="str">
        <f t="shared" si="15"/>
        <v/>
      </c>
      <c r="Y280" s="76" t="str">
        <f t="shared" si="16"/>
        <v/>
      </c>
      <c r="Z280" s="76" t="str">
        <f t="shared" si="17"/>
        <v/>
      </c>
      <c r="AA280" s="76" t="str">
        <f t="shared" si="18"/>
        <v/>
      </c>
      <c r="AB280" s="76" t="str">
        <f t="shared" si="19"/>
        <v/>
      </c>
      <c r="AC280" s="76" t="str">
        <f t="shared" si="20"/>
        <v/>
      </c>
      <c r="AD280" s="76" t="str">
        <f t="shared" si="21"/>
        <v/>
      </c>
      <c r="AE280" s="76" t="str">
        <f t="shared" si="22"/>
        <v/>
      </c>
      <c r="AF280" s="76" t="str">
        <f t="shared" si="23"/>
        <v/>
      </c>
      <c r="AG280" s="76" t="str">
        <f t="shared" si="24"/>
        <v/>
      </c>
      <c r="AH280" s="76" t="str">
        <f t="shared" si="25"/>
        <v/>
      </c>
      <c r="AI280" s="76" t="str">
        <f t="shared" si="26"/>
        <v/>
      </c>
      <c r="AJ280" s="76" t="str">
        <f t="shared" si="27"/>
        <v/>
      </c>
      <c r="AK280" s="76" t="str">
        <f t="shared" si="28"/>
        <v/>
      </c>
      <c r="AL280" s="76" t="str">
        <f t="shared" si="29"/>
        <v/>
      </c>
      <c r="AM280" s="76" t="str">
        <f t="shared" si="30"/>
        <v/>
      </c>
      <c r="AN280" s="76" t="str">
        <f t="shared" si="31"/>
        <v/>
      </c>
      <c r="AO280" s="76" t="str">
        <f t="shared" si="32"/>
        <v/>
      </c>
      <c r="AP280" s="76" t="str">
        <f t="shared" si="33"/>
        <v/>
      </c>
    </row>
    <row r="281" ht="15.75" customHeight="1">
      <c r="A281" s="76" t="str">
        <f>IF('Manual Entry'!A253="","",'Manual Entry'!A253)</f>
        <v/>
      </c>
      <c r="B281" s="76" t="str">
        <f t="shared" si="3"/>
        <v/>
      </c>
      <c r="C281" s="76" t="str">
        <f t="shared" si="4"/>
        <v/>
      </c>
      <c r="D281" s="76" t="str">
        <f>'Manual Entry'!D253</f>
        <v/>
      </c>
      <c r="E281" s="76" t="str">
        <f>'Manual Entry'!B253</f>
        <v/>
      </c>
      <c r="F281" s="76" t="str">
        <f>'Manual Entry'!F253</f>
        <v/>
      </c>
      <c r="G281" s="76" t="str">
        <f>'Manual Entry'!G253</f>
        <v/>
      </c>
      <c r="H281" s="76" t="str">
        <f>'Manual Entry'!H253</f>
        <v/>
      </c>
      <c r="I281" s="78" t="str">
        <f>'Manual Entry'!I253</f>
        <v/>
      </c>
      <c r="J281" s="78" t="str">
        <f>'Manual Entry'!J253</f>
        <v/>
      </c>
      <c r="K281" s="78" t="str">
        <f>'Manual Entry'!K253</f>
        <v/>
      </c>
      <c r="L281" s="78" t="str">
        <f>'Manual Entry'!L253</f>
        <v/>
      </c>
      <c r="M281" s="78" t="str">
        <f>'Manual Entry'!M253</f>
        <v/>
      </c>
      <c r="N281" s="78" t="str">
        <f>'Manual Entry'!N253</f>
        <v/>
      </c>
      <c r="O281" s="76">
        <f t="shared" si="6"/>
        <v>0</v>
      </c>
      <c r="P281" s="76">
        <f t="shared" si="7"/>
        <v>0</v>
      </c>
      <c r="Q281" s="76">
        <f t="shared" si="8"/>
        <v>0</v>
      </c>
      <c r="R281" s="76">
        <f t="shared" si="9"/>
        <v>0</v>
      </c>
      <c r="S281" s="76" t="str">
        <f t="shared" si="10"/>
        <v/>
      </c>
      <c r="T281" s="76" t="str">
        <f t="shared" si="11"/>
        <v/>
      </c>
      <c r="U281" s="76" t="str">
        <f t="shared" si="12"/>
        <v/>
      </c>
      <c r="V281" s="76" t="str">
        <f t="shared" si="13"/>
        <v/>
      </c>
      <c r="W281" s="76" t="str">
        <f t="shared" si="14"/>
        <v/>
      </c>
      <c r="X281" s="76" t="str">
        <f t="shared" si="15"/>
        <v/>
      </c>
      <c r="Y281" s="76" t="str">
        <f t="shared" si="16"/>
        <v/>
      </c>
      <c r="Z281" s="76" t="str">
        <f t="shared" si="17"/>
        <v/>
      </c>
      <c r="AA281" s="76" t="str">
        <f t="shared" si="18"/>
        <v/>
      </c>
      <c r="AB281" s="76" t="str">
        <f t="shared" si="19"/>
        <v/>
      </c>
      <c r="AC281" s="76" t="str">
        <f t="shared" si="20"/>
        <v/>
      </c>
      <c r="AD281" s="76" t="str">
        <f t="shared" si="21"/>
        <v/>
      </c>
      <c r="AE281" s="76" t="str">
        <f t="shared" si="22"/>
        <v/>
      </c>
      <c r="AF281" s="76" t="str">
        <f t="shared" si="23"/>
        <v/>
      </c>
      <c r="AG281" s="76" t="str">
        <f t="shared" si="24"/>
        <v/>
      </c>
      <c r="AH281" s="76" t="str">
        <f t="shared" si="25"/>
        <v/>
      </c>
      <c r="AI281" s="76" t="str">
        <f t="shared" si="26"/>
        <v/>
      </c>
      <c r="AJ281" s="76" t="str">
        <f t="shared" si="27"/>
        <v/>
      </c>
      <c r="AK281" s="76" t="str">
        <f t="shared" si="28"/>
        <v/>
      </c>
      <c r="AL281" s="76" t="str">
        <f t="shared" si="29"/>
        <v/>
      </c>
      <c r="AM281" s="76" t="str">
        <f t="shared" si="30"/>
        <v/>
      </c>
      <c r="AN281" s="76" t="str">
        <f t="shared" si="31"/>
        <v/>
      </c>
      <c r="AO281" s="76" t="str">
        <f t="shared" si="32"/>
        <v/>
      </c>
      <c r="AP281" s="76" t="str">
        <f t="shared" si="33"/>
        <v/>
      </c>
    </row>
    <row r="282" ht="15.75" customHeight="1">
      <c r="A282" s="76" t="str">
        <f>IF('Manual Entry'!A254="","",'Manual Entry'!A254)</f>
        <v/>
      </c>
      <c r="B282" s="76" t="str">
        <f t="shared" si="3"/>
        <v/>
      </c>
      <c r="C282" s="76" t="str">
        <f t="shared" si="4"/>
        <v/>
      </c>
      <c r="D282" s="76" t="str">
        <f>'Manual Entry'!D254</f>
        <v/>
      </c>
      <c r="E282" s="76" t="str">
        <f>'Manual Entry'!B254</f>
        <v/>
      </c>
      <c r="F282" s="76" t="str">
        <f>'Manual Entry'!F254</f>
        <v/>
      </c>
      <c r="G282" s="76" t="str">
        <f>'Manual Entry'!G254</f>
        <v/>
      </c>
      <c r="H282" s="76" t="str">
        <f>'Manual Entry'!H254</f>
        <v/>
      </c>
      <c r="I282" s="78" t="str">
        <f>'Manual Entry'!I254</f>
        <v/>
      </c>
      <c r="J282" s="78" t="str">
        <f>'Manual Entry'!J254</f>
        <v/>
      </c>
      <c r="K282" s="78" t="str">
        <f>'Manual Entry'!K254</f>
        <v/>
      </c>
      <c r="L282" s="78" t="str">
        <f>'Manual Entry'!L254</f>
        <v/>
      </c>
      <c r="M282" s="78" t="str">
        <f>'Manual Entry'!M254</f>
        <v/>
      </c>
      <c r="N282" s="78" t="str">
        <f>'Manual Entry'!N254</f>
        <v/>
      </c>
      <c r="O282" s="76">
        <f t="shared" si="6"/>
        <v>0</v>
      </c>
      <c r="P282" s="76">
        <f t="shared" si="7"/>
        <v>0</v>
      </c>
      <c r="Q282" s="76">
        <f t="shared" si="8"/>
        <v>0</v>
      </c>
      <c r="R282" s="76">
        <f t="shared" si="9"/>
        <v>0</v>
      </c>
      <c r="S282" s="76" t="str">
        <f t="shared" si="10"/>
        <v/>
      </c>
      <c r="T282" s="76" t="str">
        <f t="shared" si="11"/>
        <v/>
      </c>
      <c r="U282" s="76" t="str">
        <f t="shared" si="12"/>
        <v/>
      </c>
      <c r="V282" s="76" t="str">
        <f t="shared" si="13"/>
        <v/>
      </c>
      <c r="W282" s="76" t="str">
        <f t="shared" si="14"/>
        <v/>
      </c>
      <c r="X282" s="76" t="str">
        <f t="shared" si="15"/>
        <v/>
      </c>
      <c r="Y282" s="76" t="str">
        <f t="shared" si="16"/>
        <v/>
      </c>
      <c r="Z282" s="76" t="str">
        <f t="shared" si="17"/>
        <v/>
      </c>
      <c r="AA282" s="76" t="str">
        <f t="shared" si="18"/>
        <v/>
      </c>
      <c r="AB282" s="76" t="str">
        <f t="shared" si="19"/>
        <v/>
      </c>
      <c r="AC282" s="76" t="str">
        <f t="shared" si="20"/>
        <v/>
      </c>
      <c r="AD282" s="76" t="str">
        <f t="shared" si="21"/>
        <v/>
      </c>
      <c r="AE282" s="76" t="str">
        <f t="shared" si="22"/>
        <v/>
      </c>
      <c r="AF282" s="76" t="str">
        <f t="shared" si="23"/>
        <v/>
      </c>
      <c r="AG282" s="76" t="str">
        <f t="shared" si="24"/>
        <v/>
      </c>
      <c r="AH282" s="76" t="str">
        <f t="shared" si="25"/>
        <v/>
      </c>
      <c r="AI282" s="76" t="str">
        <f t="shared" si="26"/>
        <v/>
      </c>
      <c r="AJ282" s="76" t="str">
        <f t="shared" si="27"/>
        <v/>
      </c>
      <c r="AK282" s="76" t="str">
        <f t="shared" si="28"/>
        <v/>
      </c>
      <c r="AL282" s="76" t="str">
        <f t="shared" si="29"/>
        <v/>
      </c>
      <c r="AM282" s="76" t="str">
        <f t="shared" si="30"/>
        <v/>
      </c>
      <c r="AN282" s="76" t="str">
        <f t="shared" si="31"/>
        <v/>
      </c>
      <c r="AO282" s="76" t="str">
        <f t="shared" si="32"/>
        <v/>
      </c>
      <c r="AP282" s="76" t="str">
        <f t="shared" si="33"/>
        <v/>
      </c>
    </row>
    <row r="283" ht="15.75" customHeight="1">
      <c r="A283" s="76" t="str">
        <f>IF('Manual Entry'!A255="","",'Manual Entry'!A255)</f>
        <v/>
      </c>
      <c r="B283" s="76" t="str">
        <f t="shared" si="3"/>
        <v/>
      </c>
      <c r="C283" s="76" t="str">
        <f t="shared" si="4"/>
        <v/>
      </c>
      <c r="D283" s="76" t="str">
        <f>'Manual Entry'!D255</f>
        <v/>
      </c>
      <c r="E283" s="76" t="str">
        <f>'Manual Entry'!B255</f>
        <v/>
      </c>
      <c r="F283" s="76" t="str">
        <f>'Manual Entry'!F255</f>
        <v/>
      </c>
      <c r="G283" s="76" t="str">
        <f>'Manual Entry'!G255</f>
        <v/>
      </c>
      <c r="H283" s="76" t="str">
        <f>'Manual Entry'!H255</f>
        <v/>
      </c>
      <c r="I283" s="78" t="str">
        <f>'Manual Entry'!I255</f>
        <v/>
      </c>
      <c r="J283" s="78" t="str">
        <f>'Manual Entry'!J255</f>
        <v/>
      </c>
      <c r="K283" s="78" t="str">
        <f>'Manual Entry'!K255</f>
        <v/>
      </c>
      <c r="L283" s="78" t="str">
        <f>'Manual Entry'!L255</f>
        <v/>
      </c>
      <c r="M283" s="78" t="str">
        <f>'Manual Entry'!M255</f>
        <v/>
      </c>
      <c r="N283" s="78" t="str">
        <f>'Manual Entry'!N255</f>
        <v/>
      </c>
      <c r="O283" s="76">
        <f t="shared" si="6"/>
        <v>0</v>
      </c>
      <c r="P283" s="76">
        <f t="shared" si="7"/>
        <v>0</v>
      </c>
      <c r="Q283" s="76">
        <f t="shared" si="8"/>
        <v>0</v>
      </c>
      <c r="R283" s="76">
        <f t="shared" si="9"/>
        <v>0</v>
      </c>
      <c r="S283" s="76" t="str">
        <f t="shared" si="10"/>
        <v/>
      </c>
      <c r="T283" s="76" t="str">
        <f t="shared" si="11"/>
        <v/>
      </c>
      <c r="U283" s="76" t="str">
        <f t="shared" si="12"/>
        <v/>
      </c>
      <c r="V283" s="76" t="str">
        <f t="shared" si="13"/>
        <v/>
      </c>
      <c r="W283" s="76" t="str">
        <f t="shared" si="14"/>
        <v/>
      </c>
      <c r="X283" s="76" t="str">
        <f t="shared" si="15"/>
        <v/>
      </c>
      <c r="Y283" s="76" t="str">
        <f t="shared" si="16"/>
        <v/>
      </c>
      <c r="Z283" s="76" t="str">
        <f t="shared" si="17"/>
        <v/>
      </c>
      <c r="AA283" s="76" t="str">
        <f t="shared" si="18"/>
        <v/>
      </c>
      <c r="AB283" s="76" t="str">
        <f t="shared" si="19"/>
        <v/>
      </c>
      <c r="AC283" s="76" t="str">
        <f t="shared" si="20"/>
        <v/>
      </c>
      <c r="AD283" s="76" t="str">
        <f t="shared" si="21"/>
        <v/>
      </c>
      <c r="AE283" s="76" t="str">
        <f t="shared" si="22"/>
        <v/>
      </c>
      <c r="AF283" s="76" t="str">
        <f t="shared" si="23"/>
        <v/>
      </c>
      <c r="AG283" s="76" t="str">
        <f t="shared" si="24"/>
        <v/>
      </c>
      <c r="AH283" s="76" t="str">
        <f t="shared" si="25"/>
        <v/>
      </c>
      <c r="AI283" s="76" t="str">
        <f t="shared" si="26"/>
        <v/>
      </c>
      <c r="AJ283" s="76" t="str">
        <f t="shared" si="27"/>
        <v/>
      </c>
      <c r="AK283" s="76" t="str">
        <f t="shared" si="28"/>
        <v/>
      </c>
      <c r="AL283" s="76" t="str">
        <f t="shared" si="29"/>
        <v/>
      </c>
      <c r="AM283" s="76" t="str">
        <f t="shared" si="30"/>
        <v/>
      </c>
      <c r="AN283" s="76" t="str">
        <f t="shared" si="31"/>
        <v/>
      </c>
      <c r="AO283" s="76" t="str">
        <f t="shared" si="32"/>
        <v/>
      </c>
      <c r="AP283" s="76" t="str">
        <f t="shared" si="33"/>
        <v/>
      </c>
    </row>
    <row r="284" ht="15.75" customHeight="1">
      <c r="A284" s="76" t="str">
        <f>IF('Manual Entry'!A256="","",'Manual Entry'!A256)</f>
        <v/>
      </c>
      <c r="B284" s="76" t="str">
        <f t="shared" si="3"/>
        <v/>
      </c>
      <c r="C284" s="76" t="str">
        <f t="shared" si="4"/>
        <v/>
      </c>
      <c r="D284" s="76" t="str">
        <f>'Manual Entry'!D256</f>
        <v/>
      </c>
      <c r="E284" s="76" t="str">
        <f>'Manual Entry'!B256</f>
        <v/>
      </c>
      <c r="F284" s="76" t="str">
        <f>'Manual Entry'!F256</f>
        <v/>
      </c>
      <c r="G284" s="76" t="str">
        <f>'Manual Entry'!G256</f>
        <v/>
      </c>
      <c r="H284" s="76" t="str">
        <f>'Manual Entry'!H256</f>
        <v/>
      </c>
      <c r="I284" s="78" t="str">
        <f>'Manual Entry'!I256</f>
        <v/>
      </c>
      <c r="J284" s="78" t="str">
        <f>'Manual Entry'!J256</f>
        <v/>
      </c>
      <c r="K284" s="78" t="str">
        <f>'Manual Entry'!K256</f>
        <v/>
      </c>
      <c r="L284" s="78" t="str">
        <f>'Manual Entry'!L256</f>
        <v/>
      </c>
      <c r="M284" s="78" t="str">
        <f>'Manual Entry'!M256</f>
        <v/>
      </c>
      <c r="N284" s="78" t="str">
        <f>'Manual Entry'!N256</f>
        <v/>
      </c>
      <c r="O284" s="76">
        <f t="shared" si="6"/>
        <v>0</v>
      </c>
      <c r="P284" s="76">
        <f t="shared" si="7"/>
        <v>0</v>
      </c>
      <c r="Q284" s="76">
        <f t="shared" si="8"/>
        <v>0</v>
      </c>
      <c r="R284" s="76">
        <f t="shared" si="9"/>
        <v>0</v>
      </c>
      <c r="S284" s="76" t="str">
        <f t="shared" si="10"/>
        <v/>
      </c>
      <c r="T284" s="76" t="str">
        <f t="shared" si="11"/>
        <v/>
      </c>
      <c r="U284" s="76" t="str">
        <f t="shared" si="12"/>
        <v/>
      </c>
      <c r="V284" s="76" t="str">
        <f t="shared" si="13"/>
        <v/>
      </c>
      <c r="W284" s="76" t="str">
        <f t="shared" si="14"/>
        <v/>
      </c>
      <c r="X284" s="76" t="str">
        <f t="shared" si="15"/>
        <v/>
      </c>
      <c r="Y284" s="76" t="str">
        <f t="shared" si="16"/>
        <v/>
      </c>
      <c r="Z284" s="76" t="str">
        <f t="shared" si="17"/>
        <v/>
      </c>
      <c r="AA284" s="76" t="str">
        <f t="shared" si="18"/>
        <v/>
      </c>
      <c r="AB284" s="76" t="str">
        <f t="shared" si="19"/>
        <v/>
      </c>
      <c r="AC284" s="76" t="str">
        <f t="shared" si="20"/>
        <v/>
      </c>
      <c r="AD284" s="76" t="str">
        <f t="shared" si="21"/>
        <v/>
      </c>
      <c r="AE284" s="76" t="str">
        <f t="shared" si="22"/>
        <v/>
      </c>
      <c r="AF284" s="76" t="str">
        <f t="shared" si="23"/>
        <v/>
      </c>
      <c r="AG284" s="76" t="str">
        <f t="shared" si="24"/>
        <v/>
      </c>
      <c r="AH284" s="76" t="str">
        <f t="shared" si="25"/>
        <v/>
      </c>
      <c r="AI284" s="76" t="str">
        <f t="shared" si="26"/>
        <v/>
      </c>
      <c r="AJ284" s="76" t="str">
        <f t="shared" si="27"/>
        <v/>
      </c>
      <c r="AK284" s="76" t="str">
        <f t="shared" si="28"/>
        <v/>
      </c>
      <c r="AL284" s="76" t="str">
        <f t="shared" si="29"/>
        <v/>
      </c>
      <c r="AM284" s="76" t="str">
        <f t="shared" si="30"/>
        <v/>
      </c>
      <c r="AN284" s="76" t="str">
        <f t="shared" si="31"/>
        <v/>
      </c>
      <c r="AO284" s="76" t="str">
        <f t="shared" si="32"/>
        <v/>
      </c>
      <c r="AP284" s="76" t="str">
        <f t="shared" si="33"/>
        <v/>
      </c>
    </row>
    <row r="285" ht="15.75" customHeight="1">
      <c r="A285" s="76" t="str">
        <f>IF('Manual Entry'!A257="","",'Manual Entry'!A257)</f>
        <v/>
      </c>
      <c r="B285" s="76" t="str">
        <f t="shared" si="3"/>
        <v/>
      </c>
      <c r="C285" s="76" t="str">
        <f t="shared" si="4"/>
        <v/>
      </c>
      <c r="D285" s="76" t="str">
        <f>'Manual Entry'!D257</f>
        <v/>
      </c>
      <c r="E285" s="76" t="str">
        <f>'Manual Entry'!B257</f>
        <v/>
      </c>
      <c r="F285" s="76" t="str">
        <f>'Manual Entry'!F257</f>
        <v/>
      </c>
      <c r="G285" s="76" t="str">
        <f>'Manual Entry'!G257</f>
        <v/>
      </c>
      <c r="H285" s="76" t="str">
        <f>'Manual Entry'!H257</f>
        <v/>
      </c>
      <c r="I285" s="78" t="str">
        <f>'Manual Entry'!I257</f>
        <v/>
      </c>
      <c r="J285" s="78" t="str">
        <f>'Manual Entry'!J257</f>
        <v/>
      </c>
      <c r="K285" s="78" t="str">
        <f>'Manual Entry'!K257</f>
        <v/>
      </c>
      <c r="L285" s="78" t="str">
        <f>'Manual Entry'!L257</f>
        <v/>
      </c>
      <c r="M285" s="78" t="str">
        <f>'Manual Entry'!M257</f>
        <v/>
      </c>
      <c r="N285" s="78" t="str">
        <f>'Manual Entry'!N257</f>
        <v/>
      </c>
      <c r="O285" s="76">
        <f t="shared" si="6"/>
        <v>0</v>
      </c>
      <c r="P285" s="76">
        <f t="shared" si="7"/>
        <v>0</v>
      </c>
      <c r="Q285" s="76">
        <f t="shared" si="8"/>
        <v>0</v>
      </c>
      <c r="R285" s="76">
        <f t="shared" si="9"/>
        <v>0</v>
      </c>
      <c r="S285" s="76" t="str">
        <f t="shared" si="10"/>
        <v/>
      </c>
      <c r="T285" s="76" t="str">
        <f t="shared" si="11"/>
        <v/>
      </c>
      <c r="U285" s="76" t="str">
        <f t="shared" si="12"/>
        <v/>
      </c>
      <c r="V285" s="76" t="str">
        <f t="shared" si="13"/>
        <v/>
      </c>
      <c r="W285" s="76" t="str">
        <f t="shared" si="14"/>
        <v/>
      </c>
      <c r="X285" s="76" t="str">
        <f t="shared" si="15"/>
        <v/>
      </c>
      <c r="Y285" s="76" t="str">
        <f t="shared" si="16"/>
        <v/>
      </c>
      <c r="Z285" s="76" t="str">
        <f t="shared" si="17"/>
        <v/>
      </c>
      <c r="AA285" s="76" t="str">
        <f t="shared" si="18"/>
        <v/>
      </c>
      <c r="AB285" s="76" t="str">
        <f t="shared" si="19"/>
        <v/>
      </c>
      <c r="AC285" s="76" t="str">
        <f t="shared" si="20"/>
        <v/>
      </c>
      <c r="AD285" s="76" t="str">
        <f t="shared" si="21"/>
        <v/>
      </c>
      <c r="AE285" s="76" t="str">
        <f t="shared" si="22"/>
        <v/>
      </c>
      <c r="AF285" s="76" t="str">
        <f t="shared" si="23"/>
        <v/>
      </c>
      <c r="AG285" s="76" t="str">
        <f t="shared" si="24"/>
        <v/>
      </c>
      <c r="AH285" s="76" t="str">
        <f t="shared" si="25"/>
        <v/>
      </c>
      <c r="AI285" s="76" t="str">
        <f t="shared" si="26"/>
        <v/>
      </c>
      <c r="AJ285" s="76" t="str">
        <f t="shared" si="27"/>
        <v/>
      </c>
      <c r="AK285" s="76" t="str">
        <f t="shared" si="28"/>
        <v/>
      </c>
      <c r="AL285" s="76" t="str">
        <f t="shared" si="29"/>
        <v/>
      </c>
      <c r="AM285" s="76" t="str">
        <f t="shared" si="30"/>
        <v/>
      </c>
      <c r="AN285" s="76" t="str">
        <f t="shared" si="31"/>
        <v/>
      </c>
      <c r="AO285" s="76" t="str">
        <f t="shared" si="32"/>
        <v/>
      </c>
      <c r="AP285" s="76" t="str">
        <f t="shared" si="33"/>
        <v/>
      </c>
    </row>
    <row r="286" ht="15.75" customHeight="1">
      <c r="A286" s="76" t="str">
        <f>IF('Manual Entry'!A258="","",'Manual Entry'!A258)</f>
        <v/>
      </c>
      <c r="B286" s="76" t="str">
        <f t="shared" si="3"/>
        <v/>
      </c>
      <c r="C286" s="76" t="str">
        <f t="shared" si="4"/>
        <v/>
      </c>
      <c r="D286" s="76" t="str">
        <f>'Manual Entry'!D258</f>
        <v/>
      </c>
      <c r="E286" s="76" t="str">
        <f>'Manual Entry'!B258</f>
        <v/>
      </c>
      <c r="F286" s="76" t="str">
        <f>'Manual Entry'!F258</f>
        <v/>
      </c>
      <c r="G286" s="76" t="str">
        <f>'Manual Entry'!G258</f>
        <v/>
      </c>
      <c r="H286" s="76" t="str">
        <f>'Manual Entry'!H258</f>
        <v/>
      </c>
      <c r="I286" s="78" t="str">
        <f>'Manual Entry'!I258</f>
        <v/>
      </c>
      <c r="J286" s="78" t="str">
        <f>'Manual Entry'!J258</f>
        <v/>
      </c>
      <c r="K286" s="78" t="str">
        <f>'Manual Entry'!K258</f>
        <v/>
      </c>
      <c r="L286" s="78" t="str">
        <f>'Manual Entry'!L258</f>
        <v/>
      </c>
      <c r="M286" s="78" t="str">
        <f>'Manual Entry'!M258</f>
        <v/>
      </c>
      <c r="N286" s="78" t="str">
        <f>'Manual Entry'!N258</f>
        <v/>
      </c>
      <c r="O286" s="76">
        <f t="shared" si="6"/>
        <v>0</v>
      </c>
      <c r="P286" s="76">
        <f t="shared" si="7"/>
        <v>0</v>
      </c>
      <c r="Q286" s="76">
        <f t="shared" si="8"/>
        <v>0</v>
      </c>
      <c r="R286" s="76">
        <f t="shared" si="9"/>
        <v>0</v>
      </c>
      <c r="S286" s="76" t="str">
        <f t="shared" si="10"/>
        <v/>
      </c>
      <c r="T286" s="76" t="str">
        <f t="shared" si="11"/>
        <v/>
      </c>
      <c r="U286" s="76" t="str">
        <f t="shared" si="12"/>
        <v/>
      </c>
      <c r="V286" s="76" t="str">
        <f t="shared" si="13"/>
        <v/>
      </c>
      <c r="W286" s="76" t="str">
        <f t="shared" si="14"/>
        <v/>
      </c>
      <c r="X286" s="76" t="str">
        <f t="shared" si="15"/>
        <v/>
      </c>
      <c r="Y286" s="76" t="str">
        <f t="shared" si="16"/>
        <v/>
      </c>
      <c r="Z286" s="76" t="str">
        <f t="shared" si="17"/>
        <v/>
      </c>
      <c r="AA286" s="76" t="str">
        <f t="shared" si="18"/>
        <v/>
      </c>
      <c r="AB286" s="76" t="str">
        <f t="shared" si="19"/>
        <v/>
      </c>
      <c r="AC286" s="76" t="str">
        <f t="shared" si="20"/>
        <v/>
      </c>
      <c r="AD286" s="76" t="str">
        <f t="shared" si="21"/>
        <v/>
      </c>
      <c r="AE286" s="76" t="str">
        <f t="shared" si="22"/>
        <v/>
      </c>
      <c r="AF286" s="76" t="str">
        <f t="shared" si="23"/>
        <v/>
      </c>
      <c r="AG286" s="76" t="str">
        <f t="shared" si="24"/>
        <v/>
      </c>
      <c r="AH286" s="76" t="str">
        <f t="shared" si="25"/>
        <v/>
      </c>
      <c r="AI286" s="76" t="str">
        <f t="shared" si="26"/>
        <v/>
      </c>
      <c r="AJ286" s="76" t="str">
        <f t="shared" si="27"/>
        <v/>
      </c>
      <c r="AK286" s="76" t="str">
        <f t="shared" si="28"/>
        <v/>
      </c>
      <c r="AL286" s="76" t="str">
        <f t="shared" si="29"/>
        <v/>
      </c>
      <c r="AM286" s="76" t="str">
        <f t="shared" si="30"/>
        <v/>
      </c>
      <c r="AN286" s="76" t="str">
        <f t="shared" si="31"/>
        <v/>
      </c>
      <c r="AO286" s="76" t="str">
        <f t="shared" si="32"/>
        <v/>
      </c>
      <c r="AP286" s="76" t="str">
        <f t="shared" si="33"/>
        <v/>
      </c>
    </row>
    <row r="287" ht="15.75" customHeight="1">
      <c r="A287" s="76" t="str">
        <f>IF('Manual Entry'!A259="","",'Manual Entry'!A259)</f>
        <v/>
      </c>
      <c r="B287" s="76" t="str">
        <f t="shared" si="3"/>
        <v/>
      </c>
      <c r="C287" s="76" t="str">
        <f t="shared" si="4"/>
        <v/>
      </c>
      <c r="D287" s="76" t="str">
        <f>'Manual Entry'!D259</f>
        <v/>
      </c>
      <c r="E287" s="76" t="str">
        <f>'Manual Entry'!B259</f>
        <v/>
      </c>
      <c r="F287" s="76" t="str">
        <f>'Manual Entry'!F259</f>
        <v/>
      </c>
      <c r="G287" s="76" t="str">
        <f>'Manual Entry'!G259</f>
        <v/>
      </c>
      <c r="H287" s="76" t="str">
        <f>'Manual Entry'!H259</f>
        <v/>
      </c>
      <c r="I287" s="78" t="str">
        <f>'Manual Entry'!I259</f>
        <v/>
      </c>
      <c r="J287" s="78" t="str">
        <f>'Manual Entry'!J259</f>
        <v/>
      </c>
      <c r="K287" s="78" t="str">
        <f>'Manual Entry'!K259</f>
        <v/>
      </c>
      <c r="L287" s="78" t="str">
        <f>'Manual Entry'!L259</f>
        <v/>
      </c>
      <c r="M287" s="78" t="str">
        <f>'Manual Entry'!M259</f>
        <v/>
      </c>
      <c r="N287" s="78" t="str">
        <f>'Manual Entry'!N259</f>
        <v/>
      </c>
      <c r="O287" s="76">
        <f t="shared" si="6"/>
        <v>0</v>
      </c>
      <c r="P287" s="76">
        <f t="shared" si="7"/>
        <v>0</v>
      </c>
      <c r="Q287" s="76">
        <f t="shared" si="8"/>
        <v>0</v>
      </c>
      <c r="R287" s="76">
        <f t="shared" si="9"/>
        <v>0</v>
      </c>
      <c r="S287" s="76" t="str">
        <f t="shared" si="10"/>
        <v/>
      </c>
      <c r="T287" s="76" t="str">
        <f t="shared" si="11"/>
        <v/>
      </c>
      <c r="U287" s="76" t="str">
        <f t="shared" si="12"/>
        <v/>
      </c>
      <c r="V287" s="76" t="str">
        <f t="shared" si="13"/>
        <v/>
      </c>
      <c r="W287" s="76" t="str">
        <f t="shared" si="14"/>
        <v/>
      </c>
      <c r="X287" s="76" t="str">
        <f t="shared" si="15"/>
        <v/>
      </c>
      <c r="Y287" s="76" t="str">
        <f t="shared" si="16"/>
        <v/>
      </c>
      <c r="Z287" s="76" t="str">
        <f t="shared" si="17"/>
        <v/>
      </c>
      <c r="AA287" s="76" t="str">
        <f t="shared" si="18"/>
        <v/>
      </c>
      <c r="AB287" s="76" t="str">
        <f t="shared" si="19"/>
        <v/>
      </c>
      <c r="AC287" s="76" t="str">
        <f t="shared" si="20"/>
        <v/>
      </c>
      <c r="AD287" s="76" t="str">
        <f t="shared" si="21"/>
        <v/>
      </c>
      <c r="AE287" s="76" t="str">
        <f t="shared" si="22"/>
        <v/>
      </c>
      <c r="AF287" s="76" t="str">
        <f t="shared" si="23"/>
        <v/>
      </c>
      <c r="AG287" s="76" t="str">
        <f t="shared" si="24"/>
        <v/>
      </c>
      <c r="AH287" s="76" t="str">
        <f t="shared" si="25"/>
        <v/>
      </c>
      <c r="AI287" s="76" t="str">
        <f t="shared" si="26"/>
        <v/>
      </c>
      <c r="AJ287" s="76" t="str">
        <f t="shared" si="27"/>
        <v/>
      </c>
      <c r="AK287" s="76" t="str">
        <f t="shared" si="28"/>
        <v/>
      </c>
      <c r="AL287" s="76" t="str">
        <f t="shared" si="29"/>
        <v/>
      </c>
      <c r="AM287" s="76" t="str">
        <f t="shared" si="30"/>
        <v/>
      </c>
      <c r="AN287" s="76" t="str">
        <f t="shared" si="31"/>
        <v/>
      </c>
      <c r="AO287" s="76" t="str">
        <f t="shared" si="32"/>
        <v/>
      </c>
      <c r="AP287" s="76" t="str">
        <f t="shared" si="33"/>
        <v/>
      </c>
    </row>
    <row r="288" ht="15.75" customHeight="1">
      <c r="A288" s="76" t="str">
        <f>IF('Manual Entry'!A260="","",'Manual Entry'!A260)</f>
        <v/>
      </c>
      <c r="B288" s="76" t="str">
        <f t="shared" si="3"/>
        <v/>
      </c>
      <c r="C288" s="76" t="str">
        <f t="shared" si="4"/>
        <v/>
      </c>
      <c r="D288" s="76" t="str">
        <f>'Manual Entry'!D260</f>
        <v/>
      </c>
      <c r="E288" s="76" t="str">
        <f>'Manual Entry'!B260</f>
        <v/>
      </c>
      <c r="F288" s="76" t="str">
        <f>'Manual Entry'!F260</f>
        <v/>
      </c>
      <c r="G288" s="76" t="str">
        <f>'Manual Entry'!G260</f>
        <v/>
      </c>
      <c r="H288" s="76" t="str">
        <f>'Manual Entry'!H260</f>
        <v/>
      </c>
      <c r="I288" s="78" t="str">
        <f>'Manual Entry'!I260</f>
        <v/>
      </c>
      <c r="J288" s="78" t="str">
        <f>'Manual Entry'!J260</f>
        <v/>
      </c>
      <c r="K288" s="78" t="str">
        <f>'Manual Entry'!K260</f>
        <v/>
      </c>
      <c r="L288" s="78" t="str">
        <f>'Manual Entry'!L260</f>
        <v/>
      </c>
      <c r="M288" s="78" t="str">
        <f>'Manual Entry'!M260</f>
        <v/>
      </c>
      <c r="N288" s="78" t="str">
        <f>'Manual Entry'!N260</f>
        <v/>
      </c>
      <c r="O288" s="76">
        <f t="shared" si="6"/>
        <v>0</v>
      </c>
      <c r="P288" s="76">
        <f t="shared" si="7"/>
        <v>0</v>
      </c>
      <c r="Q288" s="76">
        <f t="shared" si="8"/>
        <v>0</v>
      </c>
      <c r="R288" s="76">
        <f t="shared" si="9"/>
        <v>0</v>
      </c>
      <c r="S288" s="76" t="str">
        <f t="shared" si="10"/>
        <v/>
      </c>
      <c r="T288" s="76" t="str">
        <f t="shared" si="11"/>
        <v/>
      </c>
      <c r="U288" s="76" t="str">
        <f t="shared" si="12"/>
        <v/>
      </c>
      <c r="V288" s="76" t="str">
        <f t="shared" si="13"/>
        <v/>
      </c>
      <c r="W288" s="76" t="str">
        <f t="shared" si="14"/>
        <v/>
      </c>
      <c r="X288" s="76" t="str">
        <f t="shared" si="15"/>
        <v/>
      </c>
      <c r="Y288" s="76" t="str">
        <f t="shared" si="16"/>
        <v/>
      </c>
      <c r="Z288" s="76" t="str">
        <f t="shared" si="17"/>
        <v/>
      </c>
      <c r="AA288" s="76" t="str">
        <f t="shared" si="18"/>
        <v/>
      </c>
      <c r="AB288" s="76" t="str">
        <f t="shared" si="19"/>
        <v/>
      </c>
      <c r="AC288" s="76" t="str">
        <f t="shared" si="20"/>
        <v/>
      </c>
      <c r="AD288" s="76" t="str">
        <f t="shared" si="21"/>
        <v/>
      </c>
      <c r="AE288" s="76" t="str">
        <f t="shared" si="22"/>
        <v/>
      </c>
      <c r="AF288" s="76" t="str">
        <f t="shared" si="23"/>
        <v/>
      </c>
      <c r="AG288" s="76" t="str">
        <f t="shared" si="24"/>
        <v/>
      </c>
      <c r="AH288" s="76" t="str">
        <f t="shared" si="25"/>
        <v/>
      </c>
      <c r="AI288" s="76" t="str">
        <f t="shared" si="26"/>
        <v/>
      </c>
      <c r="AJ288" s="76" t="str">
        <f t="shared" si="27"/>
        <v/>
      </c>
      <c r="AK288" s="76" t="str">
        <f t="shared" si="28"/>
        <v/>
      </c>
      <c r="AL288" s="76" t="str">
        <f t="shared" si="29"/>
        <v/>
      </c>
      <c r="AM288" s="76" t="str">
        <f t="shared" si="30"/>
        <v/>
      </c>
      <c r="AN288" s="76" t="str">
        <f t="shared" si="31"/>
        <v/>
      </c>
      <c r="AO288" s="76" t="str">
        <f t="shared" si="32"/>
        <v/>
      </c>
      <c r="AP288" s="76" t="str">
        <f t="shared" si="33"/>
        <v/>
      </c>
    </row>
    <row r="289" ht="15.75" customHeight="1">
      <c r="A289" s="76" t="str">
        <f>IF('Manual Entry'!A261="","",'Manual Entry'!A261)</f>
        <v/>
      </c>
      <c r="B289" s="76" t="str">
        <f t="shared" si="3"/>
        <v/>
      </c>
      <c r="C289" s="76" t="str">
        <f t="shared" si="4"/>
        <v/>
      </c>
      <c r="D289" s="76" t="str">
        <f>'Manual Entry'!D261</f>
        <v/>
      </c>
      <c r="E289" s="76" t="str">
        <f>'Manual Entry'!B261</f>
        <v/>
      </c>
      <c r="F289" s="76" t="str">
        <f>'Manual Entry'!F261</f>
        <v/>
      </c>
      <c r="G289" s="76" t="str">
        <f>'Manual Entry'!G261</f>
        <v/>
      </c>
      <c r="H289" s="76" t="str">
        <f>'Manual Entry'!H261</f>
        <v/>
      </c>
      <c r="I289" s="78" t="str">
        <f>'Manual Entry'!I261</f>
        <v/>
      </c>
      <c r="J289" s="78" t="str">
        <f>'Manual Entry'!J261</f>
        <v/>
      </c>
      <c r="K289" s="78" t="str">
        <f>'Manual Entry'!K261</f>
        <v/>
      </c>
      <c r="L289" s="78" t="str">
        <f>'Manual Entry'!L261</f>
        <v/>
      </c>
      <c r="M289" s="78" t="str">
        <f>'Manual Entry'!M261</f>
        <v/>
      </c>
      <c r="N289" s="78" t="str">
        <f>'Manual Entry'!N261</f>
        <v/>
      </c>
      <c r="O289" s="76">
        <f t="shared" si="6"/>
        <v>0</v>
      </c>
      <c r="P289" s="76">
        <f t="shared" si="7"/>
        <v>0</v>
      </c>
      <c r="Q289" s="76">
        <f t="shared" si="8"/>
        <v>0</v>
      </c>
      <c r="R289" s="76">
        <f t="shared" si="9"/>
        <v>0</v>
      </c>
      <c r="S289" s="76" t="str">
        <f t="shared" si="10"/>
        <v/>
      </c>
      <c r="T289" s="76" t="str">
        <f t="shared" si="11"/>
        <v/>
      </c>
      <c r="U289" s="76" t="str">
        <f t="shared" si="12"/>
        <v/>
      </c>
      <c r="V289" s="76" t="str">
        <f t="shared" si="13"/>
        <v/>
      </c>
      <c r="W289" s="76" t="str">
        <f t="shared" si="14"/>
        <v/>
      </c>
      <c r="X289" s="76" t="str">
        <f t="shared" si="15"/>
        <v/>
      </c>
      <c r="Y289" s="76" t="str">
        <f t="shared" si="16"/>
        <v/>
      </c>
      <c r="Z289" s="76" t="str">
        <f t="shared" si="17"/>
        <v/>
      </c>
      <c r="AA289" s="76" t="str">
        <f t="shared" si="18"/>
        <v/>
      </c>
      <c r="AB289" s="76" t="str">
        <f t="shared" si="19"/>
        <v/>
      </c>
      <c r="AC289" s="76" t="str">
        <f t="shared" si="20"/>
        <v/>
      </c>
      <c r="AD289" s="76" t="str">
        <f t="shared" si="21"/>
        <v/>
      </c>
      <c r="AE289" s="76" t="str">
        <f t="shared" si="22"/>
        <v/>
      </c>
      <c r="AF289" s="76" t="str">
        <f t="shared" si="23"/>
        <v/>
      </c>
      <c r="AG289" s="76" t="str">
        <f t="shared" si="24"/>
        <v/>
      </c>
      <c r="AH289" s="76" t="str">
        <f t="shared" si="25"/>
        <v/>
      </c>
      <c r="AI289" s="76" t="str">
        <f t="shared" si="26"/>
        <v/>
      </c>
      <c r="AJ289" s="76" t="str">
        <f t="shared" si="27"/>
        <v/>
      </c>
      <c r="AK289" s="76" t="str">
        <f t="shared" si="28"/>
        <v/>
      </c>
      <c r="AL289" s="76" t="str">
        <f t="shared" si="29"/>
        <v/>
      </c>
      <c r="AM289" s="76" t="str">
        <f t="shared" si="30"/>
        <v/>
      </c>
      <c r="AN289" s="76" t="str">
        <f t="shared" si="31"/>
        <v/>
      </c>
      <c r="AO289" s="76" t="str">
        <f t="shared" si="32"/>
        <v/>
      </c>
      <c r="AP289" s="76" t="str">
        <f t="shared" si="33"/>
        <v/>
      </c>
    </row>
    <row r="290" ht="15.75" customHeight="1">
      <c r="A290" s="76" t="str">
        <f>IF('Manual Entry'!A262="","",'Manual Entry'!A262)</f>
        <v/>
      </c>
      <c r="B290" s="76" t="str">
        <f t="shared" si="3"/>
        <v/>
      </c>
      <c r="C290" s="76" t="str">
        <f t="shared" si="4"/>
        <v/>
      </c>
      <c r="D290" s="76" t="str">
        <f>'Manual Entry'!D262</f>
        <v/>
      </c>
      <c r="E290" s="76" t="str">
        <f>'Manual Entry'!B262</f>
        <v/>
      </c>
      <c r="F290" s="76" t="str">
        <f>'Manual Entry'!F262</f>
        <v/>
      </c>
      <c r="G290" s="76" t="str">
        <f>'Manual Entry'!G262</f>
        <v/>
      </c>
      <c r="H290" s="76" t="str">
        <f>'Manual Entry'!H262</f>
        <v/>
      </c>
      <c r="I290" s="78" t="str">
        <f>'Manual Entry'!I262</f>
        <v/>
      </c>
      <c r="J290" s="78" t="str">
        <f>'Manual Entry'!J262</f>
        <v/>
      </c>
      <c r="K290" s="78" t="str">
        <f>'Manual Entry'!K262</f>
        <v/>
      </c>
      <c r="L290" s="78" t="str">
        <f>'Manual Entry'!L262</f>
        <v/>
      </c>
      <c r="M290" s="78" t="str">
        <f>'Manual Entry'!M262</f>
        <v/>
      </c>
      <c r="N290" s="78" t="str">
        <f>'Manual Entry'!N262</f>
        <v/>
      </c>
      <c r="O290" s="76">
        <f t="shared" si="6"/>
        <v>0</v>
      </c>
      <c r="P290" s="76">
        <f t="shared" si="7"/>
        <v>0</v>
      </c>
      <c r="Q290" s="76">
        <f t="shared" si="8"/>
        <v>0</v>
      </c>
      <c r="R290" s="76">
        <f t="shared" si="9"/>
        <v>0</v>
      </c>
      <c r="S290" s="76" t="str">
        <f t="shared" si="10"/>
        <v/>
      </c>
      <c r="T290" s="76" t="str">
        <f t="shared" si="11"/>
        <v/>
      </c>
      <c r="U290" s="76" t="str">
        <f t="shared" si="12"/>
        <v/>
      </c>
      <c r="V290" s="76" t="str">
        <f t="shared" si="13"/>
        <v/>
      </c>
      <c r="W290" s="76" t="str">
        <f t="shared" si="14"/>
        <v/>
      </c>
      <c r="X290" s="76" t="str">
        <f t="shared" si="15"/>
        <v/>
      </c>
      <c r="Y290" s="76" t="str">
        <f t="shared" si="16"/>
        <v/>
      </c>
      <c r="Z290" s="76" t="str">
        <f t="shared" si="17"/>
        <v/>
      </c>
      <c r="AA290" s="76" t="str">
        <f t="shared" si="18"/>
        <v/>
      </c>
      <c r="AB290" s="76" t="str">
        <f t="shared" si="19"/>
        <v/>
      </c>
      <c r="AC290" s="76" t="str">
        <f t="shared" si="20"/>
        <v/>
      </c>
      <c r="AD290" s="76" t="str">
        <f t="shared" si="21"/>
        <v/>
      </c>
      <c r="AE290" s="76" t="str">
        <f t="shared" si="22"/>
        <v/>
      </c>
      <c r="AF290" s="76" t="str">
        <f t="shared" si="23"/>
        <v/>
      </c>
      <c r="AG290" s="76" t="str">
        <f t="shared" si="24"/>
        <v/>
      </c>
      <c r="AH290" s="76" t="str">
        <f t="shared" si="25"/>
        <v/>
      </c>
      <c r="AI290" s="76" t="str">
        <f t="shared" si="26"/>
        <v/>
      </c>
      <c r="AJ290" s="76" t="str">
        <f t="shared" si="27"/>
        <v/>
      </c>
      <c r="AK290" s="76" t="str">
        <f t="shared" si="28"/>
        <v/>
      </c>
      <c r="AL290" s="76" t="str">
        <f t="shared" si="29"/>
        <v/>
      </c>
      <c r="AM290" s="76" t="str">
        <f t="shared" si="30"/>
        <v/>
      </c>
      <c r="AN290" s="76" t="str">
        <f t="shared" si="31"/>
        <v/>
      </c>
      <c r="AO290" s="76" t="str">
        <f t="shared" si="32"/>
        <v/>
      </c>
      <c r="AP290" s="76" t="str">
        <f t="shared" si="33"/>
        <v/>
      </c>
    </row>
    <row r="291" ht="15.75" customHeight="1">
      <c r="A291" s="76" t="str">
        <f>IF('Manual Entry'!A263="","",'Manual Entry'!A263)</f>
        <v/>
      </c>
      <c r="B291" s="76" t="str">
        <f t="shared" si="3"/>
        <v/>
      </c>
      <c r="C291" s="76" t="str">
        <f t="shared" si="4"/>
        <v/>
      </c>
      <c r="D291" s="76" t="str">
        <f>'Manual Entry'!D263</f>
        <v/>
      </c>
      <c r="E291" s="76" t="str">
        <f>'Manual Entry'!B263</f>
        <v/>
      </c>
      <c r="F291" s="76" t="str">
        <f>'Manual Entry'!F263</f>
        <v/>
      </c>
      <c r="G291" s="76" t="str">
        <f>'Manual Entry'!G263</f>
        <v/>
      </c>
      <c r="H291" s="76" t="str">
        <f>'Manual Entry'!H263</f>
        <v/>
      </c>
      <c r="I291" s="78" t="str">
        <f>'Manual Entry'!I263</f>
        <v/>
      </c>
      <c r="J291" s="78" t="str">
        <f>'Manual Entry'!J263</f>
        <v/>
      </c>
      <c r="K291" s="78" t="str">
        <f>'Manual Entry'!K263</f>
        <v/>
      </c>
      <c r="L291" s="78" t="str">
        <f>'Manual Entry'!L263</f>
        <v/>
      </c>
      <c r="M291" s="78" t="str">
        <f>'Manual Entry'!M263</f>
        <v/>
      </c>
      <c r="N291" s="78" t="str">
        <f>'Manual Entry'!N263</f>
        <v/>
      </c>
      <c r="O291" s="76">
        <f t="shared" si="6"/>
        <v>0</v>
      </c>
      <c r="P291" s="76">
        <f t="shared" si="7"/>
        <v>0</v>
      </c>
      <c r="Q291" s="76">
        <f t="shared" si="8"/>
        <v>0</v>
      </c>
      <c r="R291" s="76">
        <f t="shared" si="9"/>
        <v>0</v>
      </c>
      <c r="S291" s="76" t="str">
        <f t="shared" si="10"/>
        <v/>
      </c>
      <c r="T291" s="76" t="str">
        <f t="shared" si="11"/>
        <v/>
      </c>
      <c r="U291" s="76" t="str">
        <f t="shared" si="12"/>
        <v/>
      </c>
      <c r="V291" s="76" t="str">
        <f t="shared" si="13"/>
        <v/>
      </c>
      <c r="W291" s="76" t="str">
        <f t="shared" si="14"/>
        <v/>
      </c>
      <c r="X291" s="76" t="str">
        <f t="shared" si="15"/>
        <v/>
      </c>
      <c r="Y291" s="76" t="str">
        <f t="shared" si="16"/>
        <v/>
      </c>
      <c r="Z291" s="76" t="str">
        <f t="shared" si="17"/>
        <v/>
      </c>
      <c r="AA291" s="76" t="str">
        <f t="shared" si="18"/>
        <v/>
      </c>
      <c r="AB291" s="76" t="str">
        <f t="shared" si="19"/>
        <v/>
      </c>
      <c r="AC291" s="76" t="str">
        <f t="shared" si="20"/>
        <v/>
      </c>
      <c r="AD291" s="76" t="str">
        <f t="shared" si="21"/>
        <v/>
      </c>
      <c r="AE291" s="76" t="str">
        <f t="shared" si="22"/>
        <v/>
      </c>
      <c r="AF291" s="76" t="str">
        <f t="shared" si="23"/>
        <v/>
      </c>
      <c r="AG291" s="76" t="str">
        <f t="shared" si="24"/>
        <v/>
      </c>
      <c r="AH291" s="76" t="str">
        <f t="shared" si="25"/>
        <v/>
      </c>
      <c r="AI291" s="76" t="str">
        <f t="shared" si="26"/>
        <v/>
      </c>
      <c r="AJ291" s="76" t="str">
        <f t="shared" si="27"/>
        <v/>
      </c>
      <c r="AK291" s="76" t="str">
        <f t="shared" si="28"/>
        <v/>
      </c>
      <c r="AL291" s="76" t="str">
        <f t="shared" si="29"/>
        <v/>
      </c>
      <c r="AM291" s="76" t="str">
        <f t="shared" si="30"/>
        <v/>
      </c>
      <c r="AN291" s="76" t="str">
        <f t="shared" si="31"/>
        <v/>
      </c>
      <c r="AO291" s="76" t="str">
        <f t="shared" si="32"/>
        <v/>
      </c>
      <c r="AP291" s="76" t="str">
        <f t="shared" si="33"/>
        <v/>
      </c>
    </row>
    <row r="292" ht="15.75" customHeight="1">
      <c r="A292" s="76" t="str">
        <f>IF('Manual Entry'!A264="","",'Manual Entry'!A264)</f>
        <v/>
      </c>
      <c r="B292" s="76" t="str">
        <f t="shared" si="3"/>
        <v/>
      </c>
      <c r="C292" s="76" t="str">
        <f t="shared" si="4"/>
        <v/>
      </c>
      <c r="D292" s="76" t="str">
        <f>'Manual Entry'!D264</f>
        <v/>
      </c>
      <c r="E292" s="76" t="str">
        <f>'Manual Entry'!B264</f>
        <v/>
      </c>
      <c r="F292" s="76" t="str">
        <f>'Manual Entry'!F264</f>
        <v/>
      </c>
      <c r="G292" s="76" t="str">
        <f>'Manual Entry'!G264</f>
        <v/>
      </c>
      <c r="H292" s="76" t="str">
        <f>'Manual Entry'!H264</f>
        <v/>
      </c>
      <c r="I292" s="78" t="str">
        <f>'Manual Entry'!I264</f>
        <v/>
      </c>
      <c r="J292" s="78" t="str">
        <f>'Manual Entry'!J264</f>
        <v/>
      </c>
      <c r="K292" s="78" t="str">
        <f>'Manual Entry'!K264</f>
        <v/>
      </c>
      <c r="L292" s="78" t="str">
        <f>'Manual Entry'!L264</f>
        <v/>
      </c>
      <c r="M292" s="78" t="str">
        <f>'Manual Entry'!M264</f>
        <v/>
      </c>
      <c r="N292" s="78" t="str">
        <f>'Manual Entry'!N264</f>
        <v/>
      </c>
      <c r="O292" s="76">
        <f t="shared" si="6"/>
        <v>0</v>
      </c>
      <c r="P292" s="76">
        <f t="shared" si="7"/>
        <v>0</v>
      </c>
      <c r="Q292" s="76">
        <f t="shared" si="8"/>
        <v>0</v>
      </c>
      <c r="R292" s="76">
        <f t="shared" si="9"/>
        <v>0</v>
      </c>
      <c r="S292" s="76" t="str">
        <f t="shared" si="10"/>
        <v/>
      </c>
      <c r="T292" s="76" t="str">
        <f t="shared" si="11"/>
        <v/>
      </c>
      <c r="U292" s="76" t="str">
        <f t="shared" si="12"/>
        <v/>
      </c>
      <c r="V292" s="76" t="str">
        <f t="shared" si="13"/>
        <v/>
      </c>
      <c r="W292" s="76" t="str">
        <f t="shared" si="14"/>
        <v/>
      </c>
      <c r="X292" s="76" t="str">
        <f t="shared" si="15"/>
        <v/>
      </c>
      <c r="Y292" s="76" t="str">
        <f t="shared" si="16"/>
        <v/>
      </c>
      <c r="Z292" s="76" t="str">
        <f t="shared" si="17"/>
        <v/>
      </c>
      <c r="AA292" s="76" t="str">
        <f t="shared" si="18"/>
        <v/>
      </c>
      <c r="AB292" s="76" t="str">
        <f t="shared" si="19"/>
        <v/>
      </c>
      <c r="AC292" s="76" t="str">
        <f t="shared" si="20"/>
        <v/>
      </c>
      <c r="AD292" s="76" t="str">
        <f t="shared" si="21"/>
        <v/>
      </c>
      <c r="AE292" s="76" t="str">
        <f t="shared" si="22"/>
        <v/>
      </c>
      <c r="AF292" s="76" t="str">
        <f t="shared" si="23"/>
        <v/>
      </c>
      <c r="AG292" s="76" t="str">
        <f t="shared" si="24"/>
        <v/>
      </c>
      <c r="AH292" s="76" t="str">
        <f t="shared" si="25"/>
        <v/>
      </c>
      <c r="AI292" s="76" t="str">
        <f t="shared" si="26"/>
        <v/>
      </c>
      <c r="AJ292" s="76" t="str">
        <f t="shared" si="27"/>
        <v/>
      </c>
      <c r="AK292" s="76" t="str">
        <f t="shared" si="28"/>
        <v/>
      </c>
      <c r="AL292" s="76" t="str">
        <f t="shared" si="29"/>
        <v/>
      </c>
      <c r="AM292" s="76" t="str">
        <f t="shared" si="30"/>
        <v/>
      </c>
      <c r="AN292" s="76" t="str">
        <f t="shared" si="31"/>
        <v/>
      </c>
      <c r="AO292" s="76" t="str">
        <f t="shared" si="32"/>
        <v/>
      </c>
      <c r="AP292" s="76" t="str">
        <f t="shared" si="33"/>
        <v/>
      </c>
    </row>
    <row r="293" ht="15.75" customHeight="1">
      <c r="A293" s="76" t="str">
        <f>IF('Manual Entry'!A265="","",'Manual Entry'!A265)</f>
        <v/>
      </c>
      <c r="B293" s="76" t="str">
        <f t="shared" si="3"/>
        <v/>
      </c>
      <c r="C293" s="76" t="str">
        <f t="shared" si="4"/>
        <v/>
      </c>
      <c r="D293" s="76" t="str">
        <f>'Manual Entry'!D265</f>
        <v/>
      </c>
      <c r="E293" s="76" t="str">
        <f>'Manual Entry'!B265</f>
        <v/>
      </c>
      <c r="F293" s="76" t="str">
        <f>'Manual Entry'!F265</f>
        <v/>
      </c>
      <c r="G293" s="76" t="str">
        <f>'Manual Entry'!G265</f>
        <v/>
      </c>
      <c r="H293" s="76" t="str">
        <f>'Manual Entry'!H265</f>
        <v/>
      </c>
      <c r="I293" s="78" t="str">
        <f>'Manual Entry'!I265</f>
        <v/>
      </c>
      <c r="J293" s="78" t="str">
        <f>'Manual Entry'!J265</f>
        <v/>
      </c>
      <c r="K293" s="78" t="str">
        <f>'Manual Entry'!K265</f>
        <v/>
      </c>
      <c r="L293" s="78" t="str">
        <f>'Manual Entry'!L265</f>
        <v/>
      </c>
      <c r="M293" s="78" t="str">
        <f>'Manual Entry'!M265</f>
        <v/>
      </c>
      <c r="N293" s="78" t="str">
        <f>'Manual Entry'!N265</f>
        <v/>
      </c>
      <c r="O293" s="76">
        <f t="shared" si="6"/>
        <v>0</v>
      </c>
      <c r="P293" s="76">
        <f t="shared" si="7"/>
        <v>0</v>
      </c>
      <c r="Q293" s="76">
        <f t="shared" si="8"/>
        <v>0</v>
      </c>
      <c r="R293" s="76">
        <f t="shared" si="9"/>
        <v>0</v>
      </c>
      <c r="S293" s="76" t="str">
        <f t="shared" si="10"/>
        <v/>
      </c>
      <c r="T293" s="76" t="str">
        <f t="shared" si="11"/>
        <v/>
      </c>
      <c r="U293" s="76" t="str">
        <f t="shared" si="12"/>
        <v/>
      </c>
      <c r="V293" s="76" t="str">
        <f t="shared" si="13"/>
        <v/>
      </c>
      <c r="W293" s="76" t="str">
        <f t="shared" si="14"/>
        <v/>
      </c>
      <c r="X293" s="76" t="str">
        <f t="shared" si="15"/>
        <v/>
      </c>
      <c r="Y293" s="76" t="str">
        <f t="shared" si="16"/>
        <v/>
      </c>
      <c r="Z293" s="76" t="str">
        <f t="shared" si="17"/>
        <v/>
      </c>
      <c r="AA293" s="76" t="str">
        <f t="shared" si="18"/>
        <v/>
      </c>
      <c r="AB293" s="76" t="str">
        <f t="shared" si="19"/>
        <v/>
      </c>
      <c r="AC293" s="76" t="str">
        <f t="shared" si="20"/>
        <v/>
      </c>
      <c r="AD293" s="76" t="str">
        <f t="shared" si="21"/>
        <v/>
      </c>
      <c r="AE293" s="76" t="str">
        <f t="shared" si="22"/>
        <v/>
      </c>
      <c r="AF293" s="76" t="str">
        <f t="shared" si="23"/>
        <v/>
      </c>
      <c r="AG293" s="76" t="str">
        <f t="shared" si="24"/>
        <v/>
      </c>
      <c r="AH293" s="76" t="str">
        <f t="shared" si="25"/>
        <v/>
      </c>
      <c r="AI293" s="76" t="str">
        <f t="shared" si="26"/>
        <v/>
      </c>
      <c r="AJ293" s="76" t="str">
        <f t="shared" si="27"/>
        <v/>
      </c>
      <c r="AK293" s="76" t="str">
        <f t="shared" si="28"/>
        <v/>
      </c>
      <c r="AL293" s="76" t="str">
        <f t="shared" si="29"/>
        <v/>
      </c>
      <c r="AM293" s="76" t="str">
        <f t="shared" si="30"/>
        <v/>
      </c>
      <c r="AN293" s="76" t="str">
        <f t="shared" si="31"/>
        <v/>
      </c>
      <c r="AO293" s="76" t="str">
        <f t="shared" si="32"/>
        <v/>
      </c>
      <c r="AP293" s="76" t="str">
        <f t="shared" si="33"/>
        <v/>
      </c>
    </row>
    <row r="294" ht="15.75" customHeight="1">
      <c r="A294" s="76" t="str">
        <f>IF('Manual Entry'!A266="","",'Manual Entry'!A266)</f>
        <v/>
      </c>
      <c r="B294" s="76" t="str">
        <f t="shared" si="3"/>
        <v/>
      </c>
      <c r="C294" s="76" t="str">
        <f t="shared" si="4"/>
        <v/>
      </c>
      <c r="D294" s="76" t="str">
        <f>'Manual Entry'!D266</f>
        <v/>
      </c>
      <c r="E294" s="76" t="str">
        <f>'Manual Entry'!B266</f>
        <v/>
      </c>
      <c r="F294" s="76" t="str">
        <f>'Manual Entry'!F266</f>
        <v/>
      </c>
      <c r="G294" s="76" t="str">
        <f>'Manual Entry'!G266</f>
        <v/>
      </c>
      <c r="H294" s="76" t="str">
        <f>'Manual Entry'!H266</f>
        <v/>
      </c>
      <c r="I294" s="78" t="str">
        <f>'Manual Entry'!I266</f>
        <v/>
      </c>
      <c r="J294" s="78" t="str">
        <f>'Manual Entry'!J266</f>
        <v/>
      </c>
      <c r="K294" s="78" t="str">
        <f>'Manual Entry'!K266</f>
        <v/>
      </c>
      <c r="L294" s="78" t="str">
        <f>'Manual Entry'!L266</f>
        <v/>
      </c>
      <c r="M294" s="78" t="str">
        <f>'Manual Entry'!M266</f>
        <v/>
      </c>
      <c r="N294" s="78" t="str">
        <f>'Manual Entry'!N266</f>
        <v/>
      </c>
      <c r="O294" s="76">
        <f t="shared" si="6"/>
        <v>0</v>
      </c>
      <c r="P294" s="76">
        <f t="shared" si="7"/>
        <v>0</v>
      </c>
      <c r="Q294" s="76">
        <f t="shared" si="8"/>
        <v>0</v>
      </c>
      <c r="R294" s="76">
        <f t="shared" si="9"/>
        <v>0</v>
      </c>
      <c r="S294" s="76" t="str">
        <f t="shared" si="10"/>
        <v/>
      </c>
      <c r="T294" s="76" t="str">
        <f t="shared" si="11"/>
        <v/>
      </c>
      <c r="U294" s="76" t="str">
        <f t="shared" si="12"/>
        <v/>
      </c>
      <c r="V294" s="76" t="str">
        <f t="shared" si="13"/>
        <v/>
      </c>
      <c r="W294" s="76" t="str">
        <f t="shared" si="14"/>
        <v/>
      </c>
      <c r="X294" s="76" t="str">
        <f t="shared" si="15"/>
        <v/>
      </c>
      <c r="Y294" s="76" t="str">
        <f t="shared" si="16"/>
        <v/>
      </c>
      <c r="Z294" s="76" t="str">
        <f t="shared" si="17"/>
        <v/>
      </c>
      <c r="AA294" s="76" t="str">
        <f t="shared" si="18"/>
        <v/>
      </c>
      <c r="AB294" s="76" t="str">
        <f t="shared" si="19"/>
        <v/>
      </c>
      <c r="AC294" s="76" t="str">
        <f t="shared" si="20"/>
        <v/>
      </c>
      <c r="AD294" s="76" t="str">
        <f t="shared" si="21"/>
        <v/>
      </c>
      <c r="AE294" s="76" t="str">
        <f t="shared" si="22"/>
        <v/>
      </c>
      <c r="AF294" s="76" t="str">
        <f t="shared" si="23"/>
        <v/>
      </c>
      <c r="AG294" s="76" t="str">
        <f t="shared" si="24"/>
        <v/>
      </c>
      <c r="AH294" s="76" t="str">
        <f t="shared" si="25"/>
        <v/>
      </c>
      <c r="AI294" s="76" t="str">
        <f t="shared" si="26"/>
        <v/>
      </c>
      <c r="AJ294" s="76" t="str">
        <f t="shared" si="27"/>
        <v/>
      </c>
      <c r="AK294" s="76" t="str">
        <f t="shared" si="28"/>
        <v/>
      </c>
      <c r="AL294" s="76" t="str">
        <f t="shared" si="29"/>
        <v/>
      </c>
      <c r="AM294" s="76" t="str">
        <f t="shared" si="30"/>
        <v/>
      </c>
      <c r="AN294" s="76" t="str">
        <f t="shared" si="31"/>
        <v/>
      </c>
      <c r="AO294" s="76" t="str">
        <f t="shared" si="32"/>
        <v/>
      </c>
      <c r="AP294" s="76" t="str">
        <f t="shared" si="33"/>
        <v/>
      </c>
    </row>
    <row r="295" ht="15.75" customHeight="1">
      <c r="A295" s="76" t="str">
        <f>IF('Manual Entry'!A267="","",'Manual Entry'!A267)</f>
        <v/>
      </c>
      <c r="B295" s="76" t="str">
        <f t="shared" si="3"/>
        <v/>
      </c>
      <c r="C295" s="76" t="str">
        <f t="shared" si="4"/>
        <v/>
      </c>
      <c r="D295" s="76" t="str">
        <f>'Manual Entry'!D267</f>
        <v/>
      </c>
      <c r="E295" s="76" t="str">
        <f>'Manual Entry'!B267</f>
        <v/>
      </c>
      <c r="F295" s="76" t="str">
        <f>'Manual Entry'!F267</f>
        <v/>
      </c>
      <c r="G295" s="76" t="str">
        <f>'Manual Entry'!G267</f>
        <v/>
      </c>
      <c r="H295" s="76" t="str">
        <f>'Manual Entry'!H267</f>
        <v/>
      </c>
      <c r="I295" s="78" t="str">
        <f>'Manual Entry'!I267</f>
        <v/>
      </c>
      <c r="J295" s="78" t="str">
        <f>'Manual Entry'!J267</f>
        <v/>
      </c>
      <c r="K295" s="78" t="str">
        <f>'Manual Entry'!K267</f>
        <v/>
      </c>
      <c r="L295" s="78" t="str">
        <f>'Manual Entry'!L267</f>
        <v/>
      </c>
      <c r="M295" s="78" t="str">
        <f>'Manual Entry'!M267</f>
        <v/>
      </c>
      <c r="N295" s="78" t="str">
        <f>'Manual Entry'!N267</f>
        <v/>
      </c>
      <c r="O295" s="76">
        <f t="shared" si="6"/>
        <v>0</v>
      </c>
      <c r="P295" s="76">
        <f t="shared" si="7"/>
        <v>0</v>
      </c>
      <c r="Q295" s="76">
        <f t="shared" si="8"/>
        <v>0</v>
      </c>
      <c r="R295" s="76">
        <f t="shared" si="9"/>
        <v>0</v>
      </c>
      <c r="S295" s="76" t="str">
        <f t="shared" si="10"/>
        <v/>
      </c>
      <c r="T295" s="76" t="str">
        <f t="shared" si="11"/>
        <v/>
      </c>
      <c r="U295" s="76" t="str">
        <f t="shared" si="12"/>
        <v/>
      </c>
      <c r="V295" s="76" t="str">
        <f t="shared" si="13"/>
        <v/>
      </c>
      <c r="W295" s="76" t="str">
        <f t="shared" si="14"/>
        <v/>
      </c>
      <c r="X295" s="76" t="str">
        <f t="shared" si="15"/>
        <v/>
      </c>
      <c r="Y295" s="76" t="str">
        <f t="shared" si="16"/>
        <v/>
      </c>
      <c r="Z295" s="76" t="str">
        <f t="shared" si="17"/>
        <v/>
      </c>
      <c r="AA295" s="76" t="str">
        <f t="shared" si="18"/>
        <v/>
      </c>
      <c r="AB295" s="76" t="str">
        <f t="shared" si="19"/>
        <v/>
      </c>
      <c r="AC295" s="76" t="str">
        <f t="shared" si="20"/>
        <v/>
      </c>
      <c r="AD295" s="76" t="str">
        <f t="shared" si="21"/>
        <v/>
      </c>
      <c r="AE295" s="76" t="str">
        <f t="shared" si="22"/>
        <v/>
      </c>
      <c r="AF295" s="76" t="str">
        <f t="shared" si="23"/>
        <v/>
      </c>
      <c r="AG295" s="76" t="str">
        <f t="shared" si="24"/>
        <v/>
      </c>
      <c r="AH295" s="76" t="str">
        <f t="shared" si="25"/>
        <v/>
      </c>
      <c r="AI295" s="76" t="str">
        <f t="shared" si="26"/>
        <v/>
      </c>
      <c r="AJ295" s="76" t="str">
        <f t="shared" si="27"/>
        <v/>
      </c>
      <c r="AK295" s="76" t="str">
        <f t="shared" si="28"/>
        <v/>
      </c>
      <c r="AL295" s="76" t="str">
        <f t="shared" si="29"/>
        <v/>
      </c>
      <c r="AM295" s="76" t="str">
        <f t="shared" si="30"/>
        <v/>
      </c>
      <c r="AN295" s="76" t="str">
        <f t="shared" si="31"/>
        <v/>
      </c>
      <c r="AO295" s="76" t="str">
        <f t="shared" si="32"/>
        <v/>
      </c>
      <c r="AP295" s="76" t="str">
        <f t="shared" si="33"/>
        <v/>
      </c>
    </row>
    <row r="296" ht="15.75" customHeight="1">
      <c r="A296" s="76" t="str">
        <f>IF('Manual Entry'!A268="","",'Manual Entry'!A268)</f>
        <v/>
      </c>
      <c r="B296" s="76" t="str">
        <f t="shared" si="3"/>
        <v/>
      </c>
      <c r="C296" s="76" t="str">
        <f t="shared" si="4"/>
        <v/>
      </c>
      <c r="D296" s="76" t="str">
        <f>'Manual Entry'!D268</f>
        <v/>
      </c>
      <c r="E296" s="76" t="str">
        <f>'Manual Entry'!B268</f>
        <v/>
      </c>
      <c r="F296" s="76" t="str">
        <f>'Manual Entry'!F268</f>
        <v/>
      </c>
      <c r="G296" s="76" t="str">
        <f>'Manual Entry'!G268</f>
        <v/>
      </c>
      <c r="H296" s="76" t="str">
        <f>'Manual Entry'!H268</f>
        <v/>
      </c>
      <c r="I296" s="78" t="str">
        <f>'Manual Entry'!I268</f>
        <v/>
      </c>
      <c r="J296" s="78" t="str">
        <f>'Manual Entry'!J268</f>
        <v/>
      </c>
      <c r="K296" s="78" t="str">
        <f>'Manual Entry'!K268</f>
        <v/>
      </c>
      <c r="L296" s="78" t="str">
        <f>'Manual Entry'!L268</f>
        <v/>
      </c>
      <c r="M296" s="78" t="str">
        <f>'Manual Entry'!M268</f>
        <v/>
      </c>
      <c r="N296" s="78" t="str">
        <f>'Manual Entry'!N268</f>
        <v/>
      </c>
      <c r="O296" s="76">
        <f t="shared" si="6"/>
        <v>0</v>
      </c>
      <c r="P296" s="76">
        <f t="shared" si="7"/>
        <v>0</v>
      </c>
      <c r="Q296" s="76">
        <f t="shared" si="8"/>
        <v>0</v>
      </c>
      <c r="R296" s="76">
        <f t="shared" si="9"/>
        <v>0</v>
      </c>
      <c r="S296" s="76" t="str">
        <f t="shared" si="10"/>
        <v/>
      </c>
      <c r="T296" s="76" t="str">
        <f t="shared" si="11"/>
        <v/>
      </c>
      <c r="U296" s="76" t="str">
        <f t="shared" si="12"/>
        <v/>
      </c>
      <c r="V296" s="76" t="str">
        <f t="shared" si="13"/>
        <v/>
      </c>
      <c r="W296" s="76" t="str">
        <f t="shared" si="14"/>
        <v/>
      </c>
      <c r="X296" s="76" t="str">
        <f t="shared" si="15"/>
        <v/>
      </c>
      <c r="Y296" s="76" t="str">
        <f t="shared" si="16"/>
        <v/>
      </c>
      <c r="Z296" s="76" t="str">
        <f t="shared" si="17"/>
        <v/>
      </c>
      <c r="AA296" s="76" t="str">
        <f t="shared" si="18"/>
        <v/>
      </c>
      <c r="AB296" s="76" t="str">
        <f t="shared" si="19"/>
        <v/>
      </c>
      <c r="AC296" s="76" t="str">
        <f t="shared" si="20"/>
        <v/>
      </c>
      <c r="AD296" s="76" t="str">
        <f t="shared" si="21"/>
        <v/>
      </c>
      <c r="AE296" s="76" t="str">
        <f t="shared" si="22"/>
        <v/>
      </c>
      <c r="AF296" s="76" t="str">
        <f t="shared" si="23"/>
        <v/>
      </c>
      <c r="AG296" s="76" t="str">
        <f t="shared" si="24"/>
        <v/>
      </c>
      <c r="AH296" s="76" t="str">
        <f t="shared" si="25"/>
        <v/>
      </c>
      <c r="AI296" s="76" t="str">
        <f t="shared" si="26"/>
        <v/>
      </c>
      <c r="AJ296" s="76" t="str">
        <f t="shared" si="27"/>
        <v/>
      </c>
      <c r="AK296" s="76" t="str">
        <f t="shared" si="28"/>
        <v/>
      </c>
      <c r="AL296" s="76" t="str">
        <f t="shared" si="29"/>
        <v/>
      </c>
      <c r="AM296" s="76" t="str">
        <f t="shared" si="30"/>
        <v/>
      </c>
      <c r="AN296" s="76" t="str">
        <f t="shared" si="31"/>
        <v/>
      </c>
      <c r="AO296" s="76" t="str">
        <f t="shared" si="32"/>
        <v/>
      </c>
      <c r="AP296" s="76" t="str">
        <f t="shared" si="33"/>
        <v/>
      </c>
    </row>
    <row r="297" ht="15.75" customHeight="1">
      <c r="A297" s="76" t="str">
        <f>IF('Manual Entry'!A269="","",'Manual Entry'!A269)</f>
        <v/>
      </c>
      <c r="B297" s="76" t="str">
        <f t="shared" si="3"/>
        <v/>
      </c>
      <c r="C297" s="76" t="str">
        <f t="shared" si="4"/>
        <v/>
      </c>
      <c r="D297" s="76" t="str">
        <f>'Manual Entry'!D269</f>
        <v/>
      </c>
      <c r="E297" s="76" t="str">
        <f>'Manual Entry'!B269</f>
        <v/>
      </c>
      <c r="F297" s="76" t="str">
        <f>'Manual Entry'!F269</f>
        <v/>
      </c>
      <c r="G297" s="76" t="str">
        <f>'Manual Entry'!G269</f>
        <v/>
      </c>
      <c r="H297" s="76" t="str">
        <f>'Manual Entry'!H269</f>
        <v/>
      </c>
      <c r="I297" s="78" t="str">
        <f>'Manual Entry'!I269</f>
        <v/>
      </c>
      <c r="J297" s="78" t="str">
        <f>'Manual Entry'!J269</f>
        <v/>
      </c>
      <c r="K297" s="78" t="str">
        <f>'Manual Entry'!K269</f>
        <v/>
      </c>
      <c r="L297" s="78" t="str">
        <f>'Manual Entry'!L269</f>
        <v/>
      </c>
      <c r="M297" s="78" t="str">
        <f>'Manual Entry'!M269</f>
        <v/>
      </c>
      <c r="N297" s="78" t="str">
        <f>'Manual Entry'!N269</f>
        <v/>
      </c>
      <c r="O297" s="76">
        <f t="shared" si="6"/>
        <v>0</v>
      </c>
      <c r="P297" s="76">
        <f t="shared" si="7"/>
        <v>0</v>
      </c>
      <c r="Q297" s="76">
        <f t="shared" si="8"/>
        <v>0</v>
      </c>
      <c r="R297" s="76">
        <f t="shared" si="9"/>
        <v>0</v>
      </c>
      <c r="S297" s="76" t="str">
        <f t="shared" si="10"/>
        <v/>
      </c>
      <c r="T297" s="76" t="str">
        <f t="shared" si="11"/>
        <v/>
      </c>
      <c r="U297" s="76" t="str">
        <f t="shared" si="12"/>
        <v/>
      </c>
      <c r="V297" s="76" t="str">
        <f t="shared" si="13"/>
        <v/>
      </c>
      <c r="W297" s="76" t="str">
        <f t="shared" si="14"/>
        <v/>
      </c>
      <c r="X297" s="76" t="str">
        <f t="shared" si="15"/>
        <v/>
      </c>
      <c r="Y297" s="76" t="str">
        <f t="shared" si="16"/>
        <v/>
      </c>
      <c r="Z297" s="76" t="str">
        <f t="shared" si="17"/>
        <v/>
      </c>
      <c r="AA297" s="76" t="str">
        <f t="shared" si="18"/>
        <v/>
      </c>
      <c r="AB297" s="76" t="str">
        <f t="shared" si="19"/>
        <v/>
      </c>
      <c r="AC297" s="76" t="str">
        <f t="shared" si="20"/>
        <v/>
      </c>
      <c r="AD297" s="76" t="str">
        <f t="shared" si="21"/>
        <v/>
      </c>
      <c r="AE297" s="76" t="str">
        <f t="shared" si="22"/>
        <v/>
      </c>
      <c r="AF297" s="76" t="str">
        <f t="shared" si="23"/>
        <v/>
      </c>
      <c r="AG297" s="76" t="str">
        <f t="shared" si="24"/>
        <v/>
      </c>
      <c r="AH297" s="76" t="str">
        <f t="shared" si="25"/>
        <v/>
      </c>
      <c r="AI297" s="76" t="str">
        <f t="shared" si="26"/>
        <v/>
      </c>
      <c r="AJ297" s="76" t="str">
        <f t="shared" si="27"/>
        <v/>
      </c>
      <c r="AK297" s="76" t="str">
        <f t="shared" si="28"/>
        <v/>
      </c>
      <c r="AL297" s="76" t="str">
        <f t="shared" si="29"/>
        <v/>
      </c>
      <c r="AM297" s="76" t="str">
        <f t="shared" si="30"/>
        <v/>
      </c>
      <c r="AN297" s="76" t="str">
        <f t="shared" si="31"/>
        <v/>
      </c>
      <c r="AO297" s="76" t="str">
        <f t="shared" si="32"/>
        <v/>
      </c>
      <c r="AP297" s="76" t="str">
        <f t="shared" si="33"/>
        <v/>
      </c>
    </row>
    <row r="298" ht="15.75" customHeight="1">
      <c r="A298" s="76" t="str">
        <f>IF('Manual Entry'!A270="","",'Manual Entry'!A270)</f>
        <v/>
      </c>
      <c r="B298" s="76" t="str">
        <f t="shared" si="3"/>
        <v/>
      </c>
      <c r="C298" s="76" t="str">
        <f t="shared" si="4"/>
        <v/>
      </c>
      <c r="D298" s="76" t="str">
        <f>'Manual Entry'!D270</f>
        <v/>
      </c>
      <c r="E298" s="76" t="str">
        <f>'Manual Entry'!B270</f>
        <v/>
      </c>
      <c r="F298" s="76" t="str">
        <f>'Manual Entry'!F270</f>
        <v/>
      </c>
      <c r="G298" s="76" t="str">
        <f>'Manual Entry'!G270</f>
        <v/>
      </c>
      <c r="H298" s="76" t="str">
        <f>'Manual Entry'!H270</f>
        <v/>
      </c>
      <c r="I298" s="78" t="str">
        <f>'Manual Entry'!I270</f>
        <v/>
      </c>
      <c r="J298" s="78" t="str">
        <f>'Manual Entry'!J270</f>
        <v/>
      </c>
      <c r="K298" s="78" t="str">
        <f>'Manual Entry'!K270</f>
        <v/>
      </c>
      <c r="L298" s="78" t="str">
        <f>'Manual Entry'!L270</f>
        <v/>
      </c>
      <c r="M298" s="78" t="str">
        <f>'Manual Entry'!M270</f>
        <v/>
      </c>
      <c r="N298" s="78" t="str">
        <f>'Manual Entry'!N270</f>
        <v/>
      </c>
      <c r="O298" s="76">
        <f t="shared" si="6"/>
        <v>0</v>
      </c>
      <c r="P298" s="76">
        <f t="shared" si="7"/>
        <v>0</v>
      </c>
      <c r="Q298" s="76">
        <f t="shared" si="8"/>
        <v>0</v>
      </c>
      <c r="R298" s="76">
        <f t="shared" si="9"/>
        <v>0</v>
      </c>
      <c r="S298" s="76" t="str">
        <f t="shared" si="10"/>
        <v/>
      </c>
      <c r="T298" s="76" t="str">
        <f t="shared" si="11"/>
        <v/>
      </c>
      <c r="U298" s="76" t="str">
        <f t="shared" si="12"/>
        <v/>
      </c>
      <c r="V298" s="76" t="str">
        <f t="shared" si="13"/>
        <v/>
      </c>
      <c r="W298" s="76" t="str">
        <f t="shared" si="14"/>
        <v/>
      </c>
      <c r="X298" s="76" t="str">
        <f t="shared" si="15"/>
        <v/>
      </c>
      <c r="Y298" s="76" t="str">
        <f t="shared" si="16"/>
        <v/>
      </c>
      <c r="Z298" s="76" t="str">
        <f t="shared" si="17"/>
        <v/>
      </c>
      <c r="AA298" s="76" t="str">
        <f t="shared" si="18"/>
        <v/>
      </c>
      <c r="AB298" s="76" t="str">
        <f t="shared" si="19"/>
        <v/>
      </c>
      <c r="AC298" s="76" t="str">
        <f t="shared" si="20"/>
        <v/>
      </c>
      <c r="AD298" s="76" t="str">
        <f t="shared" si="21"/>
        <v/>
      </c>
      <c r="AE298" s="76" t="str">
        <f t="shared" si="22"/>
        <v/>
      </c>
      <c r="AF298" s="76" t="str">
        <f t="shared" si="23"/>
        <v/>
      </c>
      <c r="AG298" s="76" t="str">
        <f t="shared" si="24"/>
        <v/>
      </c>
      <c r="AH298" s="76" t="str">
        <f t="shared" si="25"/>
        <v/>
      </c>
      <c r="AI298" s="76" t="str">
        <f t="shared" si="26"/>
        <v/>
      </c>
      <c r="AJ298" s="76" t="str">
        <f t="shared" si="27"/>
        <v/>
      </c>
      <c r="AK298" s="76" t="str">
        <f t="shared" si="28"/>
        <v/>
      </c>
      <c r="AL298" s="76" t="str">
        <f t="shared" si="29"/>
        <v/>
      </c>
      <c r="AM298" s="76" t="str">
        <f t="shared" si="30"/>
        <v/>
      </c>
      <c r="AN298" s="76" t="str">
        <f t="shared" si="31"/>
        <v/>
      </c>
      <c r="AO298" s="76" t="str">
        <f t="shared" si="32"/>
        <v/>
      </c>
      <c r="AP298" s="76" t="str">
        <f t="shared" si="33"/>
        <v/>
      </c>
    </row>
    <row r="299" ht="15.75" customHeight="1">
      <c r="A299" s="76" t="str">
        <f>IF('Manual Entry'!A271="","",'Manual Entry'!A271)</f>
        <v/>
      </c>
      <c r="B299" s="76" t="str">
        <f t="shared" si="3"/>
        <v/>
      </c>
      <c r="C299" s="76" t="str">
        <f t="shared" si="4"/>
        <v/>
      </c>
      <c r="D299" s="76" t="str">
        <f>'Manual Entry'!D271</f>
        <v/>
      </c>
      <c r="E299" s="76" t="str">
        <f>'Manual Entry'!B271</f>
        <v/>
      </c>
      <c r="F299" s="76" t="str">
        <f>'Manual Entry'!F271</f>
        <v/>
      </c>
      <c r="G299" s="76" t="str">
        <f>'Manual Entry'!G271</f>
        <v/>
      </c>
      <c r="H299" s="76" t="str">
        <f>'Manual Entry'!H271</f>
        <v/>
      </c>
      <c r="I299" s="78" t="str">
        <f>'Manual Entry'!I271</f>
        <v/>
      </c>
      <c r="J299" s="78" t="str">
        <f>'Manual Entry'!J271</f>
        <v/>
      </c>
      <c r="K299" s="78" t="str">
        <f>'Manual Entry'!K271</f>
        <v/>
      </c>
      <c r="L299" s="78" t="str">
        <f>'Manual Entry'!L271</f>
        <v/>
      </c>
      <c r="M299" s="78" t="str">
        <f>'Manual Entry'!M271</f>
        <v/>
      </c>
      <c r="N299" s="78" t="str">
        <f>'Manual Entry'!N271</f>
        <v/>
      </c>
      <c r="O299" s="76">
        <f t="shared" si="6"/>
        <v>0</v>
      </c>
      <c r="P299" s="76">
        <f t="shared" si="7"/>
        <v>0</v>
      </c>
      <c r="Q299" s="76">
        <f t="shared" si="8"/>
        <v>0</v>
      </c>
      <c r="R299" s="76">
        <f t="shared" si="9"/>
        <v>0</v>
      </c>
      <c r="S299" s="76" t="str">
        <f t="shared" si="10"/>
        <v/>
      </c>
      <c r="T299" s="76" t="str">
        <f t="shared" si="11"/>
        <v/>
      </c>
      <c r="U299" s="76" t="str">
        <f t="shared" si="12"/>
        <v/>
      </c>
      <c r="V299" s="76" t="str">
        <f t="shared" si="13"/>
        <v/>
      </c>
      <c r="W299" s="76" t="str">
        <f t="shared" si="14"/>
        <v/>
      </c>
      <c r="X299" s="76" t="str">
        <f t="shared" si="15"/>
        <v/>
      </c>
      <c r="Y299" s="76" t="str">
        <f t="shared" si="16"/>
        <v/>
      </c>
      <c r="Z299" s="76" t="str">
        <f t="shared" si="17"/>
        <v/>
      </c>
      <c r="AA299" s="76" t="str">
        <f t="shared" si="18"/>
        <v/>
      </c>
      <c r="AB299" s="76" t="str">
        <f t="shared" si="19"/>
        <v/>
      </c>
      <c r="AC299" s="76" t="str">
        <f t="shared" si="20"/>
        <v/>
      </c>
      <c r="AD299" s="76" t="str">
        <f t="shared" si="21"/>
        <v/>
      </c>
      <c r="AE299" s="76" t="str">
        <f t="shared" si="22"/>
        <v/>
      </c>
      <c r="AF299" s="76" t="str">
        <f t="shared" si="23"/>
        <v/>
      </c>
      <c r="AG299" s="76" t="str">
        <f t="shared" si="24"/>
        <v/>
      </c>
      <c r="AH299" s="76" t="str">
        <f t="shared" si="25"/>
        <v/>
      </c>
      <c r="AI299" s="76" t="str">
        <f t="shared" si="26"/>
        <v/>
      </c>
      <c r="AJ299" s="76" t="str">
        <f t="shared" si="27"/>
        <v/>
      </c>
      <c r="AK299" s="76" t="str">
        <f t="shared" si="28"/>
        <v/>
      </c>
      <c r="AL299" s="76" t="str">
        <f t="shared" si="29"/>
        <v/>
      </c>
      <c r="AM299" s="76" t="str">
        <f t="shared" si="30"/>
        <v/>
      </c>
      <c r="AN299" s="76" t="str">
        <f t="shared" si="31"/>
        <v/>
      </c>
      <c r="AO299" s="76" t="str">
        <f t="shared" si="32"/>
        <v/>
      </c>
      <c r="AP299" s="76" t="str">
        <f t="shared" si="33"/>
        <v/>
      </c>
    </row>
    <row r="300" ht="15.75" customHeight="1">
      <c r="A300" s="76" t="str">
        <f>IF('Manual Entry'!A272="","",'Manual Entry'!A272)</f>
        <v/>
      </c>
      <c r="B300" s="76" t="str">
        <f t="shared" si="3"/>
        <v/>
      </c>
      <c r="C300" s="76" t="str">
        <f t="shared" si="4"/>
        <v/>
      </c>
      <c r="D300" s="76" t="str">
        <f>'Manual Entry'!D272</f>
        <v/>
      </c>
      <c r="E300" s="76" t="str">
        <f>'Manual Entry'!B272</f>
        <v/>
      </c>
      <c r="F300" s="76" t="str">
        <f>'Manual Entry'!F272</f>
        <v/>
      </c>
      <c r="G300" s="76" t="str">
        <f>'Manual Entry'!G272</f>
        <v/>
      </c>
      <c r="H300" s="76" t="str">
        <f>'Manual Entry'!H272</f>
        <v/>
      </c>
      <c r="I300" s="78" t="str">
        <f>'Manual Entry'!I272</f>
        <v/>
      </c>
      <c r="J300" s="78" t="str">
        <f>'Manual Entry'!J272</f>
        <v/>
      </c>
      <c r="K300" s="78" t="str">
        <f>'Manual Entry'!K272</f>
        <v/>
      </c>
      <c r="L300" s="78" t="str">
        <f>'Manual Entry'!L272</f>
        <v/>
      </c>
      <c r="M300" s="78" t="str">
        <f>'Manual Entry'!M272</f>
        <v/>
      </c>
      <c r="N300" s="78" t="str">
        <f>'Manual Entry'!N272</f>
        <v/>
      </c>
      <c r="O300" s="76">
        <f t="shared" si="6"/>
        <v>0</v>
      </c>
      <c r="P300" s="76">
        <f t="shared" si="7"/>
        <v>0</v>
      </c>
      <c r="Q300" s="76">
        <f t="shared" si="8"/>
        <v>0</v>
      </c>
      <c r="R300" s="76">
        <f t="shared" si="9"/>
        <v>0</v>
      </c>
      <c r="S300" s="76" t="str">
        <f t="shared" si="10"/>
        <v/>
      </c>
      <c r="T300" s="76" t="str">
        <f t="shared" si="11"/>
        <v/>
      </c>
      <c r="U300" s="76" t="str">
        <f t="shared" si="12"/>
        <v/>
      </c>
      <c r="V300" s="76" t="str">
        <f t="shared" si="13"/>
        <v/>
      </c>
      <c r="W300" s="76" t="str">
        <f t="shared" si="14"/>
        <v/>
      </c>
      <c r="X300" s="76" t="str">
        <f t="shared" si="15"/>
        <v/>
      </c>
      <c r="Y300" s="76" t="str">
        <f t="shared" si="16"/>
        <v/>
      </c>
      <c r="Z300" s="76" t="str">
        <f t="shared" si="17"/>
        <v/>
      </c>
      <c r="AA300" s="76" t="str">
        <f t="shared" si="18"/>
        <v/>
      </c>
      <c r="AB300" s="76" t="str">
        <f t="shared" si="19"/>
        <v/>
      </c>
      <c r="AC300" s="76" t="str">
        <f t="shared" si="20"/>
        <v/>
      </c>
      <c r="AD300" s="76" t="str">
        <f t="shared" si="21"/>
        <v/>
      </c>
      <c r="AE300" s="76" t="str">
        <f t="shared" si="22"/>
        <v/>
      </c>
      <c r="AF300" s="76" t="str">
        <f t="shared" si="23"/>
        <v/>
      </c>
      <c r="AG300" s="76" t="str">
        <f t="shared" si="24"/>
        <v/>
      </c>
      <c r="AH300" s="76" t="str">
        <f t="shared" si="25"/>
        <v/>
      </c>
      <c r="AI300" s="76" t="str">
        <f t="shared" si="26"/>
        <v/>
      </c>
      <c r="AJ300" s="76" t="str">
        <f t="shared" si="27"/>
        <v/>
      </c>
      <c r="AK300" s="76" t="str">
        <f t="shared" si="28"/>
        <v/>
      </c>
      <c r="AL300" s="76" t="str">
        <f t="shared" si="29"/>
        <v/>
      </c>
      <c r="AM300" s="76" t="str">
        <f t="shared" si="30"/>
        <v/>
      </c>
      <c r="AN300" s="76" t="str">
        <f t="shared" si="31"/>
        <v/>
      </c>
      <c r="AO300" s="76" t="str">
        <f t="shared" si="32"/>
        <v/>
      </c>
      <c r="AP300" s="76" t="str">
        <f t="shared" si="33"/>
        <v/>
      </c>
    </row>
    <row r="301" ht="15.75" customHeight="1">
      <c r="A301" s="76" t="str">
        <f>IF('Manual Entry'!A273="","",'Manual Entry'!A273)</f>
        <v/>
      </c>
      <c r="B301" s="76" t="str">
        <f t="shared" si="3"/>
        <v/>
      </c>
      <c r="C301" s="76" t="str">
        <f t="shared" si="4"/>
        <v/>
      </c>
      <c r="D301" s="76" t="str">
        <f>'Manual Entry'!D273</f>
        <v/>
      </c>
      <c r="E301" s="76" t="str">
        <f>'Manual Entry'!B273</f>
        <v/>
      </c>
      <c r="F301" s="76" t="str">
        <f>'Manual Entry'!F273</f>
        <v/>
      </c>
      <c r="G301" s="76" t="str">
        <f>'Manual Entry'!G273</f>
        <v/>
      </c>
      <c r="H301" s="76" t="str">
        <f>'Manual Entry'!H273</f>
        <v/>
      </c>
      <c r="I301" s="78" t="str">
        <f>'Manual Entry'!I273</f>
        <v/>
      </c>
      <c r="J301" s="78" t="str">
        <f>'Manual Entry'!J273</f>
        <v/>
      </c>
      <c r="K301" s="78" t="str">
        <f>'Manual Entry'!K273</f>
        <v/>
      </c>
      <c r="L301" s="78" t="str">
        <f>'Manual Entry'!L273</f>
        <v/>
      </c>
      <c r="M301" s="78" t="str">
        <f>'Manual Entry'!M273</f>
        <v/>
      </c>
      <c r="N301" s="78" t="str">
        <f>'Manual Entry'!N273</f>
        <v/>
      </c>
      <c r="O301" s="76">
        <f t="shared" si="6"/>
        <v>0</v>
      </c>
      <c r="P301" s="76">
        <f t="shared" si="7"/>
        <v>0</v>
      </c>
      <c r="Q301" s="76">
        <f t="shared" si="8"/>
        <v>0</v>
      </c>
      <c r="R301" s="76">
        <f t="shared" si="9"/>
        <v>0</v>
      </c>
      <c r="S301" s="76" t="str">
        <f t="shared" si="10"/>
        <v/>
      </c>
      <c r="T301" s="76" t="str">
        <f t="shared" si="11"/>
        <v/>
      </c>
      <c r="U301" s="76" t="str">
        <f t="shared" si="12"/>
        <v/>
      </c>
      <c r="V301" s="76" t="str">
        <f t="shared" si="13"/>
        <v/>
      </c>
      <c r="W301" s="76" t="str">
        <f t="shared" si="14"/>
        <v/>
      </c>
      <c r="X301" s="76" t="str">
        <f t="shared" si="15"/>
        <v/>
      </c>
      <c r="Y301" s="76" t="str">
        <f t="shared" si="16"/>
        <v/>
      </c>
      <c r="Z301" s="76" t="str">
        <f t="shared" si="17"/>
        <v/>
      </c>
      <c r="AA301" s="76" t="str">
        <f t="shared" si="18"/>
        <v/>
      </c>
      <c r="AB301" s="76" t="str">
        <f t="shared" si="19"/>
        <v/>
      </c>
      <c r="AC301" s="76" t="str">
        <f t="shared" si="20"/>
        <v/>
      </c>
      <c r="AD301" s="76" t="str">
        <f t="shared" si="21"/>
        <v/>
      </c>
      <c r="AE301" s="76" t="str">
        <f t="shared" si="22"/>
        <v/>
      </c>
      <c r="AF301" s="76" t="str">
        <f t="shared" si="23"/>
        <v/>
      </c>
      <c r="AG301" s="76" t="str">
        <f t="shared" si="24"/>
        <v/>
      </c>
      <c r="AH301" s="76" t="str">
        <f t="shared" si="25"/>
        <v/>
      </c>
      <c r="AI301" s="76" t="str">
        <f t="shared" si="26"/>
        <v/>
      </c>
      <c r="AJ301" s="76" t="str">
        <f t="shared" si="27"/>
        <v/>
      </c>
      <c r="AK301" s="76" t="str">
        <f t="shared" si="28"/>
        <v/>
      </c>
      <c r="AL301" s="76" t="str">
        <f t="shared" si="29"/>
        <v/>
      </c>
      <c r="AM301" s="76" t="str">
        <f t="shared" si="30"/>
        <v/>
      </c>
      <c r="AN301" s="76" t="str">
        <f t="shared" si="31"/>
        <v/>
      </c>
      <c r="AO301" s="76" t="str">
        <f t="shared" si="32"/>
        <v/>
      </c>
      <c r="AP301" s="76" t="str">
        <f t="shared" si="33"/>
        <v/>
      </c>
    </row>
    <row r="302" ht="15.75" customHeight="1">
      <c r="A302" s="76" t="str">
        <f>IF('Manual Entry'!A274="","",'Manual Entry'!A274)</f>
        <v/>
      </c>
      <c r="B302" s="76" t="str">
        <f t="shared" si="3"/>
        <v/>
      </c>
      <c r="C302" s="76" t="str">
        <f t="shared" si="4"/>
        <v/>
      </c>
      <c r="D302" s="76" t="str">
        <f>'Manual Entry'!D274</f>
        <v/>
      </c>
      <c r="E302" s="76" t="str">
        <f>'Manual Entry'!B274</f>
        <v/>
      </c>
      <c r="F302" s="76" t="str">
        <f>'Manual Entry'!F274</f>
        <v/>
      </c>
      <c r="G302" s="76" t="str">
        <f>'Manual Entry'!G274</f>
        <v/>
      </c>
      <c r="H302" s="76" t="str">
        <f>'Manual Entry'!H274</f>
        <v/>
      </c>
      <c r="I302" s="78" t="str">
        <f>'Manual Entry'!I274</f>
        <v/>
      </c>
      <c r="J302" s="78" t="str">
        <f>'Manual Entry'!J274</f>
        <v/>
      </c>
      <c r="K302" s="78" t="str">
        <f>'Manual Entry'!K274</f>
        <v/>
      </c>
      <c r="L302" s="78" t="str">
        <f>'Manual Entry'!L274</f>
        <v/>
      </c>
      <c r="M302" s="78" t="str">
        <f>'Manual Entry'!M274</f>
        <v/>
      </c>
      <c r="N302" s="78" t="str">
        <f>'Manual Entry'!N274</f>
        <v/>
      </c>
      <c r="O302" s="76">
        <f t="shared" si="6"/>
        <v>0</v>
      </c>
      <c r="P302" s="76">
        <f t="shared" si="7"/>
        <v>0</v>
      </c>
      <c r="Q302" s="76">
        <f t="shared" si="8"/>
        <v>0</v>
      </c>
      <c r="R302" s="76">
        <f t="shared" si="9"/>
        <v>0</v>
      </c>
      <c r="S302" s="76" t="str">
        <f t="shared" si="10"/>
        <v/>
      </c>
      <c r="T302" s="76" t="str">
        <f t="shared" si="11"/>
        <v/>
      </c>
      <c r="U302" s="76" t="str">
        <f t="shared" si="12"/>
        <v/>
      </c>
      <c r="V302" s="76" t="str">
        <f t="shared" si="13"/>
        <v/>
      </c>
      <c r="W302" s="76" t="str">
        <f t="shared" si="14"/>
        <v/>
      </c>
      <c r="X302" s="76" t="str">
        <f t="shared" si="15"/>
        <v/>
      </c>
      <c r="Y302" s="76" t="str">
        <f t="shared" si="16"/>
        <v/>
      </c>
      <c r="Z302" s="76" t="str">
        <f t="shared" si="17"/>
        <v/>
      </c>
      <c r="AA302" s="76" t="str">
        <f t="shared" si="18"/>
        <v/>
      </c>
      <c r="AB302" s="76" t="str">
        <f t="shared" si="19"/>
        <v/>
      </c>
      <c r="AC302" s="76" t="str">
        <f t="shared" si="20"/>
        <v/>
      </c>
      <c r="AD302" s="76" t="str">
        <f t="shared" si="21"/>
        <v/>
      </c>
      <c r="AE302" s="76" t="str">
        <f t="shared" si="22"/>
        <v/>
      </c>
      <c r="AF302" s="76" t="str">
        <f t="shared" si="23"/>
        <v/>
      </c>
      <c r="AG302" s="76" t="str">
        <f t="shared" si="24"/>
        <v/>
      </c>
      <c r="AH302" s="76" t="str">
        <f t="shared" si="25"/>
        <v/>
      </c>
      <c r="AI302" s="76" t="str">
        <f t="shared" si="26"/>
        <v/>
      </c>
      <c r="AJ302" s="76" t="str">
        <f t="shared" si="27"/>
        <v/>
      </c>
      <c r="AK302" s="76" t="str">
        <f t="shared" si="28"/>
        <v/>
      </c>
      <c r="AL302" s="76" t="str">
        <f t="shared" si="29"/>
        <v/>
      </c>
      <c r="AM302" s="76" t="str">
        <f t="shared" si="30"/>
        <v/>
      </c>
      <c r="AN302" s="76" t="str">
        <f t="shared" si="31"/>
        <v/>
      </c>
      <c r="AO302" s="76" t="str">
        <f t="shared" si="32"/>
        <v/>
      </c>
      <c r="AP302" s="76" t="str">
        <f t="shared" si="33"/>
        <v/>
      </c>
    </row>
    <row r="303" ht="15.75" customHeight="1">
      <c r="A303" s="76" t="str">
        <f>IF('Manual Entry'!A275="","",'Manual Entry'!A275)</f>
        <v/>
      </c>
      <c r="B303" s="76" t="str">
        <f t="shared" si="3"/>
        <v/>
      </c>
      <c r="C303" s="76" t="str">
        <f t="shared" si="4"/>
        <v/>
      </c>
      <c r="D303" s="76" t="str">
        <f>'Manual Entry'!D275</f>
        <v/>
      </c>
      <c r="E303" s="76" t="str">
        <f>'Manual Entry'!B275</f>
        <v/>
      </c>
      <c r="F303" s="76" t="str">
        <f>'Manual Entry'!F275</f>
        <v/>
      </c>
      <c r="G303" s="76" t="str">
        <f>'Manual Entry'!G275</f>
        <v/>
      </c>
      <c r="H303" s="76" t="str">
        <f>'Manual Entry'!H275</f>
        <v/>
      </c>
      <c r="I303" s="78" t="str">
        <f>'Manual Entry'!I275</f>
        <v/>
      </c>
      <c r="J303" s="78" t="str">
        <f>'Manual Entry'!J275</f>
        <v/>
      </c>
      <c r="K303" s="78" t="str">
        <f>'Manual Entry'!K275</f>
        <v/>
      </c>
      <c r="L303" s="78" t="str">
        <f>'Manual Entry'!L275</f>
        <v/>
      </c>
      <c r="M303" s="78" t="str">
        <f>'Manual Entry'!M275</f>
        <v/>
      </c>
      <c r="N303" s="78" t="str">
        <f>'Manual Entry'!N275</f>
        <v/>
      </c>
      <c r="O303" s="76">
        <f t="shared" si="6"/>
        <v>0</v>
      </c>
      <c r="P303" s="76">
        <f t="shared" si="7"/>
        <v>0</v>
      </c>
      <c r="Q303" s="76">
        <f t="shared" si="8"/>
        <v>0</v>
      </c>
      <c r="R303" s="76">
        <f t="shared" si="9"/>
        <v>0</v>
      </c>
      <c r="S303" s="76" t="str">
        <f t="shared" si="10"/>
        <v/>
      </c>
      <c r="T303" s="76" t="str">
        <f t="shared" si="11"/>
        <v/>
      </c>
      <c r="U303" s="76" t="str">
        <f t="shared" si="12"/>
        <v/>
      </c>
      <c r="V303" s="76" t="str">
        <f t="shared" si="13"/>
        <v/>
      </c>
      <c r="W303" s="76" t="str">
        <f t="shared" si="14"/>
        <v/>
      </c>
      <c r="X303" s="76" t="str">
        <f t="shared" si="15"/>
        <v/>
      </c>
      <c r="Y303" s="76" t="str">
        <f t="shared" si="16"/>
        <v/>
      </c>
      <c r="Z303" s="76" t="str">
        <f t="shared" si="17"/>
        <v/>
      </c>
      <c r="AA303" s="76" t="str">
        <f t="shared" si="18"/>
        <v/>
      </c>
      <c r="AB303" s="76" t="str">
        <f t="shared" si="19"/>
        <v/>
      </c>
      <c r="AC303" s="76" t="str">
        <f t="shared" si="20"/>
        <v/>
      </c>
      <c r="AD303" s="76" t="str">
        <f t="shared" si="21"/>
        <v/>
      </c>
      <c r="AE303" s="76" t="str">
        <f t="shared" si="22"/>
        <v/>
      </c>
      <c r="AF303" s="76" t="str">
        <f t="shared" si="23"/>
        <v/>
      </c>
      <c r="AG303" s="76" t="str">
        <f t="shared" si="24"/>
        <v/>
      </c>
      <c r="AH303" s="76" t="str">
        <f t="shared" si="25"/>
        <v/>
      </c>
      <c r="AI303" s="76" t="str">
        <f t="shared" si="26"/>
        <v/>
      </c>
      <c r="AJ303" s="76" t="str">
        <f t="shared" si="27"/>
        <v/>
      </c>
      <c r="AK303" s="76" t="str">
        <f t="shared" si="28"/>
        <v/>
      </c>
      <c r="AL303" s="76" t="str">
        <f t="shared" si="29"/>
        <v/>
      </c>
      <c r="AM303" s="76" t="str">
        <f t="shared" si="30"/>
        <v/>
      </c>
      <c r="AN303" s="76" t="str">
        <f t="shared" si="31"/>
        <v/>
      </c>
      <c r="AO303" s="76" t="str">
        <f t="shared" si="32"/>
        <v/>
      </c>
      <c r="AP303" s="76" t="str">
        <f t="shared" si="33"/>
        <v/>
      </c>
    </row>
    <row r="304" ht="15.75" customHeight="1">
      <c r="A304" s="76" t="str">
        <f>IF('Manual Entry'!A276="","",'Manual Entry'!A276)</f>
        <v/>
      </c>
      <c r="B304" s="76" t="str">
        <f t="shared" si="3"/>
        <v/>
      </c>
      <c r="C304" s="76" t="str">
        <f t="shared" si="4"/>
        <v/>
      </c>
      <c r="D304" s="76" t="str">
        <f>'Manual Entry'!D276</f>
        <v/>
      </c>
      <c r="E304" s="76" t="str">
        <f>'Manual Entry'!B276</f>
        <v/>
      </c>
      <c r="F304" s="76" t="str">
        <f>'Manual Entry'!F276</f>
        <v/>
      </c>
      <c r="G304" s="76" t="str">
        <f>'Manual Entry'!G276</f>
        <v/>
      </c>
      <c r="H304" s="76" t="str">
        <f>'Manual Entry'!H276</f>
        <v/>
      </c>
      <c r="I304" s="78" t="str">
        <f>'Manual Entry'!I276</f>
        <v/>
      </c>
      <c r="J304" s="78" t="str">
        <f>'Manual Entry'!J276</f>
        <v/>
      </c>
      <c r="K304" s="78" t="str">
        <f>'Manual Entry'!K276</f>
        <v/>
      </c>
      <c r="L304" s="78" t="str">
        <f>'Manual Entry'!L276</f>
        <v/>
      </c>
      <c r="M304" s="78" t="str">
        <f>'Manual Entry'!M276</f>
        <v/>
      </c>
      <c r="N304" s="78" t="str">
        <f>'Manual Entry'!N276</f>
        <v/>
      </c>
      <c r="O304" s="76">
        <f t="shared" si="6"/>
        <v>0</v>
      </c>
      <c r="P304" s="76">
        <f t="shared" si="7"/>
        <v>0</v>
      </c>
      <c r="Q304" s="76">
        <f t="shared" si="8"/>
        <v>0</v>
      </c>
      <c r="R304" s="76">
        <f t="shared" si="9"/>
        <v>0</v>
      </c>
      <c r="S304" s="76" t="str">
        <f t="shared" si="10"/>
        <v/>
      </c>
      <c r="T304" s="76" t="str">
        <f t="shared" si="11"/>
        <v/>
      </c>
      <c r="U304" s="76" t="str">
        <f t="shared" si="12"/>
        <v/>
      </c>
      <c r="V304" s="76" t="str">
        <f t="shared" si="13"/>
        <v/>
      </c>
      <c r="W304" s="76" t="str">
        <f t="shared" si="14"/>
        <v/>
      </c>
      <c r="X304" s="76" t="str">
        <f t="shared" si="15"/>
        <v/>
      </c>
      <c r="Y304" s="76" t="str">
        <f t="shared" si="16"/>
        <v/>
      </c>
      <c r="Z304" s="76" t="str">
        <f t="shared" si="17"/>
        <v/>
      </c>
      <c r="AA304" s="76" t="str">
        <f t="shared" si="18"/>
        <v/>
      </c>
      <c r="AB304" s="76" t="str">
        <f t="shared" si="19"/>
        <v/>
      </c>
      <c r="AC304" s="76" t="str">
        <f t="shared" si="20"/>
        <v/>
      </c>
      <c r="AD304" s="76" t="str">
        <f t="shared" si="21"/>
        <v/>
      </c>
      <c r="AE304" s="76" t="str">
        <f t="shared" si="22"/>
        <v/>
      </c>
      <c r="AF304" s="76" t="str">
        <f t="shared" si="23"/>
        <v/>
      </c>
      <c r="AG304" s="76" t="str">
        <f t="shared" si="24"/>
        <v/>
      </c>
      <c r="AH304" s="76" t="str">
        <f t="shared" si="25"/>
        <v/>
      </c>
      <c r="AI304" s="76" t="str">
        <f t="shared" si="26"/>
        <v/>
      </c>
      <c r="AJ304" s="76" t="str">
        <f t="shared" si="27"/>
        <v/>
      </c>
      <c r="AK304" s="76" t="str">
        <f t="shared" si="28"/>
        <v/>
      </c>
      <c r="AL304" s="76" t="str">
        <f t="shared" si="29"/>
        <v/>
      </c>
      <c r="AM304" s="76" t="str">
        <f t="shared" si="30"/>
        <v/>
      </c>
      <c r="AN304" s="76" t="str">
        <f t="shared" si="31"/>
        <v/>
      </c>
      <c r="AO304" s="76" t="str">
        <f t="shared" si="32"/>
        <v/>
      </c>
      <c r="AP304" s="76" t="str">
        <f t="shared" si="33"/>
        <v/>
      </c>
    </row>
    <row r="305" ht="15.75" customHeight="1">
      <c r="A305" s="76" t="str">
        <f>IF('Manual Entry'!A277="","",'Manual Entry'!A277)</f>
        <v/>
      </c>
      <c r="B305" s="76" t="str">
        <f t="shared" si="3"/>
        <v/>
      </c>
      <c r="C305" s="76" t="str">
        <f t="shared" si="4"/>
        <v/>
      </c>
      <c r="D305" s="76" t="str">
        <f>'Manual Entry'!D277</f>
        <v/>
      </c>
      <c r="E305" s="76" t="str">
        <f>'Manual Entry'!B277</f>
        <v/>
      </c>
      <c r="F305" s="76" t="str">
        <f>'Manual Entry'!F277</f>
        <v/>
      </c>
      <c r="G305" s="76" t="str">
        <f>'Manual Entry'!G277</f>
        <v/>
      </c>
      <c r="H305" s="76" t="str">
        <f>'Manual Entry'!H277</f>
        <v/>
      </c>
      <c r="I305" s="78" t="str">
        <f>'Manual Entry'!I277</f>
        <v/>
      </c>
      <c r="J305" s="78" t="str">
        <f>'Manual Entry'!J277</f>
        <v/>
      </c>
      <c r="K305" s="78" t="str">
        <f>'Manual Entry'!K277</f>
        <v/>
      </c>
      <c r="L305" s="78" t="str">
        <f>'Manual Entry'!L277</f>
        <v/>
      </c>
      <c r="M305" s="78" t="str">
        <f>'Manual Entry'!M277</f>
        <v/>
      </c>
      <c r="N305" s="78" t="str">
        <f>'Manual Entry'!N277</f>
        <v/>
      </c>
      <c r="O305" s="76">
        <f t="shared" si="6"/>
        <v>0</v>
      </c>
      <c r="P305" s="76">
        <f t="shared" si="7"/>
        <v>0</v>
      </c>
      <c r="Q305" s="76">
        <f t="shared" si="8"/>
        <v>0</v>
      </c>
      <c r="R305" s="76">
        <f t="shared" si="9"/>
        <v>0</v>
      </c>
      <c r="S305" s="76" t="str">
        <f t="shared" si="10"/>
        <v/>
      </c>
      <c r="T305" s="76" t="str">
        <f t="shared" si="11"/>
        <v/>
      </c>
      <c r="U305" s="76" t="str">
        <f t="shared" si="12"/>
        <v/>
      </c>
      <c r="V305" s="76" t="str">
        <f t="shared" si="13"/>
        <v/>
      </c>
      <c r="W305" s="76" t="str">
        <f t="shared" si="14"/>
        <v/>
      </c>
      <c r="X305" s="76" t="str">
        <f t="shared" si="15"/>
        <v/>
      </c>
      <c r="Y305" s="76" t="str">
        <f t="shared" si="16"/>
        <v/>
      </c>
      <c r="Z305" s="76" t="str">
        <f t="shared" si="17"/>
        <v/>
      </c>
      <c r="AA305" s="76" t="str">
        <f t="shared" si="18"/>
        <v/>
      </c>
      <c r="AB305" s="76" t="str">
        <f t="shared" si="19"/>
        <v/>
      </c>
      <c r="AC305" s="76" t="str">
        <f t="shared" si="20"/>
        <v/>
      </c>
      <c r="AD305" s="76" t="str">
        <f t="shared" si="21"/>
        <v/>
      </c>
      <c r="AE305" s="76" t="str">
        <f t="shared" si="22"/>
        <v/>
      </c>
      <c r="AF305" s="76" t="str">
        <f t="shared" si="23"/>
        <v/>
      </c>
      <c r="AG305" s="76" t="str">
        <f t="shared" si="24"/>
        <v/>
      </c>
      <c r="AH305" s="76" t="str">
        <f t="shared" si="25"/>
        <v/>
      </c>
      <c r="AI305" s="76" t="str">
        <f t="shared" si="26"/>
        <v/>
      </c>
      <c r="AJ305" s="76" t="str">
        <f t="shared" si="27"/>
        <v/>
      </c>
      <c r="AK305" s="76" t="str">
        <f t="shared" si="28"/>
        <v/>
      </c>
      <c r="AL305" s="76" t="str">
        <f t="shared" si="29"/>
        <v/>
      </c>
      <c r="AM305" s="76" t="str">
        <f t="shared" si="30"/>
        <v/>
      </c>
      <c r="AN305" s="76" t="str">
        <f t="shared" si="31"/>
        <v/>
      </c>
      <c r="AO305" s="76" t="str">
        <f t="shared" si="32"/>
        <v/>
      </c>
      <c r="AP305" s="76" t="str">
        <f t="shared" si="33"/>
        <v/>
      </c>
    </row>
    <row r="306" ht="15.75" customHeight="1">
      <c r="A306" s="76" t="str">
        <f>IF('Manual Entry'!A278="","",'Manual Entry'!A278)</f>
        <v/>
      </c>
      <c r="B306" s="76" t="str">
        <f t="shared" si="3"/>
        <v/>
      </c>
      <c r="C306" s="76" t="str">
        <f t="shared" si="4"/>
        <v/>
      </c>
      <c r="D306" s="76" t="str">
        <f>'Manual Entry'!D278</f>
        <v/>
      </c>
      <c r="E306" s="76" t="str">
        <f>'Manual Entry'!B278</f>
        <v/>
      </c>
      <c r="F306" s="76" t="str">
        <f>'Manual Entry'!F278</f>
        <v/>
      </c>
      <c r="G306" s="76" t="str">
        <f>'Manual Entry'!G278</f>
        <v/>
      </c>
      <c r="H306" s="76" t="str">
        <f>'Manual Entry'!H278</f>
        <v/>
      </c>
      <c r="I306" s="78" t="str">
        <f>'Manual Entry'!I278</f>
        <v/>
      </c>
      <c r="J306" s="78" t="str">
        <f>'Manual Entry'!J278</f>
        <v/>
      </c>
      <c r="K306" s="78" t="str">
        <f>'Manual Entry'!K278</f>
        <v/>
      </c>
      <c r="L306" s="78" t="str">
        <f>'Manual Entry'!L278</f>
        <v/>
      </c>
      <c r="M306" s="78" t="str">
        <f>'Manual Entry'!M278</f>
        <v/>
      </c>
      <c r="N306" s="78" t="str">
        <f>'Manual Entry'!N278</f>
        <v/>
      </c>
      <c r="O306" s="76">
        <f t="shared" si="6"/>
        <v>0</v>
      </c>
      <c r="P306" s="76">
        <f t="shared" si="7"/>
        <v>0</v>
      </c>
      <c r="Q306" s="76">
        <f t="shared" si="8"/>
        <v>0</v>
      </c>
      <c r="R306" s="76">
        <f t="shared" si="9"/>
        <v>0</v>
      </c>
      <c r="S306" s="76" t="str">
        <f t="shared" si="10"/>
        <v/>
      </c>
      <c r="T306" s="76" t="str">
        <f t="shared" si="11"/>
        <v/>
      </c>
      <c r="U306" s="76" t="str">
        <f t="shared" si="12"/>
        <v/>
      </c>
      <c r="V306" s="76" t="str">
        <f t="shared" si="13"/>
        <v/>
      </c>
      <c r="W306" s="76" t="str">
        <f t="shared" si="14"/>
        <v/>
      </c>
      <c r="X306" s="76" t="str">
        <f t="shared" si="15"/>
        <v/>
      </c>
      <c r="Y306" s="76" t="str">
        <f t="shared" si="16"/>
        <v/>
      </c>
      <c r="Z306" s="76" t="str">
        <f t="shared" si="17"/>
        <v/>
      </c>
      <c r="AA306" s="76" t="str">
        <f t="shared" si="18"/>
        <v/>
      </c>
      <c r="AB306" s="76" t="str">
        <f t="shared" si="19"/>
        <v/>
      </c>
      <c r="AC306" s="76" t="str">
        <f t="shared" si="20"/>
        <v/>
      </c>
      <c r="AD306" s="76" t="str">
        <f t="shared" si="21"/>
        <v/>
      </c>
      <c r="AE306" s="76" t="str">
        <f t="shared" si="22"/>
        <v/>
      </c>
      <c r="AF306" s="76" t="str">
        <f t="shared" si="23"/>
        <v/>
      </c>
      <c r="AG306" s="76" t="str">
        <f t="shared" si="24"/>
        <v/>
      </c>
      <c r="AH306" s="76" t="str">
        <f t="shared" si="25"/>
        <v/>
      </c>
      <c r="AI306" s="76" t="str">
        <f t="shared" si="26"/>
        <v/>
      </c>
      <c r="AJ306" s="76" t="str">
        <f t="shared" si="27"/>
        <v/>
      </c>
      <c r="AK306" s="76" t="str">
        <f t="shared" si="28"/>
        <v/>
      </c>
      <c r="AL306" s="76" t="str">
        <f t="shared" si="29"/>
        <v/>
      </c>
      <c r="AM306" s="76" t="str">
        <f t="shared" si="30"/>
        <v/>
      </c>
      <c r="AN306" s="76" t="str">
        <f t="shared" si="31"/>
        <v/>
      </c>
      <c r="AO306" s="76" t="str">
        <f t="shared" si="32"/>
        <v/>
      </c>
      <c r="AP306" s="76" t="str">
        <f t="shared" si="33"/>
        <v/>
      </c>
    </row>
    <row r="307" ht="15.75" customHeight="1">
      <c r="A307" s="76" t="str">
        <f>IF('Manual Entry'!A279="","",'Manual Entry'!A279)</f>
        <v/>
      </c>
      <c r="B307" s="76" t="str">
        <f t="shared" si="3"/>
        <v/>
      </c>
      <c r="C307" s="76" t="str">
        <f t="shared" si="4"/>
        <v/>
      </c>
      <c r="D307" s="76" t="str">
        <f>'Manual Entry'!D279</f>
        <v/>
      </c>
      <c r="E307" s="76" t="str">
        <f>'Manual Entry'!B279</f>
        <v/>
      </c>
      <c r="F307" s="76" t="str">
        <f>'Manual Entry'!F279</f>
        <v/>
      </c>
      <c r="G307" s="76" t="str">
        <f>'Manual Entry'!G279</f>
        <v/>
      </c>
      <c r="H307" s="76" t="str">
        <f>'Manual Entry'!H279</f>
        <v/>
      </c>
      <c r="I307" s="78" t="str">
        <f>'Manual Entry'!I279</f>
        <v/>
      </c>
      <c r="J307" s="78" t="str">
        <f>'Manual Entry'!J279</f>
        <v/>
      </c>
      <c r="K307" s="78" t="str">
        <f>'Manual Entry'!K279</f>
        <v/>
      </c>
      <c r="L307" s="78" t="str">
        <f>'Manual Entry'!L279</f>
        <v/>
      </c>
      <c r="M307" s="78" t="str">
        <f>'Manual Entry'!M279</f>
        <v/>
      </c>
      <c r="N307" s="78" t="str">
        <f>'Manual Entry'!N279</f>
        <v/>
      </c>
      <c r="O307" s="76">
        <f t="shared" si="6"/>
        <v>0</v>
      </c>
      <c r="P307" s="76">
        <f t="shared" si="7"/>
        <v>0</v>
      </c>
      <c r="Q307" s="76">
        <f t="shared" si="8"/>
        <v>0</v>
      </c>
      <c r="R307" s="76">
        <f t="shared" si="9"/>
        <v>0</v>
      </c>
      <c r="S307" s="76" t="str">
        <f t="shared" si="10"/>
        <v/>
      </c>
      <c r="T307" s="76" t="str">
        <f t="shared" si="11"/>
        <v/>
      </c>
      <c r="U307" s="76" t="str">
        <f t="shared" si="12"/>
        <v/>
      </c>
      <c r="V307" s="76" t="str">
        <f t="shared" si="13"/>
        <v/>
      </c>
      <c r="W307" s="76" t="str">
        <f t="shared" si="14"/>
        <v/>
      </c>
      <c r="X307" s="76" t="str">
        <f t="shared" si="15"/>
        <v/>
      </c>
      <c r="Y307" s="76" t="str">
        <f t="shared" si="16"/>
        <v/>
      </c>
      <c r="Z307" s="76" t="str">
        <f t="shared" si="17"/>
        <v/>
      </c>
      <c r="AA307" s="76" t="str">
        <f t="shared" si="18"/>
        <v/>
      </c>
      <c r="AB307" s="76" t="str">
        <f t="shared" si="19"/>
        <v/>
      </c>
      <c r="AC307" s="76" t="str">
        <f t="shared" si="20"/>
        <v/>
      </c>
      <c r="AD307" s="76" t="str">
        <f t="shared" si="21"/>
        <v/>
      </c>
      <c r="AE307" s="76" t="str">
        <f t="shared" si="22"/>
        <v/>
      </c>
      <c r="AF307" s="76" t="str">
        <f t="shared" si="23"/>
        <v/>
      </c>
      <c r="AG307" s="76" t="str">
        <f t="shared" si="24"/>
        <v/>
      </c>
      <c r="AH307" s="76" t="str">
        <f t="shared" si="25"/>
        <v/>
      </c>
      <c r="AI307" s="76" t="str">
        <f t="shared" si="26"/>
        <v/>
      </c>
      <c r="AJ307" s="76" t="str">
        <f t="shared" si="27"/>
        <v/>
      </c>
      <c r="AK307" s="76" t="str">
        <f t="shared" si="28"/>
        <v/>
      </c>
      <c r="AL307" s="76" t="str">
        <f t="shared" si="29"/>
        <v/>
      </c>
      <c r="AM307" s="76" t="str">
        <f t="shared" si="30"/>
        <v/>
      </c>
      <c r="AN307" s="76" t="str">
        <f t="shared" si="31"/>
        <v/>
      </c>
      <c r="AO307" s="76" t="str">
        <f t="shared" si="32"/>
        <v/>
      </c>
      <c r="AP307" s="76" t="str">
        <f t="shared" si="33"/>
        <v/>
      </c>
    </row>
    <row r="308" ht="15.75" customHeight="1">
      <c r="A308" s="76" t="str">
        <f>IF('Manual Entry'!A280="","",'Manual Entry'!A280)</f>
        <v/>
      </c>
      <c r="B308" s="76" t="str">
        <f t="shared" si="3"/>
        <v/>
      </c>
      <c r="C308" s="76" t="str">
        <f t="shared" si="4"/>
        <v/>
      </c>
      <c r="D308" s="76" t="str">
        <f>'Manual Entry'!D280</f>
        <v/>
      </c>
      <c r="E308" s="76" t="str">
        <f>'Manual Entry'!B280</f>
        <v/>
      </c>
      <c r="F308" s="76" t="str">
        <f>'Manual Entry'!F280</f>
        <v/>
      </c>
      <c r="G308" s="76" t="str">
        <f>'Manual Entry'!G280</f>
        <v/>
      </c>
      <c r="H308" s="76" t="str">
        <f>'Manual Entry'!H280</f>
        <v/>
      </c>
      <c r="I308" s="78" t="str">
        <f>'Manual Entry'!I280</f>
        <v/>
      </c>
      <c r="J308" s="78" t="str">
        <f>'Manual Entry'!J280</f>
        <v/>
      </c>
      <c r="K308" s="78" t="str">
        <f>'Manual Entry'!K280</f>
        <v/>
      </c>
      <c r="L308" s="78" t="str">
        <f>'Manual Entry'!L280</f>
        <v/>
      </c>
      <c r="M308" s="78" t="str">
        <f>'Manual Entry'!M280</f>
        <v/>
      </c>
      <c r="N308" s="78" t="str">
        <f>'Manual Entry'!N280</f>
        <v/>
      </c>
      <c r="O308" s="76">
        <f t="shared" si="6"/>
        <v>0</v>
      </c>
      <c r="P308" s="76">
        <f t="shared" si="7"/>
        <v>0</v>
      </c>
      <c r="Q308" s="76">
        <f t="shared" si="8"/>
        <v>0</v>
      </c>
      <c r="R308" s="76">
        <f t="shared" si="9"/>
        <v>0</v>
      </c>
      <c r="S308" s="76" t="str">
        <f t="shared" si="10"/>
        <v/>
      </c>
      <c r="T308" s="76" t="str">
        <f t="shared" si="11"/>
        <v/>
      </c>
      <c r="U308" s="76" t="str">
        <f t="shared" si="12"/>
        <v/>
      </c>
      <c r="V308" s="76" t="str">
        <f t="shared" si="13"/>
        <v/>
      </c>
      <c r="W308" s="76" t="str">
        <f t="shared" si="14"/>
        <v/>
      </c>
      <c r="X308" s="76" t="str">
        <f t="shared" si="15"/>
        <v/>
      </c>
      <c r="Y308" s="76" t="str">
        <f t="shared" si="16"/>
        <v/>
      </c>
      <c r="Z308" s="76" t="str">
        <f t="shared" si="17"/>
        <v/>
      </c>
      <c r="AA308" s="76" t="str">
        <f t="shared" si="18"/>
        <v/>
      </c>
      <c r="AB308" s="76" t="str">
        <f t="shared" si="19"/>
        <v/>
      </c>
      <c r="AC308" s="76" t="str">
        <f t="shared" si="20"/>
        <v/>
      </c>
      <c r="AD308" s="76" t="str">
        <f t="shared" si="21"/>
        <v/>
      </c>
      <c r="AE308" s="76" t="str">
        <f t="shared" si="22"/>
        <v/>
      </c>
      <c r="AF308" s="76" t="str">
        <f t="shared" si="23"/>
        <v/>
      </c>
      <c r="AG308" s="76" t="str">
        <f t="shared" si="24"/>
        <v/>
      </c>
      <c r="AH308" s="76" t="str">
        <f t="shared" si="25"/>
        <v/>
      </c>
      <c r="AI308" s="76" t="str">
        <f t="shared" si="26"/>
        <v/>
      </c>
      <c r="AJ308" s="76" t="str">
        <f t="shared" si="27"/>
        <v/>
      </c>
      <c r="AK308" s="76" t="str">
        <f t="shared" si="28"/>
        <v/>
      </c>
      <c r="AL308" s="76" t="str">
        <f t="shared" si="29"/>
        <v/>
      </c>
      <c r="AM308" s="76" t="str">
        <f t="shared" si="30"/>
        <v/>
      </c>
      <c r="AN308" s="76" t="str">
        <f t="shared" si="31"/>
        <v/>
      </c>
      <c r="AO308" s="76" t="str">
        <f t="shared" si="32"/>
        <v/>
      </c>
      <c r="AP308" s="76" t="str">
        <f t="shared" si="33"/>
        <v/>
      </c>
    </row>
    <row r="309" ht="15.75" customHeight="1">
      <c r="A309" s="76" t="str">
        <f>IF('Manual Entry'!A281="","",'Manual Entry'!A281)</f>
        <v/>
      </c>
      <c r="B309" s="76" t="str">
        <f t="shared" si="3"/>
        <v/>
      </c>
      <c r="C309" s="76" t="str">
        <f t="shared" si="4"/>
        <v/>
      </c>
      <c r="D309" s="76" t="str">
        <f>'Manual Entry'!D281</f>
        <v/>
      </c>
      <c r="E309" s="76" t="str">
        <f>'Manual Entry'!B281</f>
        <v/>
      </c>
      <c r="F309" s="76" t="str">
        <f>'Manual Entry'!F281</f>
        <v/>
      </c>
      <c r="G309" s="76" t="str">
        <f>'Manual Entry'!G281</f>
        <v/>
      </c>
      <c r="H309" s="76" t="str">
        <f>'Manual Entry'!H281</f>
        <v/>
      </c>
      <c r="I309" s="78" t="str">
        <f>'Manual Entry'!I281</f>
        <v/>
      </c>
      <c r="J309" s="78" t="str">
        <f>'Manual Entry'!J281</f>
        <v/>
      </c>
      <c r="K309" s="78" t="str">
        <f>'Manual Entry'!K281</f>
        <v/>
      </c>
      <c r="L309" s="78" t="str">
        <f>'Manual Entry'!L281</f>
        <v/>
      </c>
      <c r="M309" s="78" t="str">
        <f>'Manual Entry'!M281</f>
        <v/>
      </c>
      <c r="N309" s="78" t="str">
        <f>'Manual Entry'!N281</f>
        <v/>
      </c>
      <c r="O309" s="76">
        <f t="shared" si="6"/>
        <v>0</v>
      </c>
      <c r="P309" s="76">
        <f t="shared" si="7"/>
        <v>0</v>
      </c>
      <c r="Q309" s="76">
        <f t="shared" si="8"/>
        <v>0</v>
      </c>
      <c r="R309" s="76">
        <f t="shared" si="9"/>
        <v>0</v>
      </c>
      <c r="S309" s="76" t="str">
        <f t="shared" si="10"/>
        <v/>
      </c>
      <c r="T309" s="76" t="str">
        <f t="shared" si="11"/>
        <v/>
      </c>
      <c r="U309" s="76" t="str">
        <f t="shared" si="12"/>
        <v/>
      </c>
      <c r="V309" s="76" t="str">
        <f t="shared" si="13"/>
        <v/>
      </c>
      <c r="W309" s="76" t="str">
        <f t="shared" si="14"/>
        <v/>
      </c>
      <c r="X309" s="76" t="str">
        <f t="shared" si="15"/>
        <v/>
      </c>
      <c r="Y309" s="76" t="str">
        <f t="shared" si="16"/>
        <v/>
      </c>
      <c r="Z309" s="76" t="str">
        <f t="shared" si="17"/>
        <v/>
      </c>
      <c r="AA309" s="76" t="str">
        <f t="shared" si="18"/>
        <v/>
      </c>
      <c r="AB309" s="76" t="str">
        <f t="shared" si="19"/>
        <v/>
      </c>
      <c r="AC309" s="76" t="str">
        <f t="shared" si="20"/>
        <v/>
      </c>
      <c r="AD309" s="76" t="str">
        <f t="shared" si="21"/>
        <v/>
      </c>
      <c r="AE309" s="76" t="str">
        <f t="shared" si="22"/>
        <v/>
      </c>
      <c r="AF309" s="76" t="str">
        <f t="shared" si="23"/>
        <v/>
      </c>
      <c r="AG309" s="76" t="str">
        <f t="shared" si="24"/>
        <v/>
      </c>
      <c r="AH309" s="76" t="str">
        <f t="shared" si="25"/>
        <v/>
      </c>
      <c r="AI309" s="76" t="str">
        <f t="shared" si="26"/>
        <v/>
      </c>
      <c r="AJ309" s="76" t="str">
        <f t="shared" si="27"/>
        <v/>
      </c>
      <c r="AK309" s="76" t="str">
        <f t="shared" si="28"/>
        <v/>
      </c>
      <c r="AL309" s="76" t="str">
        <f t="shared" si="29"/>
        <v/>
      </c>
      <c r="AM309" s="76" t="str">
        <f t="shared" si="30"/>
        <v/>
      </c>
      <c r="AN309" s="76" t="str">
        <f t="shared" si="31"/>
        <v/>
      </c>
      <c r="AO309" s="76" t="str">
        <f t="shared" si="32"/>
        <v/>
      </c>
      <c r="AP309" s="76" t="str">
        <f t="shared" si="33"/>
        <v/>
      </c>
    </row>
    <row r="310" ht="15.75" customHeight="1">
      <c r="A310" s="76" t="str">
        <f>IF('Manual Entry'!A282="","",'Manual Entry'!A282)</f>
        <v/>
      </c>
      <c r="B310" s="76" t="str">
        <f t="shared" si="3"/>
        <v/>
      </c>
      <c r="C310" s="76" t="str">
        <f t="shared" si="4"/>
        <v/>
      </c>
      <c r="D310" s="76" t="str">
        <f>'Manual Entry'!D282</f>
        <v/>
      </c>
      <c r="E310" s="76" t="str">
        <f>'Manual Entry'!B282</f>
        <v/>
      </c>
      <c r="F310" s="76" t="str">
        <f>'Manual Entry'!F282</f>
        <v/>
      </c>
      <c r="G310" s="76" t="str">
        <f>'Manual Entry'!G282</f>
        <v/>
      </c>
      <c r="H310" s="76" t="str">
        <f>'Manual Entry'!H282</f>
        <v/>
      </c>
      <c r="I310" s="78" t="str">
        <f>'Manual Entry'!I282</f>
        <v/>
      </c>
      <c r="J310" s="78" t="str">
        <f>'Manual Entry'!J282</f>
        <v/>
      </c>
      <c r="K310" s="78" t="str">
        <f>'Manual Entry'!K282</f>
        <v/>
      </c>
      <c r="L310" s="78" t="str">
        <f>'Manual Entry'!L282</f>
        <v/>
      </c>
      <c r="M310" s="78" t="str">
        <f>'Manual Entry'!M282</f>
        <v/>
      </c>
      <c r="N310" s="78" t="str">
        <f>'Manual Entry'!N282</f>
        <v/>
      </c>
      <c r="O310" s="76">
        <f t="shared" si="6"/>
        <v>0</v>
      </c>
      <c r="P310" s="76">
        <f t="shared" si="7"/>
        <v>0</v>
      </c>
      <c r="Q310" s="76">
        <f t="shared" si="8"/>
        <v>0</v>
      </c>
      <c r="R310" s="76">
        <f t="shared" si="9"/>
        <v>0</v>
      </c>
      <c r="S310" s="76" t="str">
        <f t="shared" si="10"/>
        <v/>
      </c>
      <c r="T310" s="76" t="str">
        <f t="shared" si="11"/>
        <v/>
      </c>
      <c r="U310" s="76" t="str">
        <f t="shared" si="12"/>
        <v/>
      </c>
      <c r="V310" s="76" t="str">
        <f t="shared" si="13"/>
        <v/>
      </c>
      <c r="W310" s="76" t="str">
        <f t="shared" si="14"/>
        <v/>
      </c>
      <c r="X310" s="76" t="str">
        <f t="shared" si="15"/>
        <v/>
      </c>
      <c r="Y310" s="76" t="str">
        <f t="shared" si="16"/>
        <v/>
      </c>
      <c r="Z310" s="76" t="str">
        <f t="shared" si="17"/>
        <v/>
      </c>
      <c r="AA310" s="76" t="str">
        <f t="shared" si="18"/>
        <v/>
      </c>
      <c r="AB310" s="76" t="str">
        <f t="shared" si="19"/>
        <v/>
      </c>
      <c r="AC310" s="76" t="str">
        <f t="shared" si="20"/>
        <v/>
      </c>
      <c r="AD310" s="76" t="str">
        <f t="shared" si="21"/>
        <v/>
      </c>
      <c r="AE310" s="76" t="str">
        <f t="shared" si="22"/>
        <v/>
      </c>
      <c r="AF310" s="76" t="str">
        <f t="shared" si="23"/>
        <v/>
      </c>
      <c r="AG310" s="76" t="str">
        <f t="shared" si="24"/>
        <v/>
      </c>
      <c r="AH310" s="76" t="str">
        <f t="shared" si="25"/>
        <v/>
      </c>
      <c r="AI310" s="76" t="str">
        <f t="shared" si="26"/>
        <v/>
      </c>
      <c r="AJ310" s="76" t="str">
        <f t="shared" si="27"/>
        <v/>
      </c>
      <c r="AK310" s="76" t="str">
        <f t="shared" si="28"/>
        <v/>
      </c>
      <c r="AL310" s="76" t="str">
        <f t="shared" si="29"/>
        <v/>
      </c>
      <c r="AM310" s="76" t="str">
        <f t="shared" si="30"/>
        <v/>
      </c>
      <c r="AN310" s="76" t="str">
        <f t="shared" si="31"/>
        <v/>
      </c>
      <c r="AO310" s="76" t="str">
        <f t="shared" si="32"/>
        <v/>
      </c>
      <c r="AP310" s="76" t="str">
        <f t="shared" si="33"/>
        <v/>
      </c>
    </row>
    <row r="311" ht="15.75" customHeight="1">
      <c r="A311" s="76" t="str">
        <f>IF('Manual Entry'!A283="","",'Manual Entry'!A283)</f>
        <v/>
      </c>
      <c r="B311" s="76" t="str">
        <f t="shared" si="3"/>
        <v/>
      </c>
      <c r="C311" s="76" t="str">
        <f t="shared" si="4"/>
        <v/>
      </c>
      <c r="D311" s="76" t="str">
        <f>'Manual Entry'!D283</f>
        <v/>
      </c>
      <c r="E311" s="76" t="str">
        <f>'Manual Entry'!B283</f>
        <v/>
      </c>
      <c r="F311" s="76" t="str">
        <f>'Manual Entry'!F283</f>
        <v/>
      </c>
      <c r="G311" s="76" t="str">
        <f>'Manual Entry'!G283</f>
        <v/>
      </c>
      <c r="H311" s="76" t="str">
        <f>'Manual Entry'!H283</f>
        <v/>
      </c>
      <c r="I311" s="78" t="str">
        <f>'Manual Entry'!I283</f>
        <v/>
      </c>
      <c r="J311" s="78" t="str">
        <f>'Manual Entry'!J283</f>
        <v/>
      </c>
      <c r="K311" s="78" t="str">
        <f>'Manual Entry'!K283</f>
        <v/>
      </c>
      <c r="L311" s="78" t="str">
        <f>'Manual Entry'!L283</f>
        <v/>
      </c>
      <c r="M311" s="78" t="str">
        <f>'Manual Entry'!M283</f>
        <v/>
      </c>
      <c r="N311" s="78" t="str">
        <f>'Manual Entry'!N283</f>
        <v/>
      </c>
      <c r="O311" s="76">
        <f t="shared" si="6"/>
        <v>0</v>
      </c>
      <c r="P311" s="76">
        <f t="shared" si="7"/>
        <v>0</v>
      </c>
      <c r="Q311" s="76">
        <f t="shared" si="8"/>
        <v>0</v>
      </c>
      <c r="R311" s="76">
        <f t="shared" si="9"/>
        <v>0</v>
      </c>
      <c r="S311" s="76" t="str">
        <f t="shared" si="10"/>
        <v/>
      </c>
      <c r="T311" s="76" t="str">
        <f t="shared" si="11"/>
        <v/>
      </c>
      <c r="U311" s="76" t="str">
        <f t="shared" si="12"/>
        <v/>
      </c>
      <c r="V311" s="76" t="str">
        <f t="shared" si="13"/>
        <v/>
      </c>
      <c r="W311" s="76" t="str">
        <f t="shared" si="14"/>
        <v/>
      </c>
      <c r="X311" s="76" t="str">
        <f t="shared" si="15"/>
        <v/>
      </c>
      <c r="Y311" s="76" t="str">
        <f t="shared" si="16"/>
        <v/>
      </c>
      <c r="Z311" s="76" t="str">
        <f t="shared" si="17"/>
        <v/>
      </c>
      <c r="AA311" s="76" t="str">
        <f t="shared" si="18"/>
        <v/>
      </c>
      <c r="AB311" s="76" t="str">
        <f t="shared" si="19"/>
        <v/>
      </c>
      <c r="AC311" s="76" t="str">
        <f t="shared" si="20"/>
        <v/>
      </c>
      <c r="AD311" s="76" t="str">
        <f t="shared" si="21"/>
        <v/>
      </c>
      <c r="AE311" s="76" t="str">
        <f t="shared" si="22"/>
        <v/>
      </c>
      <c r="AF311" s="76" t="str">
        <f t="shared" si="23"/>
        <v/>
      </c>
      <c r="AG311" s="76" t="str">
        <f t="shared" si="24"/>
        <v/>
      </c>
      <c r="AH311" s="76" t="str">
        <f t="shared" si="25"/>
        <v/>
      </c>
      <c r="AI311" s="76" t="str">
        <f t="shared" si="26"/>
        <v/>
      </c>
      <c r="AJ311" s="76" t="str">
        <f t="shared" si="27"/>
        <v/>
      </c>
      <c r="AK311" s="76" t="str">
        <f t="shared" si="28"/>
        <v/>
      </c>
      <c r="AL311" s="76" t="str">
        <f t="shared" si="29"/>
        <v/>
      </c>
      <c r="AM311" s="76" t="str">
        <f t="shared" si="30"/>
        <v/>
      </c>
      <c r="AN311" s="76" t="str">
        <f t="shared" si="31"/>
        <v/>
      </c>
      <c r="AO311" s="76" t="str">
        <f t="shared" si="32"/>
        <v/>
      </c>
      <c r="AP311" s="76" t="str">
        <f t="shared" si="33"/>
        <v/>
      </c>
    </row>
    <row r="312" ht="15.75" customHeight="1">
      <c r="A312" s="76" t="str">
        <f>IF('Manual Entry'!A284="","",'Manual Entry'!A284)</f>
        <v/>
      </c>
      <c r="B312" s="76" t="str">
        <f t="shared" si="3"/>
        <v/>
      </c>
      <c r="C312" s="76" t="str">
        <f t="shared" si="4"/>
        <v/>
      </c>
      <c r="D312" s="76" t="str">
        <f>'Manual Entry'!D284</f>
        <v/>
      </c>
      <c r="E312" s="76" t="str">
        <f>'Manual Entry'!B284</f>
        <v/>
      </c>
      <c r="F312" s="76" t="str">
        <f>'Manual Entry'!F284</f>
        <v/>
      </c>
      <c r="G312" s="76" t="str">
        <f>'Manual Entry'!G284</f>
        <v/>
      </c>
      <c r="H312" s="76" t="str">
        <f>'Manual Entry'!H284</f>
        <v/>
      </c>
      <c r="I312" s="78" t="str">
        <f>'Manual Entry'!I284</f>
        <v/>
      </c>
      <c r="J312" s="78" t="str">
        <f>'Manual Entry'!J284</f>
        <v/>
      </c>
      <c r="K312" s="78" t="str">
        <f>'Manual Entry'!K284</f>
        <v/>
      </c>
      <c r="L312" s="78" t="str">
        <f>'Manual Entry'!L284</f>
        <v/>
      </c>
      <c r="M312" s="78" t="str">
        <f>'Manual Entry'!M284</f>
        <v/>
      </c>
      <c r="N312" s="78" t="str">
        <f>'Manual Entry'!N284</f>
        <v/>
      </c>
      <c r="O312" s="76">
        <f t="shared" si="6"/>
        <v>0</v>
      </c>
      <c r="P312" s="76">
        <f t="shared" si="7"/>
        <v>0</v>
      </c>
      <c r="Q312" s="76">
        <f t="shared" si="8"/>
        <v>0</v>
      </c>
      <c r="R312" s="76">
        <f t="shared" si="9"/>
        <v>0</v>
      </c>
      <c r="S312" s="76" t="str">
        <f t="shared" si="10"/>
        <v/>
      </c>
      <c r="T312" s="76" t="str">
        <f t="shared" si="11"/>
        <v/>
      </c>
      <c r="U312" s="76" t="str">
        <f t="shared" si="12"/>
        <v/>
      </c>
      <c r="V312" s="76" t="str">
        <f t="shared" si="13"/>
        <v/>
      </c>
      <c r="W312" s="76" t="str">
        <f t="shared" si="14"/>
        <v/>
      </c>
      <c r="X312" s="76" t="str">
        <f t="shared" si="15"/>
        <v/>
      </c>
      <c r="Y312" s="76" t="str">
        <f t="shared" si="16"/>
        <v/>
      </c>
      <c r="Z312" s="76" t="str">
        <f t="shared" si="17"/>
        <v/>
      </c>
      <c r="AA312" s="76" t="str">
        <f t="shared" si="18"/>
        <v/>
      </c>
      <c r="AB312" s="76" t="str">
        <f t="shared" si="19"/>
        <v/>
      </c>
      <c r="AC312" s="76" t="str">
        <f t="shared" si="20"/>
        <v/>
      </c>
      <c r="AD312" s="76" t="str">
        <f t="shared" si="21"/>
        <v/>
      </c>
      <c r="AE312" s="76" t="str">
        <f t="shared" si="22"/>
        <v/>
      </c>
      <c r="AF312" s="76" t="str">
        <f t="shared" si="23"/>
        <v/>
      </c>
      <c r="AG312" s="76" t="str">
        <f t="shared" si="24"/>
        <v/>
      </c>
      <c r="AH312" s="76" t="str">
        <f t="shared" si="25"/>
        <v/>
      </c>
      <c r="AI312" s="76" t="str">
        <f t="shared" si="26"/>
        <v/>
      </c>
      <c r="AJ312" s="76" t="str">
        <f t="shared" si="27"/>
        <v/>
      </c>
      <c r="AK312" s="76" t="str">
        <f t="shared" si="28"/>
        <v/>
      </c>
      <c r="AL312" s="76" t="str">
        <f t="shared" si="29"/>
        <v/>
      </c>
      <c r="AM312" s="76" t="str">
        <f t="shared" si="30"/>
        <v/>
      </c>
      <c r="AN312" s="76" t="str">
        <f t="shared" si="31"/>
        <v/>
      </c>
      <c r="AO312" s="76" t="str">
        <f t="shared" si="32"/>
        <v/>
      </c>
      <c r="AP312" s="76" t="str">
        <f t="shared" si="33"/>
        <v/>
      </c>
    </row>
    <row r="313" ht="15.75" customHeight="1">
      <c r="A313" s="76" t="str">
        <f>IF('Manual Entry'!A285="","",'Manual Entry'!A285)</f>
        <v/>
      </c>
      <c r="B313" s="76" t="str">
        <f t="shared" si="3"/>
        <v/>
      </c>
      <c r="C313" s="76" t="str">
        <f t="shared" si="4"/>
        <v/>
      </c>
      <c r="D313" s="76" t="str">
        <f>'Manual Entry'!D285</f>
        <v/>
      </c>
      <c r="E313" s="76" t="str">
        <f>'Manual Entry'!B285</f>
        <v/>
      </c>
      <c r="F313" s="76" t="str">
        <f>'Manual Entry'!F285</f>
        <v/>
      </c>
      <c r="G313" s="76" t="str">
        <f>'Manual Entry'!G285</f>
        <v/>
      </c>
      <c r="H313" s="76" t="str">
        <f>'Manual Entry'!H285</f>
        <v/>
      </c>
      <c r="I313" s="78" t="str">
        <f>'Manual Entry'!I285</f>
        <v/>
      </c>
      <c r="J313" s="78" t="str">
        <f>'Manual Entry'!J285</f>
        <v/>
      </c>
      <c r="K313" s="78" t="str">
        <f>'Manual Entry'!K285</f>
        <v/>
      </c>
      <c r="L313" s="78" t="str">
        <f>'Manual Entry'!L285</f>
        <v/>
      </c>
      <c r="M313" s="78" t="str">
        <f>'Manual Entry'!M285</f>
        <v/>
      </c>
      <c r="N313" s="78" t="str">
        <f>'Manual Entry'!N285</f>
        <v/>
      </c>
      <c r="O313" s="76">
        <f t="shared" si="6"/>
        <v>0</v>
      </c>
      <c r="P313" s="76">
        <f t="shared" si="7"/>
        <v>0</v>
      </c>
      <c r="Q313" s="76">
        <f t="shared" si="8"/>
        <v>0</v>
      </c>
      <c r="R313" s="76">
        <f t="shared" si="9"/>
        <v>0</v>
      </c>
      <c r="S313" s="76" t="str">
        <f t="shared" si="10"/>
        <v/>
      </c>
      <c r="T313" s="76" t="str">
        <f t="shared" si="11"/>
        <v/>
      </c>
      <c r="U313" s="76" t="str">
        <f t="shared" si="12"/>
        <v/>
      </c>
      <c r="V313" s="76" t="str">
        <f t="shared" si="13"/>
        <v/>
      </c>
      <c r="W313" s="76" t="str">
        <f t="shared" si="14"/>
        <v/>
      </c>
      <c r="X313" s="76" t="str">
        <f t="shared" si="15"/>
        <v/>
      </c>
      <c r="Y313" s="76" t="str">
        <f t="shared" si="16"/>
        <v/>
      </c>
      <c r="Z313" s="76" t="str">
        <f t="shared" si="17"/>
        <v/>
      </c>
      <c r="AA313" s="76" t="str">
        <f t="shared" si="18"/>
        <v/>
      </c>
      <c r="AB313" s="76" t="str">
        <f t="shared" si="19"/>
        <v/>
      </c>
      <c r="AC313" s="76" t="str">
        <f t="shared" si="20"/>
        <v/>
      </c>
      <c r="AD313" s="76" t="str">
        <f t="shared" si="21"/>
        <v/>
      </c>
      <c r="AE313" s="76" t="str">
        <f t="shared" si="22"/>
        <v/>
      </c>
      <c r="AF313" s="76" t="str">
        <f t="shared" si="23"/>
        <v/>
      </c>
      <c r="AG313" s="76" t="str">
        <f t="shared" si="24"/>
        <v/>
      </c>
      <c r="AH313" s="76" t="str">
        <f t="shared" si="25"/>
        <v/>
      </c>
      <c r="AI313" s="76" t="str">
        <f t="shared" si="26"/>
        <v/>
      </c>
      <c r="AJ313" s="76" t="str">
        <f t="shared" si="27"/>
        <v/>
      </c>
      <c r="AK313" s="76" t="str">
        <f t="shared" si="28"/>
        <v/>
      </c>
      <c r="AL313" s="76" t="str">
        <f t="shared" si="29"/>
        <v/>
      </c>
      <c r="AM313" s="76" t="str">
        <f t="shared" si="30"/>
        <v/>
      </c>
      <c r="AN313" s="76" t="str">
        <f t="shared" si="31"/>
        <v/>
      </c>
      <c r="AO313" s="76" t="str">
        <f t="shared" si="32"/>
        <v/>
      </c>
      <c r="AP313" s="76" t="str">
        <f t="shared" si="33"/>
        <v/>
      </c>
    </row>
    <row r="314" ht="15.75" customHeight="1">
      <c r="A314" s="76" t="str">
        <f>IF('Manual Entry'!A286="","",'Manual Entry'!A286)</f>
        <v/>
      </c>
      <c r="B314" s="76" t="str">
        <f t="shared" si="3"/>
        <v/>
      </c>
      <c r="C314" s="76" t="str">
        <f t="shared" si="4"/>
        <v/>
      </c>
      <c r="D314" s="76" t="str">
        <f>'Manual Entry'!D286</f>
        <v/>
      </c>
      <c r="E314" s="76" t="str">
        <f>'Manual Entry'!B286</f>
        <v/>
      </c>
      <c r="F314" s="76" t="str">
        <f>'Manual Entry'!F286</f>
        <v/>
      </c>
      <c r="G314" s="76" t="str">
        <f>'Manual Entry'!G286</f>
        <v/>
      </c>
      <c r="H314" s="76" t="str">
        <f>'Manual Entry'!H286</f>
        <v/>
      </c>
      <c r="I314" s="78" t="str">
        <f>'Manual Entry'!I286</f>
        <v/>
      </c>
      <c r="J314" s="78" t="str">
        <f>'Manual Entry'!J286</f>
        <v/>
      </c>
      <c r="K314" s="78" t="str">
        <f>'Manual Entry'!K286</f>
        <v/>
      </c>
      <c r="L314" s="78" t="str">
        <f>'Manual Entry'!L286</f>
        <v/>
      </c>
      <c r="M314" s="78" t="str">
        <f>'Manual Entry'!M286</f>
        <v/>
      </c>
      <c r="N314" s="78" t="str">
        <f>'Manual Entry'!N286</f>
        <v/>
      </c>
      <c r="O314" s="76">
        <f t="shared" si="6"/>
        <v>0</v>
      </c>
      <c r="P314" s="76">
        <f t="shared" si="7"/>
        <v>0</v>
      </c>
      <c r="Q314" s="76">
        <f t="shared" si="8"/>
        <v>0</v>
      </c>
      <c r="R314" s="76">
        <f t="shared" si="9"/>
        <v>0</v>
      </c>
      <c r="S314" s="76" t="str">
        <f t="shared" si="10"/>
        <v/>
      </c>
      <c r="T314" s="76" t="str">
        <f t="shared" si="11"/>
        <v/>
      </c>
      <c r="U314" s="76" t="str">
        <f t="shared" si="12"/>
        <v/>
      </c>
      <c r="V314" s="76" t="str">
        <f t="shared" si="13"/>
        <v/>
      </c>
      <c r="W314" s="76" t="str">
        <f t="shared" si="14"/>
        <v/>
      </c>
      <c r="X314" s="76" t="str">
        <f t="shared" si="15"/>
        <v/>
      </c>
      <c r="Y314" s="76" t="str">
        <f t="shared" si="16"/>
        <v/>
      </c>
      <c r="Z314" s="76" t="str">
        <f t="shared" si="17"/>
        <v/>
      </c>
      <c r="AA314" s="76" t="str">
        <f t="shared" si="18"/>
        <v/>
      </c>
      <c r="AB314" s="76" t="str">
        <f t="shared" si="19"/>
        <v/>
      </c>
      <c r="AC314" s="76" t="str">
        <f t="shared" si="20"/>
        <v/>
      </c>
      <c r="AD314" s="76" t="str">
        <f t="shared" si="21"/>
        <v/>
      </c>
      <c r="AE314" s="76" t="str">
        <f t="shared" si="22"/>
        <v/>
      </c>
      <c r="AF314" s="76" t="str">
        <f t="shared" si="23"/>
        <v/>
      </c>
      <c r="AG314" s="76" t="str">
        <f t="shared" si="24"/>
        <v/>
      </c>
      <c r="AH314" s="76" t="str">
        <f t="shared" si="25"/>
        <v/>
      </c>
      <c r="AI314" s="76" t="str">
        <f t="shared" si="26"/>
        <v/>
      </c>
      <c r="AJ314" s="76" t="str">
        <f t="shared" si="27"/>
        <v/>
      </c>
      <c r="AK314" s="76" t="str">
        <f t="shared" si="28"/>
        <v/>
      </c>
      <c r="AL314" s="76" t="str">
        <f t="shared" si="29"/>
        <v/>
      </c>
      <c r="AM314" s="76" t="str">
        <f t="shared" si="30"/>
        <v/>
      </c>
      <c r="AN314" s="76" t="str">
        <f t="shared" si="31"/>
        <v/>
      </c>
      <c r="AO314" s="76" t="str">
        <f t="shared" si="32"/>
        <v/>
      </c>
      <c r="AP314" s="76" t="str">
        <f t="shared" si="33"/>
        <v/>
      </c>
    </row>
    <row r="315" ht="15.75" customHeight="1">
      <c r="A315" s="76" t="str">
        <f>IF('Manual Entry'!A287="","",'Manual Entry'!A287)</f>
        <v/>
      </c>
      <c r="B315" s="76" t="str">
        <f t="shared" si="3"/>
        <v/>
      </c>
      <c r="C315" s="76" t="str">
        <f t="shared" si="4"/>
        <v/>
      </c>
      <c r="D315" s="76" t="str">
        <f>'Manual Entry'!D287</f>
        <v/>
      </c>
      <c r="E315" s="76" t="str">
        <f>'Manual Entry'!B287</f>
        <v/>
      </c>
      <c r="F315" s="76" t="str">
        <f>'Manual Entry'!F287</f>
        <v/>
      </c>
      <c r="G315" s="76" t="str">
        <f>'Manual Entry'!G287</f>
        <v/>
      </c>
      <c r="H315" s="76" t="str">
        <f>'Manual Entry'!H287</f>
        <v/>
      </c>
      <c r="I315" s="78" t="str">
        <f>'Manual Entry'!I287</f>
        <v/>
      </c>
      <c r="J315" s="78" t="str">
        <f>'Manual Entry'!J287</f>
        <v/>
      </c>
      <c r="K315" s="78" t="str">
        <f>'Manual Entry'!K287</f>
        <v/>
      </c>
      <c r="L315" s="78" t="str">
        <f>'Manual Entry'!L287</f>
        <v/>
      </c>
      <c r="M315" s="78" t="str">
        <f>'Manual Entry'!M287</f>
        <v/>
      </c>
      <c r="N315" s="78" t="str">
        <f>'Manual Entry'!N287</f>
        <v/>
      </c>
      <c r="O315" s="76">
        <f t="shared" si="6"/>
        <v>0</v>
      </c>
      <c r="P315" s="76">
        <f t="shared" si="7"/>
        <v>0</v>
      </c>
      <c r="Q315" s="76">
        <f t="shared" si="8"/>
        <v>0</v>
      </c>
      <c r="R315" s="76">
        <f t="shared" si="9"/>
        <v>0</v>
      </c>
      <c r="S315" s="76" t="str">
        <f t="shared" si="10"/>
        <v/>
      </c>
      <c r="T315" s="76" t="str">
        <f t="shared" si="11"/>
        <v/>
      </c>
      <c r="U315" s="76" t="str">
        <f t="shared" si="12"/>
        <v/>
      </c>
      <c r="V315" s="76" t="str">
        <f t="shared" si="13"/>
        <v/>
      </c>
      <c r="W315" s="76" t="str">
        <f t="shared" si="14"/>
        <v/>
      </c>
      <c r="X315" s="76" t="str">
        <f t="shared" si="15"/>
        <v/>
      </c>
      <c r="Y315" s="76" t="str">
        <f t="shared" si="16"/>
        <v/>
      </c>
      <c r="Z315" s="76" t="str">
        <f t="shared" si="17"/>
        <v/>
      </c>
      <c r="AA315" s="76" t="str">
        <f t="shared" si="18"/>
        <v/>
      </c>
      <c r="AB315" s="76" t="str">
        <f t="shared" si="19"/>
        <v/>
      </c>
      <c r="AC315" s="76" t="str">
        <f t="shared" si="20"/>
        <v/>
      </c>
      <c r="AD315" s="76" t="str">
        <f t="shared" si="21"/>
        <v/>
      </c>
      <c r="AE315" s="76" t="str">
        <f t="shared" si="22"/>
        <v/>
      </c>
      <c r="AF315" s="76" t="str">
        <f t="shared" si="23"/>
        <v/>
      </c>
      <c r="AG315" s="76" t="str">
        <f t="shared" si="24"/>
        <v/>
      </c>
      <c r="AH315" s="76" t="str">
        <f t="shared" si="25"/>
        <v/>
      </c>
      <c r="AI315" s="76" t="str">
        <f t="shared" si="26"/>
        <v/>
      </c>
      <c r="AJ315" s="76" t="str">
        <f t="shared" si="27"/>
        <v/>
      </c>
      <c r="AK315" s="76" t="str">
        <f t="shared" si="28"/>
        <v/>
      </c>
      <c r="AL315" s="76" t="str">
        <f t="shared" si="29"/>
        <v/>
      </c>
      <c r="AM315" s="76" t="str">
        <f t="shared" si="30"/>
        <v/>
      </c>
      <c r="AN315" s="76" t="str">
        <f t="shared" si="31"/>
        <v/>
      </c>
      <c r="AO315" s="76" t="str">
        <f t="shared" si="32"/>
        <v/>
      </c>
      <c r="AP315" s="76" t="str">
        <f t="shared" si="33"/>
        <v/>
      </c>
    </row>
    <row r="316" ht="15.75" customHeight="1">
      <c r="A316" s="76" t="str">
        <f>IF('Manual Entry'!A288="","",'Manual Entry'!A288)</f>
        <v/>
      </c>
      <c r="B316" s="76" t="str">
        <f t="shared" si="3"/>
        <v/>
      </c>
      <c r="C316" s="76" t="str">
        <f t="shared" si="4"/>
        <v/>
      </c>
      <c r="D316" s="76" t="str">
        <f>'Manual Entry'!D288</f>
        <v/>
      </c>
      <c r="E316" s="76" t="str">
        <f>'Manual Entry'!B288</f>
        <v/>
      </c>
      <c r="F316" s="76" t="str">
        <f>'Manual Entry'!F288</f>
        <v/>
      </c>
      <c r="G316" s="76" t="str">
        <f>'Manual Entry'!G288</f>
        <v/>
      </c>
      <c r="H316" s="76" t="str">
        <f>'Manual Entry'!H288</f>
        <v/>
      </c>
      <c r="I316" s="78" t="str">
        <f>'Manual Entry'!I288</f>
        <v/>
      </c>
      <c r="J316" s="78" t="str">
        <f>'Manual Entry'!J288</f>
        <v/>
      </c>
      <c r="K316" s="78" t="str">
        <f>'Manual Entry'!K288</f>
        <v/>
      </c>
      <c r="L316" s="78" t="str">
        <f>'Manual Entry'!L288</f>
        <v/>
      </c>
      <c r="M316" s="78" t="str">
        <f>'Manual Entry'!M288</f>
        <v/>
      </c>
      <c r="N316" s="78" t="str">
        <f>'Manual Entry'!N288</f>
        <v/>
      </c>
      <c r="O316" s="76">
        <f t="shared" si="6"/>
        <v>0</v>
      </c>
      <c r="P316" s="76">
        <f t="shared" si="7"/>
        <v>0</v>
      </c>
      <c r="Q316" s="76">
        <f t="shared" si="8"/>
        <v>0</v>
      </c>
      <c r="R316" s="76">
        <f t="shared" si="9"/>
        <v>0</v>
      </c>
      <c r="S316" s="76" t="str">
        <f t="shared" si="10"/>
        <v/>
      </c>
      <c r="T316" s="76" t="str">
        <f t="shared" si="11"/>
        <v/>
      </c>
      <c r="U316" s="76" t="str">
        <f t="shared" si="12"/>
        <v/>
      </c>
      <c r="V316" s="76" t="str">
        <f t="shared" si="13"/>
        <v/>
      </c>
      <c r="W316" s="76" t="str">
        <f t="shared" si="14"/>
        <v/>
      </c>
      <c r="X316" s="76" t="str">
        <f t="shared" si="15"/>
        <v/>
      </c>
      <c r="Y316" s="76" t="str">
        <f t="shared" si="16"/>
        <v/>
      </c>
      <c r="Z316" s="76" t="str">
        <f t="shared" si="17"/>
        <v/>
      </c>
      <c r="AA316" s="76" t="str">
        <f t="shared" si="18"/>
        <v/>
      </c>
      <c r="AB316" s="76" t="str">
        <f t="shared" si="19"/>
        <v/>
      </c>
      <c r="AC316" s="76" t="str">
        <f t="shared" si="20"/>
        <v/>
      </c>
      <c r="AD316" s="76" t="str">
        <f t="shared" si="21"/>
        <v/>
      </c>
      <c r="AE316" s="76" t="str">
        <f t="shared" si="22"/>
        <v/>
      </c>
      <c r="AF316" s="76" t="str">
        <f t="shared" si="23"/>
        <v/>
      </c>
      <c r="AG316" s="76" t="str">
        <f t="shared" si="24"/>
        <v/>
      </c>
      <c r="AH316" s="76" t="str">
        <f t="shared" si="25"/>
        <v/>
      </c>
      <c r="AI316" s="76" t="str">
        <f t="shared" si="26"/>
        <v/>
      </c>
      <c r="AJ316" s="76" t="str">
        <f t="shared" si="27"/>
        <v/>
      </c>
      <c r="AK316" s="76" t="str">
        <f t="shared" si="28"/>
        <v/>
      </c>
      <c r="AL316" s="76" t="str">
        <f t="shared" si="29"/>
        <v/>
      </c>
      <c r="AM316" s="76" t="str">
        <f t="shared" si="30"/>
        <v/>
      </c>
      <c r="AN316" s="76" t="str">
        <f t="shared" si="31"/>
        <v/>
      </c>
      <c r="AO316" s="76" t="str">
        <f t="shared" si="32"/>
        <v/>
      </c>
      <c r="AP316" s="76" t="str">
        <f t="shared" si="33"/>
        <v/>
      </c>
    </row>
    <row r="317" ht="15.75" customHeight="1">
      <c r="A317" s="76" t="str">
        <f>IF('Manual Entry'!A289="","",'Manual Entry'!A289)</f>
        <v/>
      </c>
      <c r="B317" s="76" t="str">
        <f t="shared" si="3"/>
        <v/>
      </c>
      <c r="C317" s="76" t="str">
        <f t="shared" si="4"/>
        <v/>
      </c>
      <c r="D317" s="76" t="str">
        <f>'Manual Entry'!D289</f>
        <v/>
      </c>
      <c r="E317" s="76" t="str">
        <f>'Manual Entry'!B289</f>
        <v/>
      </c>
      <c r="F317" s="76" t="str">
        <f>'Manual Entry'!F289</f>
        <v/>
      </c>
      <c r="G317" s="76" t="str">
        <f>'Manual Entry'!G289</f>
        <v/>
      </c>
      <c r="H317" s="76" t="str">
        <f>'Manual Entry'!H289</f>
        <v/>
      </c>
      <c r="I317" s="78" t="str">
        <f>'Manual Entry'!I289</f>
        <v/>
      </c>
      <c r="J317" s="78" t="str">
        <f>'Manual Entry'!J289</f>
        <v/>
      </c>
      <c r="K317" s="78" t="str">
        <f>'Manual Entry'!K289</f>
        <v/>
      </c>
      <c r="L317" s="78" t="str">
        <f>'Manual Entry'!L289</f>
        <v/>
      </c>
      <c r="M317" s="78" t="str">
        <f>'Manual Entry'!M289</f>
        <v/>
      </c>
      <c r="N317" s="78" t="str">
        <f>'Manual Entry'!N289</f>
        <v/>
      </c>
      <c r="O317" s="76">
        <f t="shared" si="6"/>
        <v>0</v>
      </c>
      <c r="P317" s="76">
        <f t="shared" si="7"/>
        <v>0</v>
      </c>
      <c r="Q317" s="76">
        <f t="shared" si="8"/>
        <v>0</v>
      </c>
      <c r="R317" s="76">
        <f t="shared" si="9"/>
        <v>0</v>
      </c>
      <c r="S317" s="76" t="str">
        <f t="shared" si="10"/>
        <v/>
      </c>
      <c r="T317" s="76" t="str">
        <f t="shared" si="11"/>
        <v/>
      </c>
      <c r="U317" s="76" t="str">
        <f t="shared" si="12"/>
        <v/>
      </c>
      <c r="V317" s="76" t="str">
        <f t="shared" si="13"/>
        <v/>
      </c>
      <c r="W317" s="76" t="str">
        <f t="shared" si="14"/>
        <v/>
      </c>
      <c r="X317" s="76" t="str">
        <f t="shared" si="15"/>
        <v/>
      </c>
      <c r="Y317" s="76" t="str">
        <f t="shared" si="16"/>
        <v/>
      </c>
      <c r="Z317" s="76" t="str">
        <f t="shared" si="17"/>
        <v/>
      </c>
      <c r="AA317" s="76" t="str">
        <f t="shared" si="18"/>
        <v/>
      </c>
      <c r="AB317" s="76" t="str">
        <f t="shared" si="19"/>
        <v/>
      </c>
      <c r="AC317" s="76" t="str">
        <f t="shared" si="20"/>
        <v/>
      </c>
      <c r="AD317" s="76" t="str">
        <f t="shared" si="21"/>
        <v/>
      </c>
      <c r="AE317" s="76" t="str">
        <f t="shared" si="22"/>
        <v/>
      </c>
      <c r="AF317" s="76" t="str">
        <f t="shared" si="23"/>
        <v/>
      </c>
      <c r="AG317" s="76" t="str">
        <f t="shared" si="24"/>
        <v/>
      </c>
      <c r="AH317" s="76" t="str">
        <f t="shared" si="25"/>
        <v/>
      </c>
      <c r="AI317" s="76" t="str">
        <f t="shared" si="26"/>
        <v/>
      </c>
      <c r="AJ317" s="76" t="str">
        <f t="shared" si="27"/>
        <v/>
      </c>
      <c r="AK317" s="76" t="str">
        <f t="shared" si="28"/>
        <v/>
      </c>
      <c r="AL317" s="76" t="str">
        <f t="shared" si="29"/>
        <v/>
      </c>
      <c r="AM317" s="76" t="str">
        <f t="shared" si="30"/>
        <v/>
      </c>
      <c r="AN317" s="76" t="str">
        <f t="shared" si="31"/>
        <v/>
      </c>
      <c r="AO317" s="76" t="str">
        <f t="shared" si="32"/>
        <v/>
      </c>
      <c r="AP317" s="76" t="str">
        <f t="shared" si="33"/>
        <v/>
      </c>
    </row>
    <row r="318" ht="15.75" customHeight="1">
      <c r="A318" s="76" t="str">
        <f>IF('Manual Entry'!A290="","",'Manual Entry'!A290)</f>
        <v/>
      </c>
      <c r="B318" s="76" t="str">
        <f t="shared" si="3"/>
        <v/>
      </c>
      <c r="C318" s="76" t="str">
        <f t="shared" si="4"/>
        <v/>
      </c>
      <c r="D318" s="76" t="str">
        <f>'Manual Entry'!D290</f>
        <v/>
      </c>
      <c r="E318" s="76" t="str">
        <f>'Manual Entry'!B290</f>
        <v/>
      </c>
      <c r="F318" s="76" t="str">
        <f>'Manual Entry'!F290</f>
        <v/>
      </c>
      <c r="G318" s="76" t="str">
        <f>'Manual Entry'!G290</f>
        <v/>
      </c>
      <c r="H318" s="76" t="str">
        <f>'Manual Entry'!H290</f>
        <v/>
      </c>
      <c r="I318" s="78" t="str">
        <f>'Manual Entry'!I290</f>
        <v/>
      </c>
      <c r="J318" s="78" t="str">
        <f>'Manual Entry'!J290</f>
        <v/>
      </c>
      <c r="K318" s="78" t="str">
        <f>'Manual Entry'!K290</f>
        <v/>
      </c>
      <c r="L318" s="78" t="str">
        <f>'Manual Entry'!L290</f>
        <v/>
      </c>
      <c r="M318" s="78" t="str">
        <f>'Manual Entry'!M290</f>
        <v/>
      </c>
      <c r="N318" s="78" t="str">
        <f>'Manual Entry'!N290</f>
        <v/>
      </c>
      <c r="O318" s="76">
        <f t="shared" si="6"/>
        <v>0</v>
      </c>
      <c r="P318" s="76">
        <f t="shared" si="7"/>
        <v>0</v>
      </c>
      <c r="Q318" s="76">
        <f t="shared" si="8"/>
        <v>0</v>
      </c>
      <c r="R318" s="76">
        <f t="shared" si="9"/>
        <v>0</v>
      </c>
      <c r="S318" s="76" t="str">
        <f t="shared" si="10"/>
        <v/>
      </c>
      <c r="T318" s="76" t="str">
        <f t="shared" si="11"/>
        <v/>
      </c>
      <c r="U318" s="76" t="str">
        <f t="shared" si="12"/>
        <v/>
      </c>
      <c r="V318" s="76" t="str">
        <f t="shared" si="13"/>
        <v/>
      </c>
      <c r="W318" s="76" t="str">
        <f t="shared" si="14"/>
        <v/>
      </c>
      <c r="X318" s="76" t="str">
        <f t="shared" si="15"/>
        <v/>
      </c>
      <c r="Y318" s="76" t="str">
        <f t="shared" si="16"/>
        <v/>
      </c>
      <c r="Z318" s="76" t="str">
        <f t="shared" si="17"/>
        <v/>
      </c>
      <c r="AA318" s="76" t="str">
        <f t="shared" si="18"/>
        <v/>
      </c>
      <c r="AB318" s="76" t="str">
        <f t="shared" si="19"/>
        <v/>
      </c>
      <c r="AC318" s="76" t="str">
        <f t="shared" si="20"/>
        <v/>
      </c>
      <c r="AD318" s="76" t="str">
        <f t="shared" si="21"/>
        <v/>
      </c>
      <c r="AE318" s="76" t="str">
        <f t="shared" si="22"/>
        <v/>
      </c>
      <c r="AF318" s="76" t="str">
        <f t="shared" si="23"/>
        <v/>
      </c>
      <c r="AG318" s="76" t="str">
        <f t="shared" si="24"/>
        <v/>
      </c>
      <c r="AH318" s="76" t="str">
        <f t="shared" si="25"/>
        <v/>
      </c>
      <c r="AI318" s="76" t="str">
        <f t="shared" si="26"/>
        <v/>
      </c>
      <c r="AJ318" s="76" t="str">
        <f t="shared" si="27"/>
        <v/>
      </c>
      <c r="AK318" s="76" t="str">
        <f t="shared" si="28"/>
        <v/>
      </c>
      <c r="AL318" s="76" t="str">
        <f t="shared" si="29"/>
        <v/>
      </c>
      <c r="AM318" s="76" t="str">
        <f t="shared" si="30"/>
        <v/>
      </c>
      <c r="AN318" s="76" t="str">
        <f t="shared" si="31"/>
        <v/>
      </c>
      <c r="AO318" s="76" t="str">
        <f t="shared" si="32"/>
        <v/>
      </c>
      <c r="AP318" s="76" t="str">
        <f t="shared" si="33"/>
        <v/>
      </c>
    </row>
    <row r="319" ht="15.75" customHeight="1">
      <c r="A319" s="76" t="str">
        <f>IF('Manual Entry'!A291="","",'Manual Entry'!A291)</f>
        <v/>
      </c>
      <c r="B319" s="76" t="str">
        <f t="shared" si="3"/>
        <v/>
      </c>
      <c r="C319" s="76" t="str">
        <f t="shared" si="4"/>
        <v/>
      </c>
      <c r="D319" s="76" t="str">
        <f>'Manual Entry'!D291</f>
        <v/>
      </c>
      <c r="E319" s="76" t="str">
        <f>'Manual Entry'!B291</f>
        <v/>
      </c>
      <c r="F319" s="76" t="str">
        <f>'Manual Entry'!F291</f>
        <v/>
      </c>
      <c r="G319" s="76" t="str">
        <f>'Manual Entry'!G291</f>
        <v/>
      </c>
      <c r="H319" s="76" t="str">
        <f>'Manual Entry'!H291</f>
        <v/>
      </c>
      <c r="I319" s="78" t="str">
        <f>'Manual Entry'!I291</f>
        <v/>
      </c>
      <c r="J319" s="78" t="str">
        <f>'Manual Entry'!J291</f>
        <v/>
      </c>
      <c r="K319" s="78" t="str">
        <f>'Manual Entry'!K291</f>
        <v/>
      </c>
      <c r="L319" s="78" t="str">
        <f>'Manual Entry'!L291</f>
        <v/>
      </c>
      <c r="M319" s="78" t="str">
        <f>'Manual Entry'!M291</f>
        <v/>
      </c>
      <c r="N319" s="78" t="str">
        <f>'Manual Entry'!N291</f>
        <v/>
      </c>
      <c r="O319" s="76">
        <f t="shared" si="6"/>
        <v>0</v>
      </c>
      <c r="P319" s="76">
        <f t="shared" si="7"/>
        <v>0</v>
      </c>
      <c r="Q319" s="76">
        <f t="shared" si="8"/>
        <v>0</v>
      </c>
      <c r="R319" s="76">
        <f t="shared" si="9"/>
        <v>0</v>
      </c>
      <c r="S319" s="76" t="str">
        <f t="shared" si="10"/>
        <v/>
      </c>
      <c r="T319" s="76" t="str">
        <f t="shared" si="11"/>
        <v/>
      </c>
      <c r="U319" s="76" t="str">
        <f t="shared" si="12"/>
        <v/>
      </c>
      <c r="V319" s="76" t="str">
        <f t="shared" si="13"/>
        <v/>
      </c>
      <c r="W319" s="76" t="str">
        <f t="shared" si="14"/>
        <v/>
      </c>
      <c r="X319" s="76" t="str">
        <f t="shared" si="15"/>
        <v/>
      </c>
      <c r="Y319" s="76" t="str">
        <f t="shared" si="16"/>
        <v/>
      </c>
      <c r="Z319" s="76" t="str">
        <f t="shared" si="17"/>
        <v/>
      </c>
      <c r="AA319" s="76" t="str">
        <f t="shared" si="18"/>
        <v/>
      </c>
      <c r="AB319" s="76" t="str">
        <f t="shared" si="19"/>
        <v/>
      </c>
      <c r="AC319" s="76" t="str">
        <f t="shared" si="20"/>
        <v/>
      </c>
      <c r="AD319" s="76" t="str">
        <f t="shared" si="21"/>
        <v/>
      </c>
      <c r="AE319" s="76" t="str">
        <f t="shared" si="22"/>
        <v/>
      </c>
      <c r="AF319" s="76" t="str">
        <f t="shared" si="23"/>
        <v/>
      </c>
      <c r="AG319" s="76" t="str">
        <f t="shared" si="24"/>
        <v/>
      </c>
      <c r="AH319" s="76" t="str">
        <f t="shared" si="25"/>
        <v/>
      </c>
      <c r="AI319" s="76" t="str">
        <f t="shared" si="26"/>
        <v/>
      </c>
      <c r="AJ319" s="76" t="str">
        <f t="shared" si="27"/>
        <v/>
      </c>
      <c r="AK319" s="76" t="str">
        <f t="shared" si="28"/>
        <v/>
      </c>
      <c r="AL319" s="76" t="str">
        <f t="shared" si="29"/>
        <v/>
      </c>
      <c r="AM319" s="76" t="str">
        <f t="shared" si="30"/>
        <v/>
      </c>
      <c r="AN319" s="76" t="str">
        <f t="shared" si="31"/>
        <v/>
      </c>
      <c r="AO319" s="76" t="str">
        <f t="shared" si="32"/>
        <v/>
      </c>
      <c r="AP319" s="76" t="str">
        <f t="shared" si="33"/>
        <v/>
      </c>
    </row>
    <row r="320" ht="15.75" customHeight="1">
      <c r="A320" s="76" t="str">
        <f>IF('Manual Entry'!A292="","",'Manual Entry'!A292)</f>
        <v/>
      </c>
      <c r="B320" s="76" t="str">
        <f t="shared" si="3"/>
        <v/>
      </c>
      <c r="C320" s="76" t="str">
        <f t="shared" si="4"/>
        <v/>
      </c>
      <c r="D320" s="76" t="str">
        <f>'Manual Entry'!D292</f>
        <v/>
      </c>
      <c r="E320" s="76" t="str">
        <f>'Manual Entry'!B292</f>
        <v/>
      </c>
      <c r="F320" s="76" t="str">
        <f>'Manual Entry'!F292</f>
        <v/>
      </c>
      <c r="G320" s="76" t="str">
        <f>'Manual Entry'!G292</f>
        <v/>
      </c>
      <c r="H320" s="76" t="str">
        <f>'Manual Entry'!H292</f>
        <v/>
      </c>
      <c r="I320" s="78" t="str">
        <f>'Manual Entry'!I292</f>
        <v/>
      </c>
      <c r="J320" s="78" t="str">
        <f>'Manual Entry'!J292</f>
        <v/>
      </c>
      <c r="K320" s="78" t="str">
        <f>'Manual Entry'!K292</f>
        <v/>
      </c>
      <c r="L320" s="78" t="str">
        <f>'Manual Entry'!L292</f>
        <v/>
      </c>
      <c r="M320" s="78" t="str">
        <f>'Manual Entry'!M292</f>
        <v/>
      </c>
      <c r="N320" s="78" t="str">
        <f>'Manual Entry'!N292</f>
        <v/>
      </c>
      <c r="O320" s="76">
        <f t="shared" si="6"/>
        <v>0</v>
      </c>
      <c r="P320" s="76">
        <f t="shared" si="7"/>
        <v>0</v>
      </c>
      <c r="Q320" s="76">
        <f t="shared" si="8"/>
        <v>0</v>
      </c>
      <c r="R320" s="76">
        <f t="shared" si="9"/>
        <v>0</v>
      </c>
      <c r="S320" s="76" t="str">
        <f t="shared" si="10"/>
        <v/>
      </c>
      <c r="T320" s="76" t="str">
        <f t="shared" si="11"/>
        <v/>
      </c>
      <c r="U320" s="76" t="str">
        <f t="shared" si="12"/>
        <v/>
      </c>
      <c r="V320" s="76" t="str">
        <f t="shared" si="13"/>
        <v/>
      </c>
      <c r="W320" s="76" t="str">
        <f t="shared" si="14"/>
        <v/>
      </c>
      <c r="X320" s="76" t="str">
        <f t="shared" si="15"/>
        <v/>
      </c>
      <c r="Y320" s="76" t="str">
        <f t="shared" si="16"/>
        <v/>
      </c>
      <c r="Z320" s="76" t="str">
        <f t="shared" si="17"/>
        <v/>
      </c>
      <c r="AA320" s="76" t="str">
        <f t="shared" si="18"/>
        <v/>
      </c>
      <c r="AB320" s="76" t="str">
        <f t="shared" si="19"/>
        <v/>
      </c>
      <c r="AC320" s="76" t="str">
        <f t="shared" si="20"/>
        <v/>
      </c>
      <c r="AD320" s="76" t="str">
        <f t="shared" si="21"/>
        <v/>
      </c>
      <c r="AE320" s="76" t="str">
        <f t="shared" si="22"/>
        <v/>
      </c>
      <c r="AF320" s="76" t="str">
        <f t="shared" si="23"/>
        <v/>
      </c>
      <c r="AG320" s="76" t="str">
        <f t="shared" si="24"/>
        <v/>
      </c>
      <c r="AH320" s="76" t="str">
        <f t="shared" si="25"/>
        <v/>
      </c>
      <c r="AI320" s="76" t="str">
        <f t="shared" si="26"/>
        <v/>
      </c>
      <c r="AJ320" s="76" t="str">
        <f t="shared" si="27"/>
        <v/>
      </c>
      <c r="AK320" s="76" t="str">
        <f t="shared" si="28"/>
        <v/>
      </c>
      <c r="AL320" s="76" t="str">
        <f t="shared" si="29"/>
        <v/>
      </c>
      <c r="AM320" s="76" t="str">
        <f t="shared" si="30"/>
        <v/>
      </c>
      <c r="AN320" s="76" t="str">
        <f t="shared" si="31"/>
        <v/>
      </c>
      <c r="AO320" s="76" t="str">
        <f t="shared" si="32"/>
        <v/>
      </c>
      <c r="AP320" s="76" t="str">
        <f t="shared" si="33"/>
        <v/>
      </c>
    </row>
    <row r="321" ht="15.75" customHeight="1">
      <c r="A321" s="76" t="str">
        <f>IF('Manual Entry'!A293="","",'Manual Entry'!A293)</f>
        <v/>
      </c>
      <c r="B321" s="76" t="str">
        <f t="shared" si="3"/>
        <v/>
      </c>
      <c r="C321" s="76" t="str">
        <f t="shared" si="4"/>
        <v/>
      </c>
      <c r="D321" s="76" t="str">
        <f>'Manual Entry'!D293</f>
        <v/>
      </c>
      <c r="E321" s="76" t="str">
        <f>'Manual Entry'!B293</f>
        <v/>
      </c>
      <c r="F321" s="76" t="str">
        <f>'Manual Entry'!F293</f>
        <v/>
      </c>
      <c r="G321" s="76" t="str">
        <f>'Manual Entry'!G293</f>
        <v/>
      </c>
      <c r="H321" s="76" t="str">
        <f>'Manual Entry'!H293</f>
        <v/>
      </c>
      <c r="I321" s="78" t="str">
        <f>'Manual Entry'!I293</f>
        <v/>
      </c>
      <c r="J321" s="78" t="str">
        <f>'Manual Entry'!J293</f>
        <v/>
      </c>
      <c r="K321" s="78" t="str">
        <f>'Manual Entry'!K293</f>
        <v/>
      </c>
      <c r="L321" s="78" t="str">
        <f>'Manual Entry'!L293</f>
        <v/>
      </c>
      <c r="M321" s="78" t="str">
        <f>'Manual Entry'!M293</f>
        <v/>
      </c>
      <c r="N321" s="78" t="str">
        <f>'Manual Entry'!N293</f>
        <v/>
      </c>
      <c r="O321" s="76">
        <f t="shared" si="6"/>
        <v>0</v>
      </c>
      <c r="P321" s="76">
        <f t="shared" si="7"/>
        <v>0</v>
      </c>
      <c r="Q321" s="76">
        <f t="shared" si="8"/>
        <v>0</v>
      </c>
      <c r="R321" s="76">
        <f t="shared" si="9"/>
        <v>0</v>
      </c>
      <c r="S321" s="76" t="str">
        <f t="shared" si="10"/>
        <v/>
      </c>
      <c r="T321" s="76" t="str">
        <f t="shared" si="11"/>
        <v/>
      </c>
      <c r="U321" s="76" t="str">
        <f t="shared" si="12"/>
        <v/>
      </c>
      <c r="V321" s="76" t="str">
        <f t="shared" si="13"/>
        <v/>
      </c>
      <c r="W321" s="76" t="str">
        <f t="shared" si="14"/>
        <v/>
      </c>
      <c r="X321" s="76" t="str">
        <f t="shared" si="15"/>
        <v/>
      </c>
      <c r="Y321" s="76" t="str">
        <f t="shared" si="16"/>
        <v/>
      </c>
      <c r="Z321" s="76" t="str">
        <f t="shared" si="17"/>
        <v/>
      </c>
      <c r="AA321" s="76" t="str">
        <f t="shared" si="18"/>
        <v/>
      </c>
      <c r="AB321" s="76" t="str">
        <f t="shared" si="19"/>
        <v/>
      </c>
      <c r="AC321" s="76" t="str">
        <f t="shared" si="20"/>
        <v/>
      </c>
      <c r="AD321" s="76" t="str">
        <f t="shared" si="21"/>
        <v/>
      </c>
      <c r="AE321" s="76" t="str">
        <f t="shared" si="22"/>
        <v/>
      </c>
      <c r="AF321" s="76" t="str">
        <f t="shared" si="23"/>
        <v/>
      </c>
      <c r="AG321" s="76" t="str">
        <f t="shared" si="24"/>
        <v/>
      </c>
      <c r="AH321" s="76" t="str">
        <f t="shared" si="25"/>
        <v/>
      </c>
      <c r="AI321" s="76" t="str">
        <f t="shared" si="26"/>
        <v/>
      </c>
      <c r="AJ321" s="76" t="str">
        <f t="shared" si="27"/>
        <v/>
      </c>
      <c r="AK321" s="76" t="str">
        <f t="shared" si="28"/>
        <v/>
      </c>
      <c r="AL321" s="76" t="str">
        <f t="shared" si="29"/>
        <v/>
      </c>
      <c r="AM321" s="76" t="str">
        <f t="shared" si="30"/>
        <v/>
      </c>
      <c r="AN321" s="76" t="str">
        <f t="shared" si="31"/>
        <v/>
      </c>
      <c r="AO321" s="76" t="str">
        <f t="shared" si="32"/>
        <v/>
      </c>
      <c r="AP321" s="76" t="str">
        <f t="shared" si="33"/>
        <v/>
      </c>
    </row>
    <row r="322" ht="15.75" customHeight="1">
      <c r="A322" s="76" t="str">
        <f>IF('Manual Entry'!A294="","",'Manual Entry'!A294)</f>
        <v/>
      </c>
      <c r="B322" s="76" t="str">
        <f t="shared" si="3"/>
        <v/>
      </c>
      <c r="C322" s="76" t="str">
        <f t="shared" si="4"/>
        <v/>
      </c>
      <c r="D322" s="76" t="str">
        <f>'Manual Entry'!D294</f>
        <v/>
      </c>
      <c r="E322" s="76" t="str">
        <f>'Manual Entry'!B294</f>
        <v/>
      </c>
      <c r="F322" s="76" t="str">
        <f>'Manual Entry'!F294</f>
        <v/>
      </c>
      <c r="G322" s="76" t="str">
        <f>'Manual Entry'!G294</f>
        <v/>
      </c>
      <c r="H322" s="76" t="str">
        <f>'Manual Entry'!H294</f>
        <v/>
      </c>
      <c r="I322" s="78" t="str">
        <f>'Manual Entry'!I294</f>
        <v/>
      </c>
      <c r="J322" s="78" t="str">
        <f>'Manual Entry'!J294</f>
        <v/>
      </c>
      <c r="K322" s="78" t="str">
        <f>'Manual Entry'!K294</f>
        <v/>
      </c>
      <c r="L322" s="78" t="str">
        <f>'Manual Entry'!L294</f>
        <v/>
      </c>
      <c r="M322" s="78" t="str">
        <f>'Manual Entry'!M294</f>
        <v/>
      </c>
      <c r="N322" s="78" t="str">
        <f>'Manual Entry'!N294</f>
        <v/>
      </c>
      <c r="O322" s="76">
        <f t="shared" si="6"/>
        <v>0</v>
      </c>
      <c r="P322" s="76">
        <f t="shared" si="7"/>
        <v>0</v>
      </c>
      <c r="Q322" s="76">
        <f t="shared" si="8"/>
        <v>0</v>
      </c>
      <c r="R322" s="76">
        <f t="shared" si="9"/>
        <v>0</v>
      </c>
      <c r="S322" s="76" t="str">
        <f t="shared" si="10"/>
        <v/>
      </c>
      <c r="T322" s="76" t="str">
        <f t="shared" si="11"/>
        <v/>
      </c>
      <c r="U322" s="76" t="str">
        <f t="shared" si="12"/>
        <v/>
      </c>
      <c r="V322" s="76" t="str">
        <f t="shared" si="13"/>
        <v/>
      </c>
      <c r="W322" s="76" t="str">
        <f t="shared" si="14"/>
        <v/>
      </c>
      <c r="X322" s="76" t="str">
        <f t="shared" si="15"/>
        <v/>
      </c>
      <c r="Y322" s="76" t="str">
        <f t="shared" si="16"/>
        <v/>
      </c>
      <c r="Z322" s="76" t="str">
        <f t="shared" si="17"/>
        <v/>
      </c>
      <c r="AA322" s="76" t="str">
        <f t="shared" si="18"/>
        <v/>
      </c>
      <c r="AB322" s="76" t="str">
        <f t="shared" si="19"/>
        <v/>
      </c>
      <c r="AC322" s="76" t="str">
        <f t="shared" si="20"/>
        <v/>
      </c>
      <c r="AD322" s="76" t="str">
        <f t="shared" si="21"/>
        <v/>
      </c>
      <c r="AE322" s="76" t="str">
        <f t="shared" si="22"/>
        <v/>
      </c>
      <c r="AF322" s="76" t="str">
        <f t="shared" si="23"/>
        <v/>
      </c>
      <c r="AG322" s="76" t="str">
        <f t="shared" si="24"/>
        <v/>
      </c>
      <c r="AH322" s="76" t="str">
        <f t="shared" si="25"/>
        <v/>
      </c>
      <c r="AI322" s="76" t="str">
        <f t="shared" si="26"/>
        <v/>
      </c>
      <c r="AJ322" s="76" t="str">
        <f t="shared" si="27"/>
        <v/>
      </c>
      <c r="AK322" s="76" t="str">
        <f t="shared" si="28"/>
        <v/>
      </c>
      <c r="AL322" s="76" t="str">
        <f t="shared" si="29"/>
        <v/>
      </c>
      <c r="AM322" s="76" t="str">
        <f t="shared" si="30"/>
        <v/>
      </c>
      <c r="AN322" s="76" t="str">
        <f t="shared" si="31"/>
        <v/>
      </c>
      <c r="AO322" s="76" t="str">
        <f t="shared" si="32"/>
        <v/>
      </c>
      <c r="AP322" s="76" t="str">
        <f t="shared" si="33"/>
        <v/>
      </c>
    </row>
    <row r="323" ht="15.75" customHeight="1">
      <c r="A323" s="76" t="str">
        <f>IF('Manual Entry'!A295="","",'Manual Entry'!A295)</f>
        <v/>
      </c>
      <c r="B323" s="76" t="str">
        <f t="shared" si="3"/>
        <v/>
      </c>
      <c r="C323" s="76" t="str">
        <f t="shared" si="4"/>
        <v/>
      </c>
      <c r="D323" s="76" t="str">
        <f>'Manual Entry'!D295</f>
        <v/>
      </c>
      <c r="E323" s="76" t="str">
        <f>'Manual Entry'!B295</f>
        <v/>
      </c>
      <c r="F323" s="76" t="str">
        <f>'Manual Entry'!F295</f>
        <v/>
      </c>
      <c r="G323" s="76" t="str">
        <f>'Manual Entry'!G295</f>
        <v/>
      </c>
      <c r="H323" s="76" t="str">
        <f>'Manual Entry'!H295</f>
        <v/>
      </c>
      <c r="I323" s="78" t="str">
        <f>'Manual Entry'!I295</f>
        <v/>
      </c>
      <c r="J323" s="78" t="str">
        <f>'Manual Entry'!J295</f>
        <v/>
      </c>
      <c r="K323" s="78" t="str">
        <f>'Manual Entry'!K295</f>
        <v/>
      </c>
      <c r="L323" s="78" t="str">
        <f>'Manual Entry'!L295</f>
        <v/>
      </c>
      <c r="M323" s="78" t="str">
        <f>'Manual Entry'!M295</f>
        <v/>
      </c>
      <c r="N323" s="78" t="str">
        <f>'Manual Entry'!N295</f>
        <v/>
      </c>
      <c r="O323" s="76">
        <f t="shared" si="6"/>
        <v>0</v>
      </c>
      <c r="P323" s="76">
        <f t="shared" si="7"/>
        <v>0</v>
      </c>
      <c r="Q323" s="76">
        <f t="shared" si="8"/>
        <v>0</v>
      </c>
      <c r="R323" s="76">
        <f t="shared" si="9"/>
        <v>0</v>
      </c>
      <c r="S323" s="76" t="str">
        <f t="shared" si="10"/>
        <v/>
      </c>
      <c r="T323" s="76" t="str">
        <f t="shared" si="11"/>
        <v/>
      </c>
      <c r="U323" s="76" t="str">
        <f t="shared" si="12"/>
        <v/>
      </c>
      <c r="V323" s="76" t="str">
        <f t="shared" si="13"/>
        <v/>
      </c>
      <c r="W323" s="76" t="str">
        <f t="shared" si="14"/>
        <v/>
      </c>
      <c r="X323" s="76" t="str">
        <f t="shared" si="15"/>
        <v/>
      </c>
      <c r="Y323" s="76" t="str">
        <f t="shared" si="16"/>
        <v/>
      </c>
      <c r="Z323" s="76" t="str">
        <f t="shared" si="17"/>
        <v/>
      </c>
      <c r="AA323" s="76" t="str">
        <f t="shared" si="18"/>
        <v/>
      </c>
      <c r="AB323" s="76" t="str">
        <f t="shared" si="19"/>
        <v/>
      </c>
      <c r="AC323" s="76" t="str">
        <f t="shared" si="20"/>
        <v/>
      </c>
      <c r="AD323" s="76" t="str">
        <f t="shared" si="21"/>
        <v/>
      </c>
      <c r="AE323" s="76" t="str">
        <f t="shared" si="22"/>
        <v/>
      </c>
      <c r="AF323" s="76" t="str">
        <f t="shared" si="23"/>
        <v/>
      </c>
      <c r="AG323" s="76" t="str">
        <f t="shared" si="24"/>
        <v/>
      </c>
      <c r="AH323" s="76" t="str">
        <f t="shared" si="25"/>
        <v/>
      </c>
      <c r="AI323" s="76" t="str">
        <f t="shared" si="26"/>
        <v/>
      </c>
      <c r="AJ323" s="76" t="str">
        <f t="shared" si="27"/>
        <v/>
      </c>
      <c r="AK323" s="76" t="str">
        <f t="shared" si="28"/>
        <v/>
      </c>
      <c r="AL323" s="76" t="str">
        <f t="shared" si="29"/>
        <v/>
      </c>
      <c r="AM323" s="76" t="str">
        <f t="shared" si="30"/>
        <v/>
      </c>
      <c r="AN323" s="76" t="str">
        <f t="shared" si="31"/>
        <v/>
      </c>
      <c r="AO323" s="76" t="str">
        <f t="shared" si="32"/>
        <v/>
      </c>
      <c r="AP323" s="76" t="str">
        <f t="shared" si="33"/>
        <v/>
      </c>
    </row>
    <row r="324" ht="15.75" customHeight="1">
      <c r="A324" s="76" t="str">
        <f>IF('Manual Entry'!A296="","",'Manual Entry'!A296)</f>
        <v/>
      </c>
      <c r="B324" s="76" t="str">
        <f t="shared" si="3"/>
        <v/>
      </c>
      <c r="C324" s="76" t="str">
        <f t="shared" si="4"/>
        <v/>
      </c>
      <c r="D324" s="76" t="str">
        <f>'Manual Entry'!D296</f>
        <v/>
      </c>
      <c r="E324" s="76" t="str">
        <f>'Manual Entry'!B296</f>
        <v/>
      </c>
      <c r="F324" s="76" t="str">
        <f>'Manual Entry'!F296</f>
        <v/>
      </c>
      <c r="G324" s="76" t="str">
        <f>'Manual Entry'!G296</f>
        <v/>
      </c>
      <c r="H324" s="76" t="str">
        <f>'Manual Entry'!H296</f>
        <v/>
      </c>
      <c r="I324" s="78" t="str">
        <f>'Manual Entry'!I296</f>
        <v/>
      </c>
      <c r="J324" s="78" t="str">
        <f>'Manual Entry'!J296</f>
        <v/>
      </c>
      <c r="K324" s="78" t="str">
        <f>'Manual Entry'!K296</f>
        <v/>
      </c>
      <c r="L324" s="78" t="str">
        <f>'Manual Entry'!L296</f>
        <v/>
      </c>
      <c r="M324" s="78" t="str">
        <f>'Manual Entry'!M296</f>
        <v/>
      </c>
      <c r="N324" s="78" t="str">
        <f>'Manual Entry'!N296</f>
        <v/>
      </c>
      <c r="O324" s="76">
        <f t="shared" si="6"/>
        <v>0</v>
      </c>
      <c r="P324" s="76">
        <f t="shared" si="7"/>
        <v>0</v>
      </c>
      <c r="Q324" s="76">
        <f t="shared" si="8"/>
        <v>0</v>
      </c>
      <c r="R324" s="76">
        <f t="shared" si="9"/>
        <v>0</v>
      </c>
      <c r="S324" s="76" t="str">
        <f t="shared" si="10"/>
        <v/>
      </c>
      <c r="T324" s="76" t="str">
        <f t="shared" si="11"/>
        <v/>
      </c>
      <c r="U324" s="76" t="str">
        <f t="shared" si="12"/>
        <v/>
      </c>
      <c r="V324" s="76" t="str">
        <f t="shared" si="13"/>
        <v/>
      </c>
      <c r="W324" s="76" t="str">
        <f t="shared" si="14"/>
        <v/>
      </c>
      <c r="X324" s="76" t="str">
        <f t="shared" si="15"/>
        <v/>
      </c>
      <c r="Y324" s="76" t="str">
        <f t="shared" si="16"/>
        <v/>
      </c>
      <c r="Z324" s="76" t="str">
        <f t="shared" si="17"/>
        <v/>
      </c>
      <c r="AA324" s="76" t="str">
        <f t="shared" si="18"/>
        <v/>
      </c>
      <c r="AB324" s="76" t="str">
        <f t="shared" si="19"/>
        <v/>
      </c>
      <c r="AC324" s="76" t="str">
        <f t="shared" si="20"/>
        <v/>
      </c>
      <c r="AD324" s="76" t="str">
        <f t="shared" si="21"/>
        <v/>
      </c>
      <c r="AE324" s="76" t="str">
        <f t="shared" si="22"/>
        <v/>
      </c>
      <c r="AF324" s="76" t="str">
        <f t="shared" si="23"/>
        <v/>
      </c>
      <c r="AG324" s="76" t="str">
        <f t="shared" si="24"/>
        <v/>
      </c>
      <c r="AH324" s="76" t="str">
        <f t="shared" si="25"/>
        <v/>
      </c>
      <c r="AI324" s="76" t="str">
        <f t="shared" si="26"/>
        <v/>
      </c>
      <c r="AJ324" s="76" t="str">
        <f t="shared" si="27"/>
        <v/>
      </c>
      <c r="AK324" s="76" t="str">
        <f t="shared" si="28"/>
        <v/>
      </c>
      <c r="AL324" s="76" t="str">
        <f t="shared" si="29"/>
        <v/>
      </c>
      <c r="AM324" s="76" t="str">
        <f t="shared" si="30"/>
        <v/>
      </c>
      <c r="AN324" s="76" t="str">
        <f t="shared" si="31"/>
        <v/>
      </c>
      <c r="AO324" s="76" t="str">
        <f t="shared" si="32"/>
        <v/>
      </c>
      <c r="AP324" s="76" t="str">
        <f t="shared" si="33"/>
        <v/>
      </c>
    </row>
    <row r="325" ht="15.75" customHeight="1">
      <c r="A325" s="76" t="str">
        <f>IF('Manual Entry'!A297="","",'Manual Entry'!A297)</f>
        <v/>
      </c>
      <c r="B325" s="76" t="str">
        <f t="shared" si="3"/>
        <v/>
      </c>
      <c r="C325" s="76" t="str">
        <f t="shared" si="4"/>
        <v/>
      </c>
      <c r="D325" s="76" t="str">
        <f>'Manual Entry'!D297</f>
        <v/>
      </c>
      <c r="E325" s="76" t="str">
        <f>'Manual Entry'!B297</f>
        <v/>
      </c>
      <c r="F325" s="76" t="str">
        <f>'Manual Entry'!F297</f>
        <v/>
      </c>
      <c r="G325" s="76" t="str">
        <f>'Manual Entry'!G297</f>
        <v/>
      </c>
      <c r="H325" s="76" t="str">
        <f>'Manual Entry'!H297</f>
        <v/>
      </c>
      <c r="I325" s="78" t="str">
        <f>'Manual Entry'!I297</f>
        <v/>
      </c>
      <c r="J325" s="78" t="str">
        <f>'Manual Entry'!J297</f>
        <v/>
      </c>
      <c r="K325" s="78" t="str">
        <f>'Manual Entry'!K297</f>
        <v/>
      </c>
      <c r="L325" s="78" t="str">
        <f>'Manual Entry'!L297</f>
        <v/>
      </c>
      <c r="M325" s="78" t="str">
        <f>'Manual Entry'!M297</f>
        <v/>
      </c>
      <c r="N325" s="78" t="str">
        <f>'Manual Entry'!N297</f>
        <v/>
      </c>
      <c r="O325" s="76">
        <f t="shared" si="6"/>
        <v>0</v>
      </c>
      <c r="P325" s="76">
        <f t="shared" si="7"/>
        <v>0</v>
      </c>
      <c r="Q325" s="76">
        <f t="shared" si="8"/>
        <v>0</v>
      </c>
      <c r="R325" s="76">
        <f t="shared" si="9"/>
        <v>0</v>
      </c>
      <c r="S325" s="76" t="str">
        <f t="shared" si="10"/>
        <v/>
      </c>
      <c r="T325" s="76" t="str">
        <f t="shared" si="11"/>
        <v/>
      </c>
      <c r="U325" s="76" t="str">
        <f t="shared" si="12"/>
        <v/>
      </c>
      <c r="V325" s="76" t="str">
        <f t="shared" si="13"/>
        <v/>
      </c>
      <c r="W325" s="76" t="str">
        <f t="shared" si="14"/>
        <v/>
      </c>
      <c r="X325" s="76" t="str">
        <f t="shared" si="15"/>
        <v/>
      </c>
      <c r="Y325" s="76" t="str">
        <f t="shared" si="16"/>
        <v/>
      </c>
      <c r="Z325" s="76" t="str">
        <f t="shared" si="17"/>
        <v/>
      </c>
      <c r="AA325" s="76" t="str">
        <f t="shared" si="18"/>
        <v/>
      </c>
      <c r="AB325" s="76" t="str">
        <f t="shared" si="19"/>
        <v/>
      </c>
      <c r="AC325" s="76" t="str">
        <f t="shared" si="20"/>
        <v/>
      </c>
      <c r="AD325" s="76" t="str">
        <f t="shared" si="21"/>
        <v/>
      </c>
      <c r="AE325" s="76" t="str">
        <f t="shared" si="22"/>
        <v/>
      </c>
      <c r="AF325" s="76" t="str">
        <f t="shared" si="23"/>
        <v/>
      </c>
      <c r="AG325" s="76" t="str">
        <f t="shared" si="24"/>
        <v/>
      </c>
      <c r="AH325" s="76" t="str">
        <f t="shared" si="25"/>
        <v/>
      </c>
      <c r="AI325" s="76" t="str">
        <f t="shared" si="26"/>
        <v/>
      </c>
      <c r="AJ325" s="76" t="str">
        <f t="shared" si="27"/>
        <v/>
      </c>
      <c r="AK325" s="76" t="str">
        <f t="shared" si="28"/>
        <v/>
      </c>
      <c r="AL325" s="76" t="str">
        <f t="shared" si="29"/>
        <v/>
      </c>
      <c r="AM325" s="76" t="str">
        <f t="shared" si="30"/>
        <v/>
      </c>
      <c r="AN325" s="76" t="str">
        <f t="shared" si="31"/>
        <v/>
      </c>
      <c r="AO325" s="76" t="str">
        <f t="shared" si="32"/>
        <v/>
      </c>
      <c r="AP325" s="76" t="str">
        <f t="shared" si="33"/>
        <v/>
      </c>
    </row>
    <row r="326" ht="15.75" customHeight="1">
      <c r="A326" s="76" t="str">
        <f>IF('Manual Entry'!A298="","",'Manual Entry'!A298)</f>
        <v/>
      </c>
      <c r="B326" s="76" t="str">
        <f t="shared" si="3"/>
        <v/>
      </c>
      <c r="C326" s="76" t="str">
        <f t="shared" si="4"/>
        <v/>
      </c>
      <c r="D326" s="76" t="str">
        <f>'Manual Entry'!D298</f>
        <v/>
      </c>
      <c r="E326" s="76" t="str">
        <f>'Manual Entry'!B298</f>
        <v/>
      </c>
      <c r="F326" s="76" t="str">
        <f>'Manual Entry'!F298</f>
        <v/>
      </c>
      <c r="G326" s="76" t="str">
        <f>'Manual Entry'!G298</f>
        <v/>
      </c>
      <c r="H326" s="76" t="str">
        <f>'Manual Entry'!H298</f>
        <v/>
      </c>
      <c r="I326" s="78" t="str">
        <f>'Manual Entry'!I298</f>
        <v/>
      </c>
      <c r="J326" s="78" t="str">
        <f>'Manual Entry'!J298</f>
        <v/>
      </c>
      <c r="K326" s="78" t="str">
        <f>'Manual Entry'!K298</f>
        <v/>
      </c>
      <c r="L326" s="78" t="str">
        <f>'Manual Entry'!L298</f>
        <v/>
      </c>
      <c r="M326" s="78" t="str">
        <f>'Manual Entry'!M298</f>
        <v/>
      </c>
      <c r="N326" s="78" t="str">
        <f>'Manual Entry'!N298</f>
        <v/>
      </c>
      <c r="O326" s="76">
        <f t="shared" si="6"/>
        <v>0</v>
      </c>
      <c r="P326" s="76">
        <f t="shared" si="7"/>
        <v>0</v>
      </c>
      <c r="Q326" s="76">
        <f t="shared" si="8"/>
        <v>0</v>
      </c>
      <c r="R326" s="76">
        <f t="shared" si="9"/>
        <v>0</v>
      </c>
      <c r="S326" s="76" t="str">
        <f t="shared" si="10"/>
        <v/>
      </c>
      <c r="T326" s="76" t="str">
        <f t="shared" si="11"/>
        <v/>
      </c>
      <c r="U326" s="76" t="str">
        <f t="shared" si="12"/>
        <v/>
      </c>
      <c r="V326" s="76" t="str">
        <f t="shared" si="13"/>
        <v/>
      </c>
      <c r="W326" s="76" t="str">
        <f t="shared" si="14"/>
        <v/>
      </c>
      <c r="X326" s="76" t="str">
        <f t="shared" si="15"/>
        <v/>
      </c>
      <c r="Y326" s="76" t="str">
        <f t="shared" si="16"/>
        <v/>
      </c>
      <c r="Z326" s="76" t="str">
        <f t="shared" si="17"/>
        <v/>
      </c>
      <c r="AA326" s="76" t="str">
        <f t="shared" si="18"/>
        <v/>
      </c>
      <c r="AB326" s="76" t="str">
        <f t="shared" si="19"/>
        <v/>
      </c>
      <c r="AC326" s="76" t="str">
        <f t="shared" si="20"/>
        <v/>
      </c>
      <c r="AD326" s="76" t="str">
        <f t="shared" si="21"/>
        <v/>
      </c>
      <c r="AE326" s="76" t="str">
        <f t="shared" si="22"/>
        <v/>
      </c>
      <c r="AF326" s="76" t="str">
        <f t="shared" si="23"/>
        <v/>
      </c>
      <c r="AG326" s="76" t="str">
        <f t="shared" si="24"/>
        <v/>
      </c>
      <c r="AH326" s="76" t="str">
        <f t="shared" si="25"/>
        <v/>
      </c>
      <c r="AI326" s="76" t="str">
        <f t="shared" si="26"/>
        <v/>
      </c>
      <c r="AJ326" s="76" t="str">
        <f t="shared" si="27"/>
        <v/>
      </c>
      <c r="AK326" s="76" t="str">
        <f t="shared" si="28"/>
        <v/>
      </c>
      <c r="AL326" s="76" t="str">
        <f t="shared" si="29"/>
        <v/>
      </c>
      <c r="AM326" s="76" t="str">
        <f t="shared" si="30"/>
        <v/>
      </c>
      <c r="AN326" s="76" t="str">
        <f t="shared" si="31"/>
        <v/>
      </c>
      <c r="AO326" s="76" t="str">
        <f t="shared" si="32"/>
        <v/>
      </c>
      <c r="AP326" s="76" t="str">
        <f t="shared" si="33"/>
        <v/>
      </c>
    </row>
    <row r="327" ht="15.75" customHeight="1">
      <c r="A327" s="76" t="str">
        <f>IF('Manual Entry'!A299="","",'Manual Entry'!A299)</f>
        <v/>
      </c>
      <c r="B327" s="76" t="str">
        <f t="shared" si="3"/>
        <v/>
      </c>
      <c r="C327" s="76" t="str">
        <f t="shared" si="4"/>
        <v/>
      </c>
      <c r="D327" s="76" t="str">
        <f>'Manual Entry'!D299</f>
        <v/>
      </c>
      <c r="E327" s="76" t="str">
        <f>'Manual Entry'!B299</f>
        <v/>
      </c>
      <c r="F327" s="76" t="str">
        <f>'Manual Entry'!F299</f>
        <v/>
      </c>
      <c r="G327" s="76" t="str">
        <f>'Manual Entry'!G299</f>
        <v/>
      </c>
      <c r="H327" s="76" t="str">
        <f>'Manual Entry'!H299</f>
        <v/>
      </c>
      <c r="I327" s="78" t="str">
        <f>'Manual Entry'!I299</f>
        <v/>
      </c>
      <c r="J327" s="78" t="str">
        <f>'Manual Entry'!J299</f>
        <v/>
      </c>
      <c r="K327" s="78" t="str">
        <f>'Manual Entry'!K299</f>
        <v/>
      </c>
      <c r="L327" s="78" t="str">
        <f>'Manual Entry'!L299</f>
        <v/>
      </c>
      <c r="M327" s="78" t="str">
        <f>'Manual Entry'!M299</f>
        <v/>
      </c>
      <c r="N327" s="78" t="str">
        <f>'Manual Entry'!N299</f>
        <v/>
      </c>
      <c r="O327" s="76">
        <f t="shared" si="6"/>
        <v>0</v>
      </c>
      <c r="P327" s="76">
        <f t="shared" si="7"/>
        <v>0</v>
      </c>
      <c r="Q327" s="76">
        <f t="shared" si="8"/>
        <v>0</v>
      </c>
      <c r="R327" s="76">
        <f t="shared" si="9"/>
        <v>0</v>
      </c>
      <c r="S327" s="76" t="str">
        <f t="shared" si="10"/>
        <v/>
      </c>
      <c r="T327" s="76" t="str">
        <f t="shared" si="11"/>
        <v/>
      </c>
      <c r="U327" s="76" t="str">
        <f t="shared" si="12"/>
        <v/>
      </c>
      <c r="V327" s="76" t="str">
        <f t="shared" si="13"/>
        <v/>
      </c>
      <c r="W327" s="76" t="str">
        <f t="shared" si="14"/>
        <v/>
      </c>
      <c r="X327" s="76" t="str">
        <f t="shared" si="15"/>
        <v/>
      </c>
      <c r="Y327" s="76" t="str">
        <f t="shared" si="16"/>
        <v/>
      </c>
      <c r="Z327" s="76" t="str">
        <f t="shared" si="17"/>
        <v/>
      </c>
      <c r="AA327" s="76" t="str">
        <f t="shared" si="18"/>
        <v/>
      </c>
      <c r="AB327" s="76" t="str">
        <f t="shared" si="19"/>
        <v/>
      </c>
      <c r="AC327" s="76" t="str">
        <f t="shared" si="20"/>
        <v/>
      </c>
      <c r="AD327" s="76" t="str">
        <f t="shared" si="21"/>
        <v/>
      </c>
      <c r="AE327" s="76" t="str">
        <f t="shared" si="22"/>
        <v/>
      </c>
      <c r="AF327" s="76" t="str">
        <f t="shared" si="23"/>
        <v/>
      </c>
      <c r="AG327" s="76" t="str">
        <f t="shared" si="24"/>
        <v/>
      </c>
      <c r="AH327" s="76" t="str">
        <f t="shared" si="25"/>
        <v/>
      </c>
      <c r="AI327" s="76" t="str">
        <f t="shared" si="26"/>
        <v/>
      </c>
      <c r="AJ327" s="76" t="str">
        <f t="shared" si="27"/>
        <v/>
      </c>
      <c r="AK327" s="76" t="str">
        <f t="shared" si="28"/>
        <v/>
      </c>
      <c r="AL327" s="76" t="str">
        <f t="shared" si="29"/>
        <v/>
      </c>
      <c r="AM327" s="76" t="str">
        <f t="shared" si="30"/>
        <v/>
      </c>
      <c r="AN327" s="76" t="str">
        <f t="shared" si="31"/>
        <v/>
      </c>
      <c r="AO327" s="76" t="str">
        <f t="shared" si="32"/>
        <v/>
      </c>
      <c r="AP327" s="76" t="str">
        <f t="shared" si="33"/>
        <v/>
      </c>
    </row>
    <row r="328" ht="15.75" customHeight="1">
      <c r="A328" s="76" t="str">
        <f>IF('Manual Entry'!A300="","",'Manual Entry'!A300)</f>
        <v/>
      </c>
      <c r="B328" s="76" t="str">
        <f t="shared" si="3"/>
        <v/>
      </c>
      <c r="C328" s="76" t="str">
        <f t="shared" si="4"/>
        <v/>
      </c>
      <c r="D328" s="76" t="str">
        <f>'Manual Entry'!D300</f>
        <v/>
      </c>
      <c r="E328" s="76" t="str">
        <f>'Manual Entry'!B300</f>
        <v/>
      </c>
      <c r="F328" s="76" t="str">
        <f>'Manual Entry'!F300</f>
        <v/>
      </c>
      <c r="G328" s="76" t="str">
        <f>'Manual Entry'!G300</f>
        <v/>
      </c>
      <c r="H328" s="76" t="str">
        <f>'Manual Entry'!H300</f>
        <v/>
      </c>
      <c r="I328" s="78" t="str">
        <f>'Manual Entry'!I300</f>
        <v/>
      </c>
      <c r="J328" s="78" t="str">
        <f>'Manual Entry'!J300</f>
        <v/>
      </c>
      <c r="K328" s="78" t="str">
        <f>'Manual Entry'!K300</f>
        <v/>
      </c>
      <c r="L328" s="78" t="str">
        <f>'Manual Entry'!L300</f>
        <v/>
      </c>
      <c r="M328" s="78" t="str">
        <f>'Manual Entry'!M300</f>
        <v/>
      </c>
      <c r="N328" s="78" t="str">
        <f>'Manual Entry'!N300</f>
        <v/>
      </c>
      <c r="O328" s="76">
        <f t="shared" si="6"/>
        <v>0</v>
      </c>
      <c r="P328" s="76">
        <f t="shared" si="7"/>
        <v>0</v>
      </c>
      <c r="Q328" s="76">
        <f t="shared" si="8"/>
        <v>0</v>
      </c>
      <c r="R328" s="76">
        <f t="shared" si="9"/>
        <v>0</v>
      </c>
      <c r="S328" s="76" t="str">
        <f t="shared" si="10"/>
        <v/>
      </c>
      <c r="T328" s="76" t="str">
        <f t="shared" si="11"/>
        <v/>
      </c>
      <c r="U328" s="76" t="str">
        <f t="shared" si="12"/>
        <v/>
      </c>
      <c r="V328" s="76" t="str">
        <f t="shared" si="13"/>
        <v/>
      </c>
      <c r="W328" s="76" t="str">
        <f t="shared" si="14"/>
        <v/>
      </c>
      <c r="X328" s="76" t="str">
        <f t="shared" si="15"/>
        <v/>
      </c>
      <c r="Y328" s="76" t="str">
        <f t="shared" si="16"/>
        <v/>
      </c>
      <c r="Z328" s="76" t="str">
        <f t="shared" si="17"/>
        <v/>
      </c>
      <c r="AA328" s="76" t="str">
        <f t="shared" si="18"/>
        <v/>
      </c>
      <c r="AB328" s="76" t="str">
        <f t="shared" si="19"/>
        <v/>
      </c>
      <c r="AC328" s="76" t="str">
        <f t="shared" si="20"/>
        <v/>
      </c>
      <c r="AD328" s="76" t="str">
        <f t="shared" si="21"/>
        <v/>
      </c>
      <c r="AE328" s="76" t="str">
        <f t="shared" si="22"/>
        <v/>
      </c>
      <c r="AF328" s="76" t="str">
        <f t="shared" si="23"/>
        <v/>
      </c>
      <c r="AG328" s="76" t="str">
        <f t="shared" si="24"/>
        <v/>
      </c>
      <c r="AH328" s="76" t="str">
        <f t="shared" si="25"/>
        <v/>
      </c>
      <c r="AI328" s="76" t="str">
        <f t="shared" si="26"/>
        <v/>
      </c>
      <c r="AJ328" s="76" t="str">
        <f t="shared" si="27"/>
        <v/>
      </c>
      <c r="AK328" s="76" t="str">
        <f t="shared" si="28"/>
        <v/>
      </c>
      <c r="AL328" s="76" t="str">
        <f t="shared" si="29"/>
        <v/>
      </c>
      <c r="AM328" s="76" t="str">
        <f t="shared" si="30"/>
        <v/>
      </c>
      <c r="AN328" s="76" t="str">
        <f t="shared" si="31"/>
        <v/>
      </c>
      <c r="AO328" s="76" t="str">
        <f t="shared" si="32"/>
        <v/>
      </c>
      <c r="AP328" s="76" t="str">
        <f t="shared" si="33"/>
        <v/>
      </c>
    </row>
    <row r="329" ht="15.75" customHeight="1">
      <c r="A329" s="76" t="str">
        <f>IF('Manual Entry'!A301="","",'Manual Entry'!A301)</f>
        <v/>
      </c>
      <c r="B329" s="76" t="str">
        <f t="shared" si="3"/>
        <v/>
      </c>
      <c r="C329" s="76" t="str">
        <f t="shared" si="4"/>
        <v/>
      </c>
      <c r="D329" s="76" t="str">
        <f>'Manual Entry'!D301</f>
        <v/>
      </c>
      <c r="E329" s="76" t="str">
        <f>'Manual Entry'!B301</f>
        <v/>
      </c>
      <c r="F329" s="76" t="str">
        <f>'Manual Entry'!F301</f>
        <v/>
      </c>
      <c r="G329" s="76" t="str">
        <f>'Manual Entry'!G301</f>
        <v/>
      </c>
      <c r="H329" s="76" t="str">
        <f>'Manual Entry'!H301</f>
        <v/>
      </c>
      <c r="I329" s="78" t="str">
        <f>'Manual Entry'!I301</f>
        <v/>
      </c>
      <c r="J329" s="78" t="str">
        <f>'Manual Entry'!J301</f>
        <v/>
      </c>
      <c r="K329" s="78" t="str">
        <f>'Manual Entry'!K301</f>
        <v/>
      </c>
      <c r="L329" s="78" t="str">
        <f>'Manual Entry'!L301</f>
        <v/>
      </c>
      <c r="M329" s="78" t="str">
        <f>'Manual Entry'!M301</f>
        <v/>
      </c>
      <c r="N329" s="78" t="str">
        <f>'Manual Entry'!N301</f>
        <v/>
      </c>
      <c r="O329" s="76">
        <f t="shared" si="6"/>
        <v>0</v>
      </c>
      <c r="P329" s="76">
        <f t="shared" si="7"/>
        <v>0</v>
      </c>
      <c r="Q329" s="76">
        <f t="shared" si="8"/>
        <v>0</v>
      </c>
      <c r="R329" s="76">
        <f t="shared" si="9"/>
        <v>0</v>
      </c>
      <c r="S329" s="76" t="str">
        <f t="shared" si="10"/>
        <v/>
      </c>
      <c r="T329" s="76" t="str">
        <f t="shared" si="11"/>
        <v/>
      </c>
      <c r="U329" s="76" t="str">
        <f t="shared" si="12"/>
        <v/>
      </c>
      <c r="V329" s="76" t="str">
        <f t="shared" si="13"/>
        <v/>
      </c>
      <c r="W329" s="76" t="str">
        <f t="shared" si="14"/>
        <v/>
      </c>
      <c r="X329" s="76" t="str">
        <f t="shared" si="15"/>
        <v/>
      </c>
      <c r="Y329" s="76" t="str">
        <f t="shared" si="16"/>
        <v/>
      </c>
      <c r="Z329" s="76" t="str">
        <f t="shared" si="17"/>
        <v/>
      </c>
      <c r="AA329" s="76" t="str">
        <f t="shared" si="18"/>
        <v/>
      </c>
      <c r="AB329" s="76" t="str">
        <f t="shared" si="19"/>
        <v/>
      </c>
      <c r="AC329" s="76" t="str">
        <f t="shared" si="20"/>
        <v/>
      </c>
      <c r="AD329" s="76" t="str">
        <f t="shared" si="21"/>
        <v/>
      </c>
      <c r="AE329" s="76" t="str">
        <f t="shared" si="22"/>
        <v/>
      </c>
      <c r="AF329" s="76" t="str">
        <f t="shared" si="23"/>
        <v/>
      </c>
      <c r="AG329" s="76" t="str">
        <f t="shared" si="24"/>
        <v/>
      </c>
      <c r="AH329" s="76" t="str">
        <f t="shared" si="25"/>
        <v/>
      </c>
      <c r="AI329" s="76" t="str">
        <f t="shared" si="26"/>
        <v/>
      </c>
      <c r="AJ329" s="76" t="str">
        <f t="shared" si="27"/>
        <v/>
      </c>
      <c r="AK329" s="76" t="str">
        <f t="shared" si="28"/>
        <v/>
      </c>
      <c r="AL329" s="76" t="str">
        <f t="shared" si="29"/>
        <v/>
      </c>
      <c r="AM329" s="76" t="str">
        <f t="shared" si="30"/>
        <v/>
      </c>
      <c r="AN329" s="76" t="str">
        <f t="shared" si="31"/>
        <v/>
      </c>
      <c r="AO329" s="76" t="str">
        <f t="shared" si="32"/>
        <v/>
      </c>
      <c r="AP329" s="76" t="str">
        <f t="shared" si="33"/>
        <v/>
      </c>
    </row>
    <row r="330" ht="15.75" customHeight="1">
      <c r="A330" s="76" t="str">
        <f>IF('Manual Entry'!A302="","",'Manual Entry'!A302)</f>
        <v/>
      </c>
      <c r="B330" s="76" t="str">
        <f t="shared" si="3"/>
        <v/>
      </c>
      <c r="C330" s="76" t="str">
        <f t="shared" si="4"/>
        <v/>
      </c>
      <c r="D330" s="76" t="str">
        <f>'Manual Entry'!D302</f>
        <v/>
      </c>
      <c r="E330" s="76" t="str">
        <f>'Manual Entry'!B302</f>
        <v/>
      </c>
      <c r="F330" s="76" t="str">
        <f>'Manual Entry'!F302</f>
        <v/>
      </c>
      <c r="G330" s="76" t="str">
        <f>'Manual Entry'!G302</f>
        <v/>
      </c>
      <c r="H330" s="76" t="str">
        <f>'Manual Entry'!H302</f>
        <v/>
      </c>
      <c r="I330" s="78" t="str">
        <f>'Manual Entry'!I302</f>
        <v/>
      </c>
      <c r="J330" s="78" t="str">
        <f>'Manual Entry'!J302</f>
        <v/>
      </c>
      <c r="K330" s="78" t="str">
        <f>'Manual Entry'!K302</f>
        <v/>
      </c>
      <c r="L330" s="78" t="str">
        <f>'Manual Entry'!L302</f>
        <v/>
      </c>
      <c r="M330" s="78" t="str">
        <f>'Manual Entry'!M302</f>
        <v/>
      </c>
      <c r="N330" s="78" t="str">
        <f>'Manual Entry'!N302</f>
        <v/>
      </c>
      <c r="O330" s="76">
        <f t="shared" si="6"/>
        <v>0</v>
      </c>
      <c r="P330" s="76">
        <f t="shared" si="7"/>
        <v>0</v>
      </c>
      <c r="Q330" s="76">
        <f t="shared" si="8"/>
        <v>0</v>
      </c>
      <c r="R330" s="76">
        <f t="shared" si="9"/>
        <v>0</v>
      </c>
      <c r="S330" s="76" t="str">
        <f t="shared" si="10"/>
        <v/>
      </c>
      <c r="T330" s="76" t="str">
        <f t="shared" si="11"/>
        <v/>
      </c>
      <c r="U330" s="76" t="str">
        <f t="shared" si="12"/>
        <v/>
      </c>
      <c r="V330" s="76" t="str">
        <f t="shared" si="13"/>
        <v/>
      </c>
      <c r="W330" s="76" t="str">
        <f t="shared" si="14"/>
        <v/>
      </c>
      <c r="X330" s="76" t="str">
        <f t="shared" si="15"/>
        <v/>
      </c>
      <c r="Y330" s="76" t="str">
        <f t="shared" si="16"/>
        <v/>
      </c>
      <c r="Z330" s="76" t="str">
        <f t="shared" si="17"/>
        <v/>
      </c>
      <c r="AA330" s="76" t="str">
        <f t="shared" si="18"/>
        <v/>
      </c>
      <c r="AB330" s="76" t="str">
        <f t="shared" si="19"/>
        <v/>
      </c>
      <c r="AC330" s="76" t="str">
        <f t="shared" si="20"/>
        <v/>
      </c>
      <c r="AD330" s="76" t="str">
        <f t="shared" si="21"/>
        <v/>
      </c>
      <c r="AE330" s="76" t="str">
        <f t="shared" si="22"/>
        <v/>
      </c>
      <c r="AF330" s="76" t="str">
        <f t="shared" si="23"/>
        <v/>
      </c>
      <c r="AG330" s="76" t="str">
        <f t="shared" si="24"/>
        <v/>
      </c>
      <c r="AH330" s="76" t="str">
        <f t="shared" si="25"/>
        <v/>
      </c>
      <c r="AI330" s="76" t="str">
        <f t="shared" si="26"/>
        <v/>
      </c>
      <c r="AJ330" s="76" t="str">
        <f t="shared" si="27"/>
        <v/>
      </c>
      <c r="AK330" s="76" t="str">
        <f t="shared" si="28"/>
        <v/>
      </c>
      <c r="AL330" s="76" t="str">
        <f t="shared" si="29"/>
        <v/>
      </c>
      <c r="AM330" s="76" t="str">
        <f t="shared" si="30"/>
        <v/>
      </c>
      <c r="AN330" s="76" t="str">
        <f t="shared" si="31"/>
        <v/>
      </c>
      <c r="AO330" s="76" t="str">
        <f t="shared" si="32"/>
        <v/>
      </c>
      <c r="AP330" s="76" t="str">
        <f t="shared" si="33"/>
        <v/>
      </c>
    </row>
    <row r="331" ht="15.75" customHeight="1">
      <c r="A331" s="76" t="str">
        <f>IF('Manual Entry'!A303="","",'Manual Entry'!A303)</f>
        <v/>
      </c>
      <c r="B331" s="76" t="str">
        <f t="shared" si="3"/>
        <v/>
      </c>
      <c r="C331" s="76" t="str">
        <f t="shared" si="4"/>
        <v/>
      </c>
      <c r="D331" s="76" t="str">
        <f>'Manual Entry'!D303</f>
        <v/>
      </c>
      <c r="E331" s="76" t="str">
        <f>'Manual Entry'!B303</f>
        <v/>
      </c>
      <c r="F331" s="76" t="str">
        <f>'Manual Entry'!F303</f>
        <v/>
      </c>
      <c r="G331" s="76" t="str">
        <f>'Manual Entry'!G303</f>
        <v/>
      </c>
      <c r="H331" s="76" t="str">
        <f>'Manual Entry'!H303</f>
        <v/>
      </c>
      <c r="I331" s="78" t="str">
        <f>'Manual Entry'!I303</f>
        <v/>
      </c>
      <c r="J331" s="78" t="str">
        <f>'Manual Entry'!J303</f>
        <v/>
      </c>
      <c r="K331" s="78" t="str">
        <f>'Manual Entry'!K303</f>
        <v/>
      </c>
      <c r="L331" s="78" t="str">
        <f>'Manual Entry'!L303</f>
        <v/>
      </c>
      <c r="M331" s="78" t="str">
        <f>'Manual Entry'!M303</f>
        <v/>
      </c>
      <c r="N331" s="78" t="str">
        <f>'Manual Entry'!N303</f>
        <v/>
      </c>
      <c r="O331" s="76">
        <f t="shared" si="6"/>
        <v>0</v>
      </c>
      <c r="P331" s="76">
        <f t="shared" si="7"/>
        <v>0</v>
      </c>
      <c r="Q331" s="76">
        <f t="shared" si="8"/>
        <v>0</v>
      </c>
      <c r="R331" s="76">
        <f t="shared" si="9"/>
        <v>0</v>
      </c>
      <c r="S331" s="76" t="str">
        <f t="shared" si="10"/>
        <v/>
      </c>
      <c r="T331" s="76" t="str">
        <f t="shared" si="11"/>
        <v/>
      </c>
      <c r="U331" s="76" t="str">
        <f t="shared" si="12"/>
        <v/>
      </c>
      <c r="V331" s="76" t="str">
        <f t="shared" si="13"/>
        <v/>
      </c>
      <c r="W331" s="76" t="str">
        <f t="shared" si="14"/>
        <v/>
      </c>
      <c r="X331" s="76" t="str">
        <f t="shared" si="15"/>
        <v/>
      </c>
      <c r="Y331" s="76" t="str">
        <f t="shared" si="16"/>
        <v/>
      </c>
      <c r="Z331" s="76" t="str">
        <f t="shared" si="17"/>
        <v/>
      </c>
      <c r="AA331" s="76" t="str">
        <f t="shared" si="18"/>
        <v/>
      </c>
      <c r="AB331" s="76" t="str">
        <f t="shared" si="19"/>
        <v/>
      </c>
      <c r="AC331" s="76" t="str">
        <f t="shared" si="20"/>
        <v/>
      </c>
      <c r="AD331" s="76" t="str">
        <f t="shared" si="21"/>
        <v/>
      </c>
      <c r="AE331" s="76" t="str">
        <f t="shared" si="22"/>
        <v/>
      </c>
      <c r="AF331" s="76" t="str">
        <f t="shared" si="23"/>
        <v/>
      </c>
      <c r="AG331" s="76" t="str">
        <f t="shared" si="24"/>
        <v/>
      </c>
      <c r="AH331" s="76" t="str">
        <f t="shared" si="25"/>
        <v/>
      </c>
      <c r="AI331" s="76" t="str">
        <f t="shared" si="26"/>
        <v/>
      </c>
      <c r="AJ331" s="76" t="str">
        <f t="shared" si="27"/>
        <v/>
      </c>
      <c r="AK331" s="76" t="str">
        <f t="shared" si="28"/>
        <v/>
      </c>
      <c r="AL331" s="76" t="str">
        <f t="shared" si="29"/>
        <v/>
      </c>
      <c r="AM331" s="76" t="str">
        <f t="shared" si="30"/>
        <v/>
      </c>
      <c r="AN331" s="76" t="str">
        <f t="shared" si="31"/>
        <v/>
      </c>
      <c r="AO331" s="76" t="str">
        <f t="shared" si="32"/>
        <v/>
      </c>
      <c r="AP331" s="76" t="str">
        <f t="shared" si="33"/>
        <v/>
      </c>
    </row>
    <row r="332" ht="15.75" customHeight="1">
      <c r="A332" s="76" t="str">
        <f>IF('Manual Entry'!A304="","",'Manual Entry'!A304)</f>
        <v/>
      </c>
      <c r="B332" s="76" t="str">
        <f t="shared" si="3"/>
        <v/>
      </c>
      <c r="C332" s="76" t="str">
        <f t="shared" si="4"/>
        <v/>
      </c>
      <c r="D332" s="76" t="str">
        <f>'Manual Entry'!D304</f>
        <v/>
      </c>
      <c r="E332" s="76" t="str">
        <f>'Manual Entry'!B304</f>
        <v/>
      </c>
      <c r="F332" s="76" t="str">
        <f>'Manual Entry'!F304</f>
        <v/>
      </c>
      <c r="G332" s="76" t="str">
        <f>'Manual Entry'!G304</f>
        <v/>
      </c>
      <c r="H332" s="76" t="str">
        <f>'Manual Entry'!H304</f>
        <v/>
      </c>
      <c r="I332" s="78" t="str">
        <f>'Manual Entry'!I304</f>
        <v/>
      </c>
      <c r="J332" s="78" t="str">
        <f>'Manual Entry'!J304</f>
        <v/>
      </c>
      <c r="K332" s="78" t="str">
        <f>'Manual Entry'!K304</f>
        <v/>
      </c>
      <c r="L332" s="78" t="str">
        <f>'Manual Entry'!L304</f>
        <v/>
      </c>
      <c r="M332" s="78" t="str">
        <f>'Manual Entry'!M304</f>
        <v/>
      </c>
      <c r="N332" s="78" t="str">
        <f>'Manual Entry'!N304</f>
        <v/>
      </c>
      <c r="O332" s="76">
        <f t="shared" si="6"/>
        <v>0</v>
      </c>
      <c r="P332" s="76">
        <f t="shared" si="7"/>
        <v>0</v>
      </c>
      <c r="Q332" s="76">
        <f t="shared" si="8"/>
        <v>0</v>
      </c>
      <c r="R332" s="76">
        <f t="shared" si="9"/>
        <v>0</v>
      </c>
      <c r="S332" s="76" t="str">
        <f t="shared" si="10"/>
        <v/>
      </c>
      <c r="T332" s="76" t="str">
        <f t="shared" si="11"/>
        <v/>
      </c>
      <c r="U332" s="76" t="str">
        <f t="shared" si="12"/>
        <v/>
      </c>
      <c r="V332" s="76" t="str">
        <f t="shared" si="13"/>
        <v/>
      </c>
      <c r="W332" s="76" t="str">
        <f t="shared" si="14"/>
        <v/>
      </c>
      <c r="X332" s="76" t="str">
        <f t="shared" si="15"/>
        <v/>
      </c>
      <c r="Y332" s="76" t="str">
        <f t="shared" si="16"/>
        <v/>
      </c>
      <c r="Z332" s="76" t="str">
        <f t="shared" si="17"/>
        <v/>
      </c>
      <c r="AA332" s="76" t="str">
        <f t="shared" si="18"/>
        <v/>
      </c>
      <c r="AB332" s="76" t="str">
        <f t="shared" si="19"/>
        <v/>
      </c>
      <c r="AC332" s="76" t="str">
        <f t="shared" si="20"/>
        <v/>
      </c>
      <c r="AD332" s="76" t="str">
        <f t="shared" si="21"/>
        <v/>
      </c>
      <c r="AE332" s="76" t="str">
        <f t="shared" si="22"/>
        <v/>
      </c>
      <c r="AF332" s="76" t="str">
        <f t="shared" si="23"/>
        <v/>
      </c>
      <c r="AG332" s="76" t="str">
        <f t="shared" si="24"/>
        <v/>
      </c>
      <c r="AH332" s="76" t="str">
        <f t="shared" si="25"/>
        <v/>
      </c>
      <c r="AI332" s="76" t="str">
        <f t="shared" si="26"/>
        <v/>
      </c>
      <c r="AJ332" s="76" t="str">
        <f t="shared" si="27"/>
        <v/>
      </c>
      <c r="AK332" s="76" t="str">
        <f t="shared" si="28"/>
        <v/>
      </c>
      <c r="AL332" s="76" t="str">
        <f t="shared" si="29"/>
        <v/>
      </c>
      <c r="AM332" s="76" t="str">
        <f t="shared" si="30"/>
        <v/>
      </c>
      <c r="AN332" s="76" t="str">
        <f t="shared" si="31"/>
        <v/>
      </c>
      <c r="AO332" s="76" t="str">
        <f t="shared" si="32"/>
        <v/>
      </c>
      <c r="AP332" s="76" t="str">
        <f t="shared" si="33"/>
        <v/>
      </c>
    </row>
    <row r="333" ht="15.75" customHeight="1">
      <c r="A333" s="76" t="str">
        <f>IF('Manual Entry'!A305="","",'Manual Entry'!A305)</f>
        <v/>
      </c>
      <c r="B333" s="76" t="str">
        <f t="shared" si="3"/>
        <v/>
      </c>
      <c r="C333" s="76" t="str">
        <f t="shared" si="4"/>
        <v/>
      </c>
      <c r="D333" s="76" t="str">
        <f>'Manual Entry'!D305</f>
        <v/>
      </c>
      <c r="E333" s="76" t="str">
        <f>'Manual Entry'!B305</f>
        <v/>
      </c>
      <c r="F333" s="76" t="str">
        <f>'Manual Entry'!F305</f>
        <v/>
      </c>
      <c r="G333" s="76" t="str">
        <f>'Manual Entry'!G305</f>
        <v/>
      </c>
      <c r="H333" s="76" t="str">
        <f>'Manual Entry'!H305</f>
        <v/>
      </c>
      <c r="I333" s="78" t="str">
        <f>'Manual Entry'!I305</f>
        <v/>
      </c>
      <c r="J333" s="78" t="str">
        <f>'Manual Entry'!J305</f>
        <v/>
      </c>
      <c r="K333" s="78" t="str">
        <f>'Manual Entry'!K305</f>
        <v/>
      </c>
      <c r="L333" s="78" t="str">
        <f>'Manual Entry'!L305</f>
        <v/>
      </c>
      <c r="M333" s="78" t="str">
        <f>'Manual Entry'!M305</f>
        <v/>
      </c>
      <c r="N333" s="78" t="str">
        <f>'Manual Entry'!N305</f>
        <v/>
      </c>
      <c r="O333" s="76">
        <f t="shared" si="6"/>
        <v>0</v>
      </c>
      <c r="P333" s="76">
        <f t="shared" si="7"/>
        <v>0</v>
      </c>
      <c r="Q333" s="76">
        <f t="shared" si="8"/>
        <v>0</v>
      </c>
      <c r="R333" s="76">
        <f t="shared" si="9"/>
        <v>0</v>
      </c>
      <c r="S333" s="76" t="str">
        <f t="shared" si="10"/>
        <v/>
      </c>
      <c r="T333" s="76" t="str">
        <f t="shared" si="11"/>
        <v/>
      </c>
      <c r="U333" s="76" t="str">
        <f t="shared" si="12"/>
        <v/>
      </c>
      <c r="V333" s="76" t="str">
        <f t="shared" si="13"/>
        <v/>
      </c>
      <c r="W333" s="76" t="str">
        <f t="shared" si="14"/>
        <v/>
      </c>
      <c r="X333" s="76" t="str">
        <f t="shared" si="15"/>
        <v/>
      </c>
      <c r="Y333" s="76" t="str">
        <f t="shared" si="16"/>
        <v/>
      </c>
      <c r="Z333" s="76" t="str">
        <f t="shared" si="17"/>
        <v/>
      </c>
      <c r="AA333" s="76" t="str">
        <f t="shared" si="18"/>
        <v/>
      </c>
      <c r="AB333" s="76" t="str">
        <f t="shared" si="19"/>
        <v/>
      </c>
      <c r="AC333" s="76" t="str">
        <f t="shared" si="20"/>
        <v/>
      </c>
      <c r="AD333" s="76" t="str">
        <f t="shared" si="21"/>
        <v/>
      </c>
      <c r="AE333" s="76" t="str">
        <f t="shared" si="22"/>
        <v/>
      </c>
      <c r="AF333" s="76" t="str">
        <f t="shared" si="23"/>
        <v/>
      </c>
      <c r="AG333" s="76" t="str">
        <f t="shared" si="24"/>
        <v/>
      </c>
      <c r="AH333" s="76" t="str">
        <f t="shared" si="25"/>
        <v/>
      </c>
      <c r="AI333" s="76" t="str">
        <f t="shared" si="26"/>
        <v/>
      </c>
      <c r="AJ333" s="76" t="str">
        <f t="shared" si="27"/>
        <v/>
      </c>
      <c r="AK333" s="76" t="str">
        <f t="shared" si="28"/>
        <v/>
      </c>
      <c r="AL333" s="76" t="str">
        <f t="shared" si="29"/>
        <v/>
      </c>
      <c r="AM333" s="76" t="str">
        <f t="shared" si="30"/>
        <v/>
      </c>
      <c r="AN333" s="76" t="str">
        <f t="shared" si="31"/>
        <v/>
      </c>
      <c r="AO333" s="76" t="str">
        <f t="shared" si="32"/>
        <v/>
      </c>
      <c r="AP333" s="76" t="str">
        <f t="shared" si="33"/>
        <v/>
      </c>
    </row>
    <row r="334" ht="15.75" customHeight="1">
      <c r="A334" s="76" t="str">
        <f>IF('Manual Entry'!A306="","",'Manual Entry'!A306)</f>
        <v/>
      </c>
      <c r="B334" s="76" t="str">
        <f t="shared" si="3"/>
        <v/>
      </c>
      <c r="C334" s="76" t="str">
        <f t="shared" si="4"/>
        <v/>
      </c>
      <c r="D334" s="76" t="str">
        <f>'Manual Entry'!D306</f>
        <v/>
      </c>
      <c r="E334" s="76" t="str">
        <f>'Manual Entry'!B306</f>
        <v/>
      </c>
      <c r="F334" s="76" t="str">
        <f>'Manual Entry'!F306</f>
        <v/>
      </c>
      <c r="G334" s="76" t="str">
        <f>'Manual Entry'!G306</f>
        <v/>
      </c>
      <c r="H334" s="76" t="str">
        <f>'Manual Entry'!H306</f>
        <v/>
      </c>
      <c r="I334" s="78" t="str">
        <f>'Manual Entry'!I306</f>
        <v/>
      </c>
      <c r="J334" s="78" t="str">
        <f>'Manual Entry'!J306</f>
        <v/>
      </c>
      <c r="K334" s="78" t="str">
        <f>'Manual Entry'!K306</f>
        <v/>
      </c>
      <c r="L334" s="78" t="str">
        <f>'Manual Entry'!L306</f>
        <v/>
      </c>
      <c r="M334" s="78" t="str">
        <f>'Manual Entry'!M306</f>
        <v/>
      </c>
      <c r="N334" s="78" t="str">
        <f>'Manual Entry'!N306</f>
        <v/>
      </c>
      <c r="O334" s="76">
        <f t="shared" si="6"/>
        <v>0</v>
      </c>
      <c r="P334" s="76">
        <f t="shared" si="7"/>
        <v>0</v>
      </c>
      <c r="Q334" s="76">
        <f t="shared" si="8"/>
        <v>0</v>
      </c>
      <c r="R334" s="76">
        <f t="shared" si="9"/>
        <v>0</v>
      </c>
      <c r="S334" s="76" t="str">
        <f t="shared" si="10"/>
        <v/>
      </c>
      <c r="T334" s="76" t="str">
        <f t="shared" si="11"/>
        <v/>
      </c>
      <c r="U334" s="76" t="str">
        <f t="shared" si="12"/>
        <v/>
      </c>
      <c r="V334" s="76" t="str">
        <f t="shared" si="13"/>
        <v/>
      </c>
      <c r="W334" s="76" t="str">
        <f t="shared" si="14"/>
        <v/>
      </c>
      <c r="X334" s="76" t="str">
        <f t="shared" si="15"/>
        <v/>
      </c>
      <c r="Y334" s="76" t="str">
        <f t="shared" si="16"/>
        <v/>
      </c>
      <c r="Z334" s="76" t="str">
        <f t="shared" si="17"/>
        <v/>
      </c>
      <c r="AA334" s="76" t="str">
        <f t="shared" si="18"/>
        <v/>
      </c>
      <c r="AB334" s="76" t="str">
        <f t="shared" si="19"/>
        <v/>
      </c>
      <c r="AC334" s="76" t="str">
        <f t="shared" si="20"/>
        <v/>
      </c>
      <c r="AD334" s="76" t="str">
        <f t="shared" si="21"/>
        <v/>
      </c>
      <c r="AE334" s="76" t="str">
        <f t="shared" si="22"/>
        <v/>
      </c>
      <c r="AF334" s="76" t="str">
        <f t="shared" si="23"/>
        <v/>
      </c>
      <c r="AG334" s="76" t="str">
        <f t="shared" si="24"/>
        <v/>
      </c>
      <c r="AH334" s="76" t="str">
        <f t="shared" si="25"/>
        <v/>
      </c>
      <c r="AI334" s="76" t="str">
        <f t="shared" si="26"/>
        <v/>
      </c>
      <c r="AJ334" s="76" t="str">
        <f t="shared" si="27"/>
        <v/>
      </c>
      <c r="AK334" s="76" t="str">
        <f t="shared" si="28"/>
        <v/>
      </c>
      <c r="AL334" s="76" t="str">
        <f t="shared" si="29"/>
        <v/>
      </c>
      <c r="AM334" s="76" t="str">
        <f t="shared" si="30"/>
        <v/>
      </c>
      <c r="AN334" s="76" t="str">
        <f t="shared" si="31"/>
        <v/>
      </c>
      <c r="AO334" s="76" t="str">
        <f t="shared" si="32"/>
        <v/>
      </c>
      <c r="AP334" s="76" t="str">
        <f t="shared" si="33"/>
        <v/>
      </c>
    </row>
    <row r="335" ht="15.75" customHeight="1">
      <c r="A335" s="76" t="str">
        <f>IF('Manual Entry'!A307="","",'Manual Entry'!A307)</f>
        <v/>
      </c>
      <c r="B335" s="76" t="str">
        <f t="shared" si="3"/>
        <v/>
      </c>
      <c r="C335" s="76" t="str">
        <f t="shared" si="4"/>
        <v/>
      </c>
      <c r="D335" s="76" t="str">
        <f>'Manual Entry'!D307</f>
        <v/>
      </c>
      <c r="E335" s="76" t="str">
        <f>'Manual Entry'!B307</f>
        <v/>
      </c>
      <c r="F335" s="76" t="str">
        <f>'Manual Entry'!F307</f>
        <v/>
      </c>
      <c r="G335" s="76" t="str">
        <f>'Manual Entry'!G307</f>
        <v/>
      </c>
      <c r="H335" s="76" t="str">
        <f>'Manual Entry'!H307</f>
        <v/>
      </c>
      <c r="I335" s="78" t="str">
        <f>'Manual Entry'!I307</f>
        <v/>
      </c>
      <c r="J335" s="78" t="str">
        <f>'Manual Entry'!J307</f>
        <v/>
      </c>
      <c r="K335" s="78" t="str">
        <f>'Manual Entry'!K307</f>
        <v/>
      </c>
      <c r="L335" s="78" t="str">
        <f>'Manual Entry'!L307</f>
        <v/>
      </c>
      <c r="M335" s="78" t="str">
        <f>'Manual Entry'!M307</f>
        <v/>
      </c>
      <c r="N335" s="78" t="str">
        <f>'Manual Entry'!N307</f>
        <v/>
      </c>
      <c r="O335" s="76">
        <f t="shared" si="6"/>
        <v>0</v>
      </c>
      <c r="P335" s="76">
        <f t="shared" si="7"/>
        <v>0</v>
      </c>
      <c r="Q335" s="76">
        <f t="shared" si="8"/>
        <v>0</v>
      </c>
      <c r="R335" s="76">
        <f t="shared" si="9"/>
        <v>0</v>
      </c>
      <c r="S335" s="76" t="str">
        <f t="shared" si="10"/>
        <v/>
      </c>
      <c r="T335" s="76" t="str">
        <f t="shared" si="11"/>
        <v/>
      </c>
      <c r="U335" s="76" t="str">
        <f t="shared" si="12"/>
        <v/>
      </c>
      <c r="V335" s="76" t="str">
        <f t="shared" si="13"/>
        <v/>
      </c>
      <c r="W335" s="76" t="str">
        <f t="shared" si="14"/>
        <v/>
      </c>
      <c r="X335" s="76" t="str">
        <f t="shared" si="15"/>
        <v/>
      </c>
      <c r="Y335" s="76" t="str">
        <f t="shared" si="16"/>
        <v/>
      </c>
      <c r="Z335" s="76" t="str">
        <f t="shared" si="17"/>
        <v/>
      </c>
      <c r="AA335" s="76" t="str">
        <f t="shared" si="18"/>
        <v/>
      </c>
      <c r="AB335" s="76" t="str">
        <f t="shared" si="19"/>
        <v/>
      </c>
      <c r="AC335" s="76" t="str">
        <f t="shared" si="20"/>
        <v/>
      </c>
      <c r="AD335" s="76" t="str">
        <f t="shared" si="21"/>
        <v/>
      </c>
      <c r="AE335" s="76" t="str">
        <f t="shared" si="22"/>
        <v/>
      </c>
      <c r="AF335" s="76" t="str">
        <f t="shared" si="23"/>
        <v/>
      </c>
      <c r="AG335" s="76" t="str">
        <f t="shared" si="24"/>
        <v/>
      </c>
      <c r="AH335" s="76" t="str">
        <f t="shared" si="25"/>
        <v/>
      </c>
      <c r="AI335" s="76" t="str">
        <f t="shared" si="26"/>
        <v/>
      </c>
      <c r="AJ335" s="76" t="str">
        <f t="shared" si="27"/>
        <v/>
      </c>
      <c r="AK335" s="76" t="str">
        <f t="shared" si="28"/>
        <v/>
      </c>
      <c r="AL335" s="76" t="str">
        <f t="shared" si="29"/>
        <v/>
      </c>
      <c r="AM335" s="76" t="str">
        <f t="shared" si="30"/>
        <v/>
      </c>
      <c r="AN335" s="76" t="str">
        <f t="shared" si="31"/>
        <v/>
      </c>
      <c r="AO335" s="76" t="str">
        <f t="shared" si="32"/>
        <v/>
      </c>
      <c r="AP335" s="76" t="str">
        <f t="shared" si="33"/>
        <v/>
      </c>
    </row>
    <row r="336" ht="15.75" customHeight="1">
      <c r="A336" s="76" t="str">
        <f>IF('Manual Entry'!A308="","",'Manual Entry'!A308)</f>
        <v/>
      </c>
      <c r="B336" s="76" t="str">
        <f t="shared" si="3"/>
        <v/>
      </c>
      <c r="C336" s="76" t="str">
        <f t="shared" si="4"/>
        <v/>
      </c>
      <c r="D336" s="76" t="str">
        <f>'Manual Entry'!D308</f>
        <v/>
      </c>
      <c r="E336" s="76" t="str">
        <f>'Manual Entry'!B308</f>
        <v/>
      </c>
      <c r="F336" s="76" t="str">
        <f>'Manual Entry'!F308</f>
        <v/>
      </c>
      <c r="G336" s="76" t="str">
        <f>'Manual Entry'!G308</f>
        <v/>
      </c>
      <c r="H336" s="76" t="str">
        <f>'Manual Entry'!H308</f>
        <v/>
      </c>
      <c r="I336" s="78" t="str">
        <f>'Manual Entry'!I308</f>
        <v/>
      </c>
      <c r="J336" s="78" t="str">
        <f>'Manual Entry'!J308</f>
        <v/>
      </c>
      <c r="K336" s="78" t="str">
        <f>'Manual Entry'!K308</f>
        <v/>
      </c>
      <c r="L336" s="78" t="str">
        <f>'Manual Entry'!L308</f>
        <v/>
      </c>
      <c r="M336" s="78" t="str">
        <f>'Manual Entry'!M308</f>
        <v/>
      </c>
      <c r="N336" s="78" t="str">
        <f>'Manual Entry'!N308</f>
        <v/>
      </c>
      <c r="O336" s="76">
        <f t="shared" si="6"/>
        <v>0</v>
      </c>
      <c r="P336" s="76">
        <f t="shared" si="7"/>
        <v>0</v>
      </c>
      <c r="Q336" s="76">
        <f t="shared" si="8"/>
        <v>0</v>
      </c>
      <c r="R336" s="76">
        <f t="shared" si="9"/>
        <v>0</v>
      </c>
      <c r="S336" s="76" t="str">
        <f t="shared" si="10"/>
        <v/>
      </c>
      <c r="T336" s="76" t="str">
        <f t="shared" si="11"/>
        <v/>
      </c>
      <c r="U336" s="76" t="str">
        <f t="shared" si="12"/>
        <v/>
      </c>
      <c r="V336" s="76" t="str">
        <f t="shared" si="13"/>
        <v/>
      </c>
      <c r="W336" s="76" t="str">
        <f t="shared" si="14"/>
        <v/>
      </c>
      <c r="X336" s="76" t="str">
        <f t="shared" si="15"/>
        <v/>
      </c>
      <c r="Y336" s="76" t="str">
        <f t="shared" si="16"/>
        <v/>
      </c>
      <c r="Z336" s="76" t="str">
        <f t="shared" si="17"/>
        <v/>
      </c>
      <c r="AA336" s="76" t="str">
        <f t="shared" si="18"/>
        <v/>
      </c>
      <c r="AB336" s="76" t="str">
        <f t="shared" si="19"/>
        <v/>
      </c>
      <c r="AC336" s="76" t="str">
        <f t="shared" si="20"/>
        <v/>
      </c>
      <c r="AD336" s="76" t="str">
        <f t="shared" si="21"/>
        <v/>
      </c>
      <c r="AE336" s="76" t="str">
        <f t="shared" si="22"/>
        <v/>
      </c>
      <c r="AF336" s="76" t="str">
        <f t="shared" si="23"/>
        <v/>
      </c>
      <c r="AG336" s="76" t="str">
        <f t="shared" si="24"/>
        <v/>
      </c>
      <c r="AH336" s="76" t="str">
        <f t="shared" si="25"/>
        <v/>
      </c>
      <c r="AI336" s="76" t="str">
        <f t="shared" si="26"/>
        <v/>
      </c>
      <c r="AJ336" s="76" t="str">
        <f t="shared" si="27"/>
        <v/>
      </c>
      <c r="AK336" s="76" t="str">
        <f t="shared" si="28"/>
        <v/>
      </c>
      <c r="AL336" s="76" t="str">
        <f t="shared" si="29"/>
        <v/>
      </c>
      <c r="AM336" s="76" t="str">
        <f t="shared" si="30"/>
        <v/>
      </c>
      <c r="AN336" s="76" t="str">
        <f t="shared" si="31"/>
        <v/>
      </c>
      <c r="AO336" s="76" t="str">
        <f t="shared" si="32"/>
        <v/>
      </c>
      <c r="AP336" s="76" t="str">
        <f t="shared" si="33"/>
        <v/>
      </c>
    </row>
    <row r="337" ht="15.75" customHeight="1">
      <c r="A337" s="76" t="str">
        <f>IF('Manual Entry'!A309="","",'Manual Entry'!A309)</f>
        <v/>
      </c>
      <c r="B337" s="76" t="str">
        <f t="shared" si="3"/>
        <v/>
      </c>
      <c r="C337" s="76" t="str">
        <f t="shared" si="4"/>
        <v/>
      </c>
      <c r="D337" s="76" t="str">
        <f>'Manual Entry'!D309</f>
        <v/>
      </c>
      <c r="E337" s="76" t="str">
        <f>'Manual Entry'!B309</f>
        <v/>
      </c>
      <c r="F337" s="76" t="str">
        <f>'Manual Entry'!F309</f>
        <v/>
      </c>
      <c r="G337" s="76" t="str">
        <f>'Manual Entry'!G309</f>
        <v/>
      </c>
      <c r="H337" s="76" t="str">
        <f>'Manual Entry'!H309</f>
        <v/>
      </c>
      <c r="I337" s="78" t="str">
        <f>'Manual Entry'!I309</f>
        <v/>
      </c>
      <c r="J337" s="78" t="str">
        <f>'Manual Entry'!J309</f>
        <v/>
      </c>
      <c r="K337" s="78" t="str">
        <f>'Manual Entry'!K309</f>
        <v/>
      </c>
      <c r="L337" s="78" t="str">
        <f>'Manual Entry'!L309</f>
        <v/>
      </c>
      <c r="M337" s="78" t="str">
        <f>'Manual Entry'!M309</f>
        <v/>
      </c>
      <c r="N337" s="78" t="str">
        <f>'Manual Entry'!N309</f>
        <v/>
      </c>
      <c r="O337" s="76">
        <f t="shared" si="6"/>
        <v>0</v>
      </c>
      <c r="P337" s="76">
        <f t="shared" si="7"/>
        <v>0</v>
      </c>
      <c r="Q337" s="76">
        <f t="shared" si="8"/>
        <v>0</v>
      </c>
      <c r="R337" s="76">
        <f t="shared" si="9"/>
        <v>0</v>
      </c>
      <c r="S337" s="76" t="str">
        <f t="shared" si="10"/>
        <v/>
      </c>
      <c r="T337" s="76" t="str">
        <f t="shared" si="11"/>
        <v/>
      </c>
      <c r="U337" s="76" t="str">
        <f t="shared" si="12"/>
        <v/>
      </c>
      <c r="V337" s="76" t="str">
        <f t="shared" si="13"/>
        <v/>
      </c>
      <c r="W337" s="76" t="str">
        <f t="shared" si="14"/>
        <v/>
      </c>
      <c r="X337" s="76" t="str">
        <f t="shared" si="15"/>
        <v/>
      </c>
      <c r="Y337" s="76" t="str">
        <f t="shared" si="16"/>
        <v/>
      </c>
      <c r="Z337" s="76" t="str">
        <f t="shared" si="17"/>
        <v/>
      </c>
      <c r="AA337" s="76" t="str">
        <f t="shared" si="18"/>
        <v/>
      </c>
      <c r="AB337" s="76" t="str">
        <f t="shared" si="19"/>
        <v/>
      </c>
      <c r="AC337" s="76" t="str">
        <f t="shared" si="20"/>
        <v/>
      </c>
      <c r="AD337" s="76" t="str">
        <f t="shared" si="21"/>
        <v/>
      </c>
      <c r="AE337" s="76" t="str">
        <f t="shared" si="22"/>
        <v/>
      </c>
      <c r="AF337" s="76" t="str">
        <f t="shared" si="23"/>
        <v/>
      </c>
      <c r="AG337" s="76" t="str">
        <f t="shared" si="24"/>
        <v/>
      </c>
      <c r="AH337" s="76" t="str">
        <f t="shared" si="25"/>
        <v/>
      </c>
      <c r="AI337" s="76" t="str">
        <f t="shared" si="26"/>
        <v/>
      </c>
      <c r="AJ337" s="76" t="str">
        <f t="shared" si="27"/>
        <v/>
      </c>
      <c r="AK337" s="76" t="str">
        <f t="shared" si="28"/>
        <v/>
      </c>
      <c r="AL337" s="76" t="str">
        <f t="shared" si="29"/>
        <v/>
      </c>
      <c r="AM337" s="76" t="str">
        <f t="shared" si="30"/>
        <v/>
      </c>
      <c r="AN337" s="76" t="str">
        <f t="shared" si="31"/>
        <v/>
      </c>
      <c r="AO337" s="76" t="str">
        <f t="shared" si="32"/>
        <v/>
      </c>
      <c r="AP337" s="76" t="str">
        <f t="shared" si="33"/>
        <v/>
      </c>
    </row>
    <row r="338" ht="15.75" customHeight="1">
      <c r="A338" s="76" t="str">
        <f>IF('Manual Entry'!A310="","",'Manual Entry'!A310)</f>
        <v/>
      </c>
      <c r="B338" s="76" t="str">
        <f t="shared" si="3"/>
        <v/>
      </c>
      <c r="C338" s="76" t="str">
        <f t="shared" si="4"/>
        <v/>
      </c>
      <c r="D338" s="76" t="str">
        <f>'Manual Entry'!D310</f>
        <v/>
      </c>
      <c r="E338" s="76" t="str">
        <f>'Manual Entry'!B310</f>
        <v/>
      </c>
      <c r="F338" s="76" t="str">
        <f>'Manual Entry'!F310</f>
        <v/>
      </c>
      <c r="G338" s="76" t="str">
        <f>'Manual Entry'!G310</f>
        <v/>
      </c>
      <c r="H338" s="76" t="str">
        <f>'Manual Entry'!H310</f>
        <v/>
      </c>
      <c r="I338" s="78" t="str">
        <f>'Manual Entry'!I310</f>
        <v/>
      </c>
      <c r="J338" s="78" t="str">
        <f>'Manual Entry'!J310</f>
        <v/>
      </c>
      <c r="K338" s="78" t="str">
        <f>'Manual Entry'!K310</f>
        <v/>
      </c>
      <c r="L338" s="78" t="str">
        <f>'Manual Entry'!L310</f>
        <v/>
      </c>
      <c r="M338" s="78" t="str">
        <f>'Manual Entry'!M310</f>
        <v/>
      </c>
      <c r="N338" s="78" t="str">
        <f>'Manual Entry'!N310</f>
        <v/>
      </c>
      <c r="O338" s="76">
        <f t="shared" si="6"/>
        <v>0</v>
      </c>
      <c r="P338" s="76">
        <f t="shared" si="7"/>
        <v>0</v>
      </c>
      <c r="Q338" s="76">
        <f t="shared" si="8"/>
        <v>0</v>
      </c>
      <c r="R338" s="76">
        <f t="shared" si="9"/>
        <v>0</v>
      </c>
      <c r="S338" s="76" t="str">
        <f t="shared" si="10"/>
        <v/>
      </c>
      <c r="T338" s="76" t="str">
        <f t="shared" si="11"/>
        <v/>
      </c>
      <c r="U338" s="76" t="str">
        <f t="shared" si="12"/>
        <v/>
      </c>
      <c r="V338" s="76" t="str">
        <f t="shared" si="13"/>
        <v/>
      </c>
      <c r="W338" s="76" t="str">
        <f t="shared" si="14"/>
        <v/>
      </c>
      <c r="X338" s="76" t="str">
        <f t="shared" si="15"/>
        <v/>
      </c>
      <c r="Y338" s="76" t="str">
        <f t="shared" si="16"/>
        <v/>
      </c>
      <c r="Z338" s="76" t="str">
        <f t="shared" si="17"/>
        <v/>
      </c>
      <c r="AA338" s="76" t="str">
        <f t="shared" si="18"/>
        <v/>
      </c>
      <c r="AB338" s="76" t="str">
        <f t="shared" si="19"/>
        <v/>
      </c>
      <c r="AC338" s="76" t="str">
        <f t="shared" si="20"/>
        <v/>
      </c>
      <c r="AD338" s="76" t="str">
        <f t="shared" si="21"/>
        <v/>
      </c>
      <c r="AE338" s="76" t="str">
        <f t="shared" si="22"/>
        <v/>
      </c>
      <c r="AF338" s="76" t="str">
        <f t="shared" si="23"/>
        <v/>
      </c>
      <c r="AG338" s="76" t="str">
        <f t="shared" si="24"/>
        <v/>
      </c>
      <c r="AH338" s="76" t="str">
        <f t="shared" si="25"/>
        <v/>
      </c>
      <c r="AI338" s="76" t="str">
        <f t="shared" si="26"/>
        <v/>
      </c>
      <c r="AJ338" s="76" t="str">
        <f t="shared" si="27"/>
        <v/>
      </c>
      <c r="AK338" s="76" t="str">
        <f t="shared" si="28"/>
        <v/>
      </c>
      <c r="AL338" s="76" t="str">
        <f t="shared" si="29"/>
        <v/>
      </c>
      <c r="AM338" s="76" t="str">
        <f t="shared" si="30"/>
        <v/>
      </c>
      <c r="AN338" s="76" t="str">
        <f t="shared" si="31"/>
        <v/>
      </c>
      <c r="AO338" s="76" t="str">
        <f t="shared" si="32"/>
        <v/>
      </c>
      <c r="AP338" s="76" t="str">
        <f t="shared" si="33"/>
        <v/>
      </c>
    </row>
    <row r="339" ht="15.75" customHeight="1">
      <c r="A339" s="76" t="str">
        <f>IF('Manual Entry'!A311="","",'Manual Entry'!A311)</f>
        <v/>
      </c>
      <c r="B339" s="76" t="str">
        <f t="shared" si="3"/>
        <v/>
      </c>
      <c r="C339" s="76" t="str">
        <f t="shared" si="4"/>
        <v/>
      </c>
      <c r="D339" s="76" t="str">
        <f>'Manual Entry'!D311</f>
        <v/>
      </c>
      <c r="E339" s="76" t="str">
        <f>'Manual Entry'!B311</f>
        <v/>
      </c>
      <c r="F339" s="76" t="str">
        <f>'Manual Entry'!F311</f>
        <v/>
      </c>
      <c r="G339" s="76" t="str">
        <f>'Manual Entry'!G311</f>
        <v/>
      </c>
      <c r="H339" s="76" t="str">
        <f>'Manual Entry'!H311</f>
        <v/>
      </c>
      <c r="I339" s="78" t="str">
        <f>'Manual Entry'!I311</f>
        <v/>
      </c>
      <c r="J339" s="78" t="str">
        <f>'Manual Entry'!J311</f>
        <v/>
      </c>
      <c r="K339" s="78" t="str">
        <f>'Manual Entry'!K311</f>
        <v/>
      </c>
      <c r="L339" s="78" t="str">
        <f>'Manual Entry'!L311</f>
        <v/>
      </c>
      <c r="M339" s="78" t="str">
        <f>'Manual Entry'!M311</f>
        <v/>
      </c>
      <c r="N339" s="78" t="str">
        <f>'Manual Entry'!N311</f>
        <v/>
      </c>
      <c r="O339" s="76">
        <f t="shared" si="6"/>
        <v>0</v>
      </c>
      <c r="P339" s="76">
        <f t="shared" si="7"/>
        <v>0</v>
      </c>
      <c r="Q339" s="76">
        <f t="shared" si="8"/>
        <v>0</v>
      </c>
      <c r="R339" s="76">
        <f t="shared" si="9"/>
        <v>0</v>
      </c>
      <c r="S339" s="76" t="str">
        <f t="shared" si="10"/>
        <v/>
      </c>
      <c r="T339" s="76" t="str">
        <f t="shared" si="11"/>
        <v/>
      </c>
      <c r="U339" s="76" t="str">
        <f t="shared" si="12"/>
        <v/>
      </c>
      <c r="V339" s="76" t="str">
        <f t="shared" si="13"/>
        <v/>
      </c>
      <c r="W339" s="76" t="str">
        <f t="shared" si="14"/>
        <v/>
      </c>
      <c r="X339" s="76" t="str">
        <f t="shared" si="15"/>
        <v/>
      </c>
      <c r="Y339" s="76" t="str">
        <f t="shared" si="16"/>
        <v/>
      </c>
      <c r="Z339" s="76" t="str">
        <f t="shared" si="17"/>
        <v/>
      </c>
      <c r="AA339" s="76" t="str">
        <f t="shared" si="18"/>
        <v/>
      </c>
      <c r="AB339" s="76" t="str">
        <f t="shared" si="19"/>
        <v/>
      </c>
      <c r="AC339" s="76" t="str">
        <f t="shared" si="20"/>
        <v/>
      </c>
      <c r="AD339" s="76" t="str">
        <f t="shared" si="21"/>
        <v/>
      </c>
      <c r="AE339" s="76" t="str">
        <f t="shared" si="22"/>
        <v/>
      </c>
      <c r="AF339" s="76" t="str">
        <f t="shared" si="23"/>
        <v/>
      </c>
      <c r="AG339" s="76" t="str">
        <f t="shared" si="24"/>
        <v/>
      </c>
      <c r="AH339" s="76" t="str">
        <f t="shared" si="25"/>
        <v/>
      </c>
      <c r="AI339" s="76" t="str">
        <f t="shared" si="26"/>
        <v/>
      </c>
      <c r="AJ339" s="76" t="str">
        <f t="shared" si="27"/>
        <v/>
      </c>
      <c r="AK339" s="76" t="str">
        <f t="shared" si="28"/>
        <v/>
      </c>
      <c r="AL339" s="76" t="str">
        <f t="shared" si="29"/>
        <v/>
      </c>
      <c r="AM339" s="76" t="str">
        <f t="shared" si="30"/>
        <v/>
      </c>
      <c r="AN339" s="76" t="str">
        <f t="shared" si="31"/>
        <v/>
      </c>
      <c r="AO339" s="76" t="str">
        <f t="shared" si="32"/>
        <v/>
      </c>
      <c r="AP339" s="76" t="str">
        <f t="shared" si="33"/>
        <v/>
      </c>
    </row>
    <row r="340" ht="15.75" customHeight="1">
      <c r="A340" s="76" t="str">
        <f>IF('Manual Entry'!A312="","",'Manual Entry'!A312)</f>
        <v/>
      </c>
      <c r="B340" s="76" t="str">
        <f t="shared" si="3"/>
        <v/>
      </c>
      <c r="C340" s="76" t="str">
        <f t="shared" si="4"/>
        <v/>
      </c>
      <c r="D340" s="76" t="str">
        <f>'Manual Entry'!D312</f>
        <v/>
      </c>
      <c r="E340" s="76" t="str">
        <f>'Manual Entry'!B312</f>
        <v/>
      </c>
      <c r="F340" s="76" t="str">
        <f>'Manual Entry'!F312</f>
        <v/>
      </c>
      <c r="G340" s="76" t="str">
        <f>'Manual Entry'!G312</f>
        <v/>
      </c>
      <c r="H340" s="76" t="str">
        <f>'Manual Entry'!H312</f>
        <v/>
      </c>
      <c r="I340" s="78" t="str">
        <f>'Manual Entry'!I312</f>
        <v/>
      </c>
      <c r="J340" s="78" t="str">
        <f>'Manual Entry'!J312</f>
        <v/>
      </c>
      <c r="K340" s="78" t="str">
        <f>'Manual Entry'!K312</f>
        <v/>
      </c>
      <c r="L340" s="78" t="str">
        <f>'Manual Entry'!L312</f>
        <v/>
      </c>
      <c r="M340" s="78" t="str">
        <f>'Manual Entry'!M312</f>
        <v/>
      </c>
      <c r="N340" s="78" t="str">
        <f>'Manual Entry'!N312</f>
        <v/>
      </c>
      <c r="O340" s="76">
        <f t="shared" si="6"/>
        <v>0</v>
      </c>
      <c r="P340" s="76">
        <f t="shared" si="7"/>
        <v>0</v>
      </c>
      <c r="Q340" s="76">
        <f t="shared" si="8"/>
        <v>0</v>
      </c>
      <c r="R340" s="76">
        <f t="shared" si="9"/>
        <v>0</v>
      </c>
      <c r="S340" s="76" t="str">
        <f t="shared" si="10"/>
        <v/>
      </c>
      <c r="T340" s="76" t="str">
        <f t="shared" si="11"/>
        <v/>
      </c>
      <c r="U340" s="76" t="str">
        <f t="shared" si="12"/>
        <v/>
      </c>
      <c r="V340" s="76" t="str">
        <f t="shared" si="13"/>
        <v/>
      </c>
      <c r="W340" s="76" t="str">
        <f t="shared" si="14"/>
        <v/>
      </c>
      <c r="X340" s="76" t="str">
        <f t="shared" si="15"/>
        <v/>
      </c>
      <c r="Y340" s="76" t="str">
        <f t="shared" si="16"/>
        <v/>
      </c>
      <c r="Z340" s="76" t="str">
        <f t="shared" si="17"/>
        <v/>
      </c>
      <c r="AA340" s="76" t="str">
        <f t="shared" si="18"/>
        <v/>
      </c>
      <c r="AB340" s="76" t="str">
        <f t="shared" si="19"/>
        <v/>
      </c>
      <c r="AC340" s="76" t="str">
        <f t="shared" si="20"/>
        <v/>
      </c>
      <c r="AD340" s="76" t="str">
        <f t="shared" si="21"/>
        <v/>
      </c>
      <c r="AE340" s="76" t="str">
        <f t="shared" si="22"/>
        <v/>
      </c>
      <c r="AF340" s="76" t="str">
        <f t="shared" si="23"/>
        <v/>
      </c>
      <c r="AG340" s="76" t="str">
        <f t="shared" si="24"/>
        <v/>
      </c>
      <c r="AH340" s="76" t="str">
        <f t="shared" si="25"/>
        <v/>
      </c>
      <c r="AI340" s="76" t="str">
        <f t="shared" si="26"/>
        <v/>
      </c>
      <c r="AJ340" s="76" t="str">
        <f t="shared" si="27"/>
        <v/>
      </c>
      <c r="AK340" s="76" t="str">
        <f t="shared" si="28"/>
        <v/>
      </c>
      <c r="AL340" s="76" t="str">
        <f t="shared" si="29"/>
        <v/>
      </c>
      <c r="AM340" s="76" t="str">
        <f t="shared" si="30"/>
        <v/>
      </c>
      <c r="AN340" s="76" t="str">
        <f t="shared" si="31"/>
        <v/>
      </c>
      <c r="AO340" s="76" t="str">
        <f t="shared" si="32"/>
        <v/>
      </c>
      <c r="AP340" s="76" t="str">
        <f t="shared" si="33"/>
        <v/>
      </c>
    </row>
    <row r="341" ht="15.75" customHeight="1">
      <c r="A341" s="76" t="str">
        <f>IF('Manual Entry'!A313="","",'Manual Entry'!A313)</f>
        <v/>
      </c>
      <c r="B341" s="76" t="str">
        <f t="shared" si="3"/>
        <v/>
      </c>
      <c r="C341" s="76" t="str">
        <f t="shared" si="4"/>
        <v/>
      </c>
      <c r="D341" s="76" t="str">
        <f>'Manual Entry'!D313</f>
        <v/>
      </c>
      <c r="E341" s="76" t="str">
        <f>'Manual Entry'!B313</f>
        <v/>
      </c>
      <c r="F341" s="76" t="str">
        <f>'Manual Entry'!F313</f>
        <v/>
      </c>
      <c r="G341" s="76" t="str">
        <f>'Manual Entry'!G313</f>
        <v/>
      </c>
      <c r="H341" s="76" t="str">
        <f>'Manual Entry'!H313</f>
        <v/>
      </c>
      <c r="I341" s="78" t="str">
        <f>'Manual Entry'!I313</f>
        <v/>
      </c>
      <c r="J341" s="78" t="str">
        <f>'Manual Entry'!J313</f>
        <v/>
      </c>
      <c r="K341" s="78" t="str">
        <f>'Manual Entry'!K313</f>
        <v/>
      </c>
      <c r="L341" s="78" t="str">
        <f>'Manual Entry'!L313</f>
        <v/>
      </c>
      <c r="M341" s="78" t="str">
        <f>'Manual Entry'!M313</f>
        <v/>
      </c>
      <c r="N341" s="78" t="str">
        <f>'Manual Entry'!N313</f>
        <v/>
      </c>
      <c r="O341" s="76">
        <f t="shared" si="6"/>
        <v>0</v>
      </c>
      <c r="P341" s="76">
        <f t="shared" si="7"/>
        <v>0</v>
      </c>
      <c r="Q341" s="76">
        <f t="shared" si="8"/>
        <v>0</v>
      </c>
      <c r="R341" s="76">
        <f t="shared" si="9"/>
        <v>0</v>
      </c>
      <c r="S341" s="76" t="str">
        <f t="shared" si="10"/>
        <v/>
      </c>
      <c r="T341" s="76" t="str">
        <f t="shared" si="11"/>
        <v/>
      </c>
      <c r="U341" s="76" t="str">
        <f t="shared" si="12"/>
        <v/>
      </c>
      <c r="V341" s="76" t="str">
        <f t="shared" si="13"/>
        <v/>
      </c>
      <c r="W341" s="76" t="str">
        <f t="shared" si="14"/>
        <v/>
      </c>
      <c r="X341" s="76" t="str">
        <f t="shared" si="15"/>
        <v/>
      </c>
      <c r="Y341" s="76" t="str">
        <f t="shared" si="16"/>
        <v/>
      </c>
      <c r="Z341" s="76" t="str">
        <f t="shared" si="17"/>
        <v/>
      </c>
      <c r="AA341" s="76" t="str">
        <f t="shared" si="18"/>
        <v/>
      </c>
      <c r="AB341" s="76" t="str">
        <f t="shared" si="19"/>
        <v/>
      </c>
      <c r="AC341" s="76" t="str">
        <f t="shared" si="20"/>
        <v/>
      </c>
      <c r="AD341" s="76" t="str">
        <f t="shared" si="21"/>
        <v/>
      </c>
      <c r="AE341" s="76" t="str">
        <f t="shared" si="22"/>
        <v/>
      </c>
      <c r="AF341" s="76" t="str">
        <f t="shared" si="23"/>
        <v/>
      </c>
      <c r="AG341" s="76" t="str">
        <f t="shared" si="24"/>
        <v/>
      </c>
      <c r="AH341" s="76" t="str">
        <f t="shared" si="25"/>
        <v/>
      </c>
      <c r="AI341" s="76" t="str">
        <f t="shared" si="26"/>
        <v/>
      </c>
      <c r="AJ341" s="76" t="str">
        <f t="shared" si="27"/>
        <v/>
      </c>
      <c r="AK341" s="76" t="str">
        <f t="shared" si="28"/>
        <v/>
      </c>
      <c r="AL341" s="76" t="str">
        <f t="shared" si="29"/>
        <v/>
      </c>
      <c r="AM341" s="76" t="str">
        <f t="shared" si="30"/>
        <v/>
      </c>
      <c r="AN341" s="76" t="str">
        <f t="shared" si="31"/>
        <v/>
      </c>
      <c r="AO341" s="76" t="str">
        <f t="shared" si="32"/>
        <v/>
      </c>
      <c r="AP341" s="76" t="str">
        <f t="shared" si="33"/>
        <v/>
      </c>
    </row>
    <row r="342" ht="15.75" customHeight="1">
      <c r="A342" s="76" t="str">
        <f>IF('Manual Entry'!A314="","",'Manual Entry'!A314)</f>
        <v/>
      </c>
      <c r="B342" s="76" t="str">
        <f t="shared" si="3"/>
        <v/>
      </c>
      <c r="C342" s="76" t="str">
        <f t="shared" si="4"/>
        <v/>
      </c>
      <c r="D342" s="76" t="str">
        <f>'Manual Entry'!D314</f>
        <v/>
      </c>
      <c r="E342" s="76" t="str">
        <f>'Manual Entry'!B314</f>
        <v/>
      </c>
      <c r="F342" s="76" t="str">
        <f>'Manual Entry'!F314</f>
        <v/>
      </c>
      <c r="G342" s="76" t="str">
        <f>'Manual Entry'!G314</f>
        <v/>
      </c>
      <c r="H342" s="76" t="str">
        <f>'Manual Entry'!H314</f>
        <v/>
      </c>
      <c r="I342" s="78" t="str">
        <f>'Manual Entry'!I314</f>
        <v/>
      </c>
      <c r="J342" s="78" t="str">
        <f>'Manual Entry'!J314</f>
        <v/>
      </c>
      <c r="K342" s="78" t="str">
        <f>'Manual Entry'!K314</f>
        <v/>
      </c>
      <c r="L342" s="78" t="str">
        <f>'Manual Entry'!L314</f>
        <v/>
      </c>
      <c r="M342" s="78" t="str">
        <f>'Manual Entry'!M314</f>
        <v/>
      </c>
      <c r="N342" s="78" t="str">
        <f>'Manual Entry'!N314</f>
        <v/>
      </c>
      <c r="O342" s="76">
        <f t="shared" si="6"/>
        <v>0</v>
      </c>
      <c r="P342" s="76">
        <f t="shared" si="7"/>
        <v>0</v>
      </c>
      <c r="Q342" s="76">
        <f t="shared" si="8"/>
        <v>0</v>
      </c>
      <c r="R342" s="76">
        <f t="shared" si="9"/>
        <v>0</v>
      </c>
      <c r="S342" s="76" t="str">
        <f t="shared" si="10"/>
        <v/>
      </c>
      <c r="T342" s="76" t="str">
        <f t="shared" si="11"/>
        <v/>
      </c>
      <c r="U342" s="76" t="str">
        <f t="shared" si="12"/>
        <v/>
      </c>
      <c r="V342" s="76" t="str">
        <f t="shared" si="13"/>
        <v/>
      </c>
      <c r="W342" s="76" t="str">
        <f t="shared" si="14"/>
        <v/>
      </c>
      <c r="X342" s="76" t="str">
        <f t="shared" si="15"/>
        <v/>
      </c>
      <c r="Y342" s="76" t="str">
        <f t="shared" si="16"/>
        <v/>
      </c>
      <c r="Z342" s="76" t="str">
        <f t="shared" si="17"/>
        <v/>
      </c>
      <c r="AA342" s="76" t="str">
        <f t="shared" si="18"/>
        <v/>
      </c>
      <c r="AB342" s="76" t="str">
        <f t="shared" si="19"/>
        <v/>
      </c>
      <c r="AC342" s="76" t="str">
        <f t="shared" si="20"/>
        <v/>
      </c>
      <c r="AD342" s="76" t="str">
        <f t="shared" si="21"/>
        <v/>
      </c>
      <c r="AE342" s="76" t="str">
        <f t="shared" si="22"/>
        <v/>
      </c>
      <c r="AF342" s="76" t="str">
        <f t="shared" si="23"/>
        <v/>
      </c>
      <c r="AG342" s="76" t="str">
        <f t="shared" si="24"/>
        <v/>
      </c>
      <c r="AH342" s="76" t="str">
        <f t="shared" si="25"/>
        <v/>
      </c>
      <c r="AI342" s="76" t="str">
        <f t="shared" si="26"/>
        <v/>
      </c>
      <c r="AJ342" s="76" t="str">
        <f t="shared" si="27"/>
        <v/>
      </c>
      <c r="AK342" s="76" t="str">
        <f t="shared" si="28"/>
        <v/>
      </c>
      <c r="AL342" s="76" t="str">
        <f t="shared" si="29"/>
        <v/>
      </c>
      <c r="AM342" s="76" t="str">
        <f t="shared" si="30"/>
        <v/>
      </c>
      <c r="AN342" s="76" t="str">
        <f t="shared" si="31"/>
        <v/>
      </c>
      <c r="AO342" s="76" t="str">
        <f t="shared" si="32"/>
        <v/>
      </c>
      <c r="AP342" s="76" t="str">
        <f t="shared" si="33"/>
        <v/>
      </c>
    </row>
    <row r="343" ht="15.75" customHeight="1">
      <c r="A343" s="76" t="str">
        <f>IF('Manual Entry'!A315="","",'Manual Entry'!A315)</f>
        <v/>
      </c>
      <c r="B343" s="76" t="str">
        <f t="shared" si="3"/>
        <v/>
      </c>
      <c r="C343" s="76" t="str">
        <f t="shared" si="4"/>
        <v/>
      </c>
      <c r="D343" s="76" t="str">
        <f>'Manual Entry'!D315</f>
        <v/>
      </c>
      <c r="E343" s="76" t="str">
        <f>'Manual Entry'!B315</f>
        <v/>
      </c>
      <c r="F343" s="76" t="str">
        <f>'Manual Entry'!F315</f>
        <v/>
      </c>
      <c r="G343" s="76" t="str">
        <f>'Manual Entry'!G315</f>
        <v/>
      </c>
      <c r="H343" s="76" t="str">
        <f>'Manual Entry'!H315</f>
        <v/>
      </c>
      <c r="I343" s="78" t="str">
        <f>'Manual Entry'!I315</f>
        <v/>
      </c>
      <c r="J343" s="78" t="str">
        <f>'Manual Entry'!J315</f>
        <v/>
      </c>
      <c r="K343" s="78" t="str">
        <f>'Manual Entry'!K315</f>
        <v/>
      </c>
      <c r="L343" s="78" t="str">
        <f>'Manual Entry'!L315</f>
        <v/>
      </c>
      <c r="M343" s="78" t="str">
        <f>'Manual Entry'!M315</f>
        <v/>
      </c>
      <c r="N343" s="78" t="str">
        <f>'Manual Entry'!N315</f>
        <v/>
      </c>
      <c r="O343" s="76">
        <f t="shared" si="6"/>
        <v>0</v>
      </c>
      <c r="P343" s="76">
        <f t="shared" si="7"/>
        <v>0</v>
      </c>
      <c r="Q343" s="76">
        <f t="shared" si="8"/>
        <v>0</v>
      </c>
      <c r="R343" s="76">
        <f t="shared" si="9"/>
        <v>0</v>
      </c>
      <c r="S343" s="76" t="str">
        <f t="shared" si="10"/>
        <v/>
      </c>
      <c r="T343" s="76" t="str">
        <f t="shared" si="11"/>
        <v/>
      </c>
      <c r="U343" s="76" t="str">
        <f t="shared" si="12"/>
        <v/>
      </c>
      <c r="V343" s="76" t="str">
        <f t="shared" si="13"/>
        <v/>
      </c>
      <c r="W343" s="76" t="str">
        <f t="shared" si="14"/>
        <v/>
      </c>
      <c r="X343" s="76" t="str">
        <f t="shared" si="15"/>
        <v/>
      </c>
      <c r="Y343" s="76" t="str">
        <f t="shared" si="16"/>
        <v/>
      </c>
      <c r="Z343" s="76" t="str">
        <f t="shared" si="17"/>
        <v/>
      </c>
      <c r="AA343" s="76" t="str">
        <f t="shared" si="18"/>
        <v/>
      </c>
      <c r="AB343" s="76" t="str">
        <f t="shared" si="19"/>
        <v/>
      </c>
      <c r="AC343" s="76" t="str">
        <f t="shared" si="20"/>
        <v/>
      </c>
      <c r="AD343" s="76" t="str">
        <f t="shared" si="21"/>
        <v/>
      </c>
      <c r="AE343" s="76" t="str">
        <f t="shared" si="22"/>
        <v/>
      </c>
      <c r="AF343" s="76" t="str">
        <f t="shared" si="23"/>
        <v/>
      </c>
      <c r="AG343" s="76" t="str">
        <f t="shared" si="24"/>
        <v/>
      </c>
      <c r="AH343" s="76" t="str">
        <f t="shared" si="25"/>
        <v/>
      </c>
      <c r="AI343" s="76" t="str">
        <f t="shared" si="26"/>
        <v/>
      </c>
      <c r="AJ343" s="76" t="str">
        <f t="shared" si="27"/>
        <v/>
      </c>
      <c r="AK343" s="76" t="str">
        <f t="shared" si="28"/>
        <v/>
      </c>
      <c r="AL343" s="76" t="str">
        <f t="shared" si="29"/>
        <v/>
      </c>
      <c r="AM343" s="76" t="str">
        <f t="shared" si="30"/>
        <v/>
      </c>
      <c r="AN343" s="76" t="str">
        <f t="shared" si="31"/>
        <v/>
      </c>
      <c r="AO343" s="76" t="str">
        <f t="shared" si="32"/>
        <v/>
      </c>
      <c r="AP343" s="76" t="str">
        <f t="shared" si="33"/>
        <v/>
      </c>
    </row>
    <row r="344" ht="15.75" customHeight="1">
      <c r="A344" s="76" t="str">
        <f>IF('Manual Entry'!A316="","",'Manual Entry'!A316)</f>
        <v/>
      </c>
      <c r="B344" s="76" t="str">
        <f t="shared" si="3"/>
        <v/>
      </c>
      <c r="C344" s="76" t="str">
        <f t="shared" si="4"/>
        <v/>
      </c>
      <c r="D344" s="76" t="str">
        <f>'Manual Entry'!D316</f>
        <v/>
      </c>
      <c r="E344" s="76" t="str">
        <f>'Manual Entry'!B316</f>
        <v/>
      </c>
      <c r="F344" s="76" t="str">
        <f>'Manual Entry'!F316</f>
        <v/>
      </c>
      <c r="G344" s="76" t="str">
        <f>'Manual Entry'!G316</f>
        <v/>
      </c>
      <c r="H344" s="76" t="str">
        <f>'Manual Entry'!H316</f>
        <v/>
      </c>
      <c r="I344" s="78" t="str">
        <f>'Manual Entry'!I316</f>
        <v/>
      </c>
      <c r="J344" s="78" t="str">
        <f>'Manual Entry'!J316</f>
        <v/>
      </c>
      <c r="K344" s="78" t="str">
        <f>'Manual Entry'!K316</f>
        <v/>
      </c>
      <c r="L344" s="78" t="str">
        <f>'Manual Entry'!L316</f>
        <v/>
      </c>
      <c r="M344" s="78" t="str">
        <f>'Manual Entry'!M316</f>
        <v/>
      </c>
      <c r="N344" s="78" t="str">
        <f>'Manual Entry'!N316</f>
        <v/>
      </c>
      <c r="O344" s="76">
        <f t="shared" si="6"/>
        <v>0</v>
      </c>
      <c r="P344" s="76">
        <f t="shared" si="7"/>
        <v>0</v>
      </c>
      <c r="Q344" s="76">
        <f t="shared" si="8"/>
        <v>0</v>
      </c>
      <c r="R344" s="76">
        <f t="shared" si="9"/>
        <v>0</v>
      </c>
      <c r="S344" s="76" t="str">
        <f t="shared" si="10"/>
        <v/>
      </c>
      <c r="T344" s="76" t="str">
        <f t="shared" si="11"/>
        <v/>
      </c>
      <c r="U344" s="76" t="str">
        <f t="shared" si="12"/>
        <v/>
      </c>
      <c r="V344" s="76" t="str">
        <f t="shared" si="13"/>
        <v/>
      </c>
      <c r="W344" s="76" t="str">
        <f t="shared" si="14"/>
        <v/>
      </c>
      <c r="X344" s="76" t="str">
        <f t="shared" si="15"/>
        <v/>
      </c>
      <c r="Y344" s="76" t="str">
        <f t="shared" si="16"/>
        <v/>
      </c>
      <c r="Z344" s="76" t="str">
        <f t="shared" si="17"/>
        <v/>
      </c>
      <c r="AA344" s="76" t="str">
        <f t="shared" si="18"/>
        <v/>
      </c>
      <c r="AB344" s="76" t="str">
        <f t="shared" si="19"/>
        <v/>
      </c>
      <c r="AC344" s="76" t="str">
        <f t="shared" si="20"/>
        <v/>
      </c>
      <c r="AD344" s="76" t="str">
        <f t="shared" si="21"/>
        <v/>
      </c>
      <c r="AE344" s="76" t="str">
        <f t="shared" si="22"/>
        <v/>
      </c>
      <c r="AF344" s="76" t="str">
        <f t="shared" si="23"/>
        <v/>
      </c>
      <c r="AG344" s="76" t="str">
        <f t="shared" si="24"/>
        <v/>
      </c>
      <c r="AH344" s="76" t="str">
        <f t="shared" si="25"/>
        <v/>
      </c>
      <c r="AI344" s="76" t="str">
        <f t="shared" si="26"/>
        <v/>
      </c>
      <c r="AJ344" s="76" t="str">
        <f t="shared" si="27"/>
        <v/>
      </c>
      <c r="AK344" s="76" t="str">
        <f t="shared" si="28"/>
        <v/>
      </c>
      <c r="AL344" s="76" t="str">
        <f t="shared" si="29"/>
        <v/>
      </c>
      <c r="AM344" s="76" t="str">
        <f t="shared" si="30"/>
        <v/>
      </c>
      <c r="AN344" s="76" t="str">
        <f t="shared" si="31"/>
        <v/>
      </c>
      <c r="AO344" s="76" t="str">
        <f t="shared" si="32"/>
        <v/>
      </c>
      <c r="AP344" s="76" t="str">
        <f t="shared" si="33"/>
        <v/>
      </c>
    </row>
    <row r="345" ht="15.75" customHeight="1">
      <c r="A345" s="76" t="str">
        <f>IF('Manual Entry'!A317="","",'Manual Entry'!A317)</f>
        <v/>
      </c>
      <c r="B345" s="76" t="str">
        <f t="shared" si="3"/>
        <v/>
      </c>
      <c r="C345" s="76" t="str">
        <f t="shared" si="4"/>
        <v/>
      </c>
      <c r="D345" s="76" t="str">
        <f>'Manual Entry'!D317</f>
        <v/>
      </c>
      <c r="E345" s="76" t="str">
        <f>'Manual Entry'!B317</f>
        <v/>
      </c>
      <c r="F345" s="76" t="str">
        <f>'Manual Entry'!F317</f>
        <v/>
      </c>
      <c r="G345" s="76" t="str">
        <f>'Manual Entry'!G317</f>
        <v/>
      </c>
      <c r="H345" s="76" t="str">
        <f>'Manual Entry'!H317</f>
        <v/>
      </c>
      <c r="I345" s="78" t="str">
        <f>'Manual Entry'!I317</f>
        <v/>
      </c>
      <c r="J345" s="78" t="str">
        <f>'Manual Entry'!J317</f>
        <v/>
      </c>
      <c r="K345" s="78" t="str">
        <f>'Manual Entry'!K317</f>
        <v/>
      </c>
      <c r="L345" s="78" t="str">
        <f>'Manual Entry'!L317</f>
        <v/>
      </c>
      <c r="M345" s="78" t="str">
        <f>'Manual Entry'!M317</f>
        <v/>
      </c>
      <c r="N345" s="78" t="str">
        <f>'Manual Entry'!N317</f>
        <v/>
      </c>
      <c r="O345" s="76">
        <f t="shared" si="6"/>
        <v>0</v>
      </c>
      <c r="P345" s="76">
        <f t="shared" si="7"/>
        <v>0</v>
      </c>
      <c r="Q345" s="76">
        <f t="shared" si="8"/>
        <v>0</v>
      </c>
      <c r="R345" s="76">
        <f t="shared" si="9"/>
        <v>0</v>
      </c>
      <c r="S345" s="76" t="str">
        <f t="shared" si="10"/>
        <v/>
      </c>
      <c r="T345" s="76" t="str">
        <f t="shared" si="11"/>
        <v/>
      </c>
      <c r="U345" s="76" t="str">
        <f t="shared" si="12"/>
        <v/>
      </c>
      <c r="V345" s="76" t="str">
        <f t="shared" si="13"/>
        <v/>
      </c>
      <c r="W345" s="76" t="str">
        <f t="shared" si="14"/>
        <v/>
      </c>
      <c r="X345" s="76" t="str">
        <f t="shared" si="15"/>
        <v/>
      </c>
      <c r="Y345" s="76" t="str">
        <f t="shared" si="16"/>
        <v/>
      </c>
      <c r="Z345" s="76" t="str">
        <f t="shared" si="17"/>
        <v/>
      </c>
      <c r="AA345" s="76" t="str">
        <f t="shared" si="18"/>
        <v/>
      </c>
      <c r="AB345" s="76" t="str">
        <f t="shared" si="19"/>
        <v/>
      </c>
      <c r="AC345" s="76" t="str">
        <f t="shared" si="20"/>
        <v/>
      </c>
      <c r="AD345" s="76" t="str">
        <f t="shared" si="21"/>
        <v/>
      </c>
      <c r="AE345" s="76" t="str">
        <f t="shared" si="22"/>
        <v/>
      </c>
      <c r="AF345" s="76" t="str">
        <f t="shared" si="23"/>
        <v/>
      </c>
      <c r="AG345" s="76" t="str">
        <f t="shared" si="24"/>
        <v/>
      </c>
      <c r="AH345" s="76" t="str">
        <f t="shared" si="25"/>
        <v/>
      </c>
      <c r="AI345" s="76" t="str">
        <f t="shared" si="26"/>
        <v/>
      </c>
      <c r="AJ345" s="76" t="str">
        <f t="shared" si="27"/>
        <v/>
      </c>
      <c r="AK345" s="76" t="str">
        <f t="shared" si="28"/>
        <v/>
      </c>
      <c r="AL345" s="76" t="str">
        <f t="shared" si="29"/>
        <v/>
      </c>
      <c r="AM345" s="76" t="str">
        <f t="shared" si="30"/>
        <v/>
      </c>
      <c r="AN345" s="76" t="str">
        <f t="shared" si="31"/>
        <v/>
      </c>
      <c r="AO345" s="76" t="str">
        <f t="shared" si="32"/>
        <v/>
      </c>
      <c r="AP345" s="76" t="str">
        <f t="shared" si="33"/>
        <v/>
      </c>
    </row>
    <row r="346" ht="15.75" customHeight="1">
      <c r="A346" s="76" t="str">
        <f>IF('Manual Entry'!A318="","",'Manual Entry'!A318)</f>
        <v/>
      </c>
      <c r="B346" s="76" t="str">
        <f t="shared" si="3"/>
        <v/>
      </c>
      <c r="C346" s="76" t="str">
        <f t="shared" si="4"/>
        <v/>
      </c>
      <c r="D346" s="76" t="str">
        <f>'Manual Entry'!D318</f>
        <v/>
      </c>
      <c r="E346" s="76" t="str">
        <f>'Manual Entry'!B318</f>
        <v/>
      </c>
      <c r="F346" s="76" t="str">
        <f>'Manual Entry'!F318</f>
        <v/>
      </c>
      <c r="G346" s="76" t="str">
        <f>'Manual Entry'!G318</f>
        <v/>
      </c>
      <c r="H346" s="76" t="str">
        <f>'Manual Entry'!H318</f>
        <v/>
      </c>
      <c r="I346" s="78" t="str">
        <f>'Manual Entry'!I318</f>
        <v/>
      </c>
      <c r="J346" s="78" t="str">
        <f>'Manual Entry'!J318</f>
        <v/>
      </c>
      <c r="K346" s="78" t="str">
        <f>'Manual Entry'!K318</f>
        <v/>
      </c>
      <c r="L346" s="78" t="str">
        <f>'Manual Entry'!L318</f>
        <v/>
      </c>
      <c r="M346" s="78" t="str">
        <f>'Manual Entry'!M318</f>
        <v/>
      </c>
      <c r="N346" s="78" t="str">
        <f>'Manual Entry'!N318</f>
        <v/>
      </c>
      <c r="O346" s="76">
        <f t="shared" si="6"/>
        <v>0</v>
      </c>
      <c r="P346" s="76">
        <f t="shared" si="7"/>
        <v>0</v>
      </c>
      <c r="Q346" s="76">
        <f t="shared" si="8"/>
        <v>0</v>
      </c>
      <c r="R346" s="76">
        <f t="shared" si="9"/>
        <v>0</v>
      </c>
      <c r="S346" s="76" t="str">
        <f t="shared" si="10"/>
        <v/>
      </c>
      <c r="T346" s="76" t="str">
        <f t="shared" si="11"/>
        <v/>
      </c>
      <c r="U346" s="76" t="str">
        <f t="shared" si="12"/>
        <v/>
      </c>
      <c r="V346" s="76" t="str">
        <f t="shared" si="13"/>
        <v/>
      </c>
      <c r="W346" s="76" t="str">
        <f t="shared" si="14"/>
        <v/>
      </c>
      <c r="X346" s="76" t="str">
        <f t="shared" si="15"/>
        <v/>
      </c>
      <c r="Y346" s="76" t="str">
        <f t="shared" si="16"/>
        <v/>
      </c>
      <c r="Z346" s="76" t="str">
        <f t="shared" si="17"/>
        <v/>
      </c>
      <c r="AA346" s="76" t="str">
        <f t="shared" si="18"/>
        <v/>
      </c>
      <c r="AB346" s="76" t="str">
        <f t="shared" si="19"/>
        <v/>
      </c>
      <c r="AC346" s="76" t="str">
        <f t="shared" si="20"/>
        <v/>
      </c>
      <c r="AD346" s="76" t="str">
        <f t="shared" si="21"/>
        <v/>
      </c>
      <c r="AE346" s="76" t="str">
        <f t="shared" si="22"/>
        <v/>
      </c>
      <c r="AF346" s="76" t="str">
        <f t="shared" si="23"/>
        <v/>
      </c>
      <c r="AG346" s="76" t="str">
        <f t="shared" si="24"/>
        <v/>
      </c>
      <c r="AH346" s="76" t="str">
        <f t="shared" si="25"/>
        <v/>
      </c>
      <c r="AI346" s="76" t="str">
        <f t="shared" si="26"/>
        <v/>
      </c>
      <c r="AJ346" s="76" t="str">
        <f t="shared" si="27"/>
        <v/>
      </c>
      <c r="AK346" s="76" t="str">
        <f t="shared" si="28"/>
        <v/>
      </c>
      <c r="AL346" s="76" t="str">
        <f t="shared" si="29"/>
        <v/>
      </c>
      <c r="AM346" s="76" t="str">
        <f t="shared" si="30"/>
        <v/>
      </c>
      <c r="AN346" s="76" t="str">
        <f t="shared" si="31"/>
        <v/>
      </c>
      <c r="AO346" s="76" t="str">
        <f t="shared" si="32"/>
        <v/>
      </c>
      <c r="AP346" s="76" t="str">
        <f t="shared" si="33"/>
        <v/>
      </c>
    </row>
    <row r="347" ht="15.75" customHeight="1">
      <c r="A347" s="76" t="str">
        <f>IF('Manual Entry'!A319="","",'Manual Entry'!A319)</f>
        <v/>
      </c>
      <c r="B347" s="76" t="str">
        <f t="shared" si="3"/>
        <v/>
      </c>
      <c r="C347" s="76" t="str">
        <f t="shared" si="4"/>
        <v/>
      </c>
      <c r="D347" s="76" t="str">
        <f>'Manual Entry'!D319</f>
        <v/>
      </c>
      <c r="E347" s="76" t="str">
        <f>'Manual Entry'!B319</f>
        <v/>
      </c>
      <c r="F347" s="76" t="str">
        <f>'Manual Entry'!F319</f>
        <v/>
      </c>
      <c r="G347" s="76" t="str">
        <f>'Manual Entry'!G319</f>
        <v/>
      </c>
      <c r="H347" s="76" t="str">
        <f>'Manual Entry'!H319</f>
        <v/>
      </c>
      <c r="I347" s="78" t="str">
        <f>'Manual Entry'!I319</f>
        <v/>
      </c>
      <c r="J347" s="78" t="str">
        <f>'Manual Entry'!J319</f>
        <v/>
      </c>
      <c r="K347" s="78" t="str">
        <f>'Manual Entry'!K319</f>
        <v/>
      </c>
      <c r="L347" s="78" t="str">
        <f>'Manual Entry'!L319</f>
        <v/>
      </c>
      <c r="M347" s="78" t="str">
        <f>'Manual Entry'!M319</f>
        <v/>
      </c>
      <c r="N347" s="78" t="str">
        <f>'Manual Entry'!N319</f>
        <v/>
      </c>
      <c r="O347" s="76">
        <f t="shared" si="6"/>
        <v>0</v>
      </c>
      <c r="P347" s="76">
        <f t="shared" si="7"/>
        <v>0</v>
      </c>
      <c r="Q347" s="76">
        <f t="shared" si="8"/>
        <v>0</v>
      </c>
      <c r="R347" s="76">
        <f t="shared" si="9"/>
        <v>0</v>
      </c>
      <c r="S347" s="76" t="str">
        <f t="shared" si="10"/>
        <v/>
      </c>
      <c r="T347" s="76" t="str">
        <f t="shared" si="11"/>
        <v/>
      </c>
      <c r="U347" s="76" t="str">
        <f t="shared" si="12"/>
        <v/>
      </c>
      <c r="V347" s="76" t="str">
        <f t="shared" si="13"/>
        <v/>
      </c>
      <c r="W347" s="76" t="str">
        <f t="shared" si="14"/>
        <v/>
      </c>
      <c r="X347" s="76" t="str">
        <f t="shared" si="15"/>
        <v/>
      </c>
      <c r="Y347" s="76" t="str">
        <f t="shared" si="16"/>
        <v/>
      </c>
      <c r="Z347" s="76" t="str">
        <f t="shared" si="17"/>
        <v/>
      </c>
      <c r="AA347" s="76" t="str">
        <f t="shared" si="18"/>
        <v/>
      </c>
      <c r="AB347" s="76" t="str">
        <f t="shared" si="19"/>
        <v/>
      </c>
      <c r="AC347" s="76" t="str">
        <f t="shared" si="20"/>
        <v/>
      </c>
      <c r="AD347" s="76" t="str">
        <f t="shared" si="21"/>
        <v/>
      </c>
      <c r="AE347" s="76" t="str">
        <f t="shared" si="22"/>
        <v/>
      </c>
      <c r="AF347" s="76" t="str">
        <f t="shared" si="23"/>
        <v/>
      </c>
      <c r="AG347" s="76" t="str">
        <f t="shared" si="24"/>
        <v/>
      </c>
      <c r="AH347" s="76" t="str">
        <f t="shared" si="25"/>
        <v/>
      </c>
      <c r="AI347" s="76" t="str">
        <f t="shared" si="26"/>
        <v/>
      </c>
      <c r="AJ347" s="76" t="str">
        <f t="shared" si="27"/>
        <v/>
      </c>
      <c r="AK347" s="76" t="str">
        <f t="shared" si="28"/>
        <v/>
      </c>
      <c r="AL347" s="76" t="str">
        <f t="shared" si="29"/>
        <v/>
      </c>
      <c r="AM347" s="76" t="str">
        <f t="shared" si="30"/>
        <v/>
      </c>
      <c r="AN347" s="76" t="str">
        <f t="shared" si="31"/>
        <v/>
      </c>
      <c r="AO347" s="76" t="str">
        <f t="shared" si="32"/>
        <v/>
      </c>
      <c r="AP347" s="76" t="str">
        <f t="shared" si="33"/>
        <v/>
      </c>
    </row>
    <row r="348" ht="15.75" customHeight="1">
      <c r="A348" s="76" t="str">
        <f>IF('Manual Entry'!A320="","",'Manual Entry'!A320)</f>
        <v/>
      </c>
      <c r="B348" s="76" t="str">
        <f t="shared" si="3"/>
        <v/>
      </c>
      <c r="C348" s="76" t="str">
        <f t="shared" si="4"/>
        <v/>
      </c>
      <c r="D348" s="76" t="str">
        <f>'Manual Entry'!D320</f>
        <v/>
      </c>
      <c r="E348" s="76" t="str">
        <f>'Manual Entry'!B320</f>
        <v/>
      </c>
      <c r="F348" s="76" t="str">
        <f>'Manual Entry'!F320</f>
        <v/>
      </c>
      <c r="G348" s="76" t="str">
        <f>'Manual Entry'!G320</f>
        <v/>
      </c>
      <c r="H348" s="76" t="str">
        <f>'Manual Entry'!H320</f>
        <v/>
      </c>
      <c r="I348" s="78" t="str">
        <f>'Manual Entry'!I320</f>
        <v/>
      </c>
      <c r="J348" s="78" t="str">
        <f>'Manual Entry'!J320</f>
        <v/>
      </c>
      <c r="K348" s="78" t="str">
        <f>'Manual Entry'!K320</f>
        <v/>
      </c>
      <c r="L348" s="78" t="str">
        <f>'Manual Entry'!L320</f>
        <v/>
      </c>
      <c r="M348" s="78" t="str">
        <f>'Manual Entry'!M320</f>
        <v/>
      </c>
      <c r="N348" s="78" t="str">
        <f>'Manual Entry'!N320</f>
        <v/>
      </c>
      <c r="O348" s="76">
        <f t="shared" si="6"/>
        <v>0</v>
      </c>
      <c r="P348" s="76">
        <f t="shared" si="7"/>
        <v>0</v>
      </c>
      <c r="Q348" s="76">
        <f t="shared" si="8"/>
        <v>0</v>
      </c>
      <c r="R348" s="76">
        <f t="shared" si="9"/>
        <v>0</v>
      </c>
      <c r="S348" s="76" t="str">
        <f t="shared" si="10"/>
        <v/>
      </c>
      <c r="T348" s="76" t="str">
        <f t="shared" si="11"/>
        <v/>
      </c>
      <c r="U348" s="76" t="str">
        <f t="shared" si="12"/>
        <v/>
      </c>
      <c r="V348" s="76" t="str">
        <f t="shared" si="13"/>
        <v/>
      </c>
      <c r="W348" s="76" t="str">
        <f t="shared" si="14"/>
        <v/>
      </c>
      <c r="X348" s="76" t="str">
        <f t="shared" si="15"/>
        <v/>
      </c>
      <c r="Y348" s="76" t="str">
        <f t="shared" si="16"/>
        <v/>
      </c>
      <c r="Z348" s="76" t="str">
        <f t="shared" si="17"/>
        <v/>
      </c>
      <c r="AA348" s="76" t="str">
        <f t="shared" si="18"/>
        <v/>
      </c>
      <c r="AB348" s="76" t="str">
        <f t="shared" si="19"/>
        <v/>
      </c>
      <c r="AC348" s="76" t="str">
        <f t="shared" si="20"/>
        <v/>
      </c>
      <c r="AD348" s="76" t="str">
        <f t="shared" si="21"/>
        <v/>
      </c>
      <c r="AE348" s="76" t="str">
        <f t="shared" si="22"/>
        <v/>
      </c>
      <c r="AF348" s="76" t="str">
        <f t="shared" si="23"/>
        <v/>
      </c>
      <c r="AG348" s="76" t="str">
        <f t="shared" si="24"/>
        <v/>
      </c>
      <c r="AH348" s="76" t="str">
        <f t="shared" si="25"/>
        <v/>
      </c>
      <c r="AI348" s="76" t="str">
        <f t="shared" si="26"/>
        <v/>
      </c>
      <c r="AJ348" s="76" t="str">
        <f t="shared" si="27"/>
        <v/>
      </c>
      <c r="AK348" s="76" t="str">
        <f t="shared" si="28"/>
        <v/>
      </c>
      <c r="AL348" s="76" t="str">
        <f t="shared" si="29"/>
        <v/>
      </c>
      <c r="AM348" s="76" t="str">
        <f t="shared" si="30"/>
        <v/>
      </c>
      <c r="AN348" s="76" t="str">
        <f t="shared" si="31"/>
        <v/>
      </c>
      <c r="AO348" s="76" t="str">
        <f t="shared" si="32"/>
        <v/>
      </c>
      <c r="AP348" s="76" t="str">
        <f t="shared" si="33"/>
        <v/>
      </c>
    </row>
    <row r="349" ht="15.75" customHeight="1">
      <c r="A349" s="76" t="str">
        <f>IF('Manual Entry'!A321="","",'Manual Entry'!A321)</f>
        <v/>
      </c>
      <c r="B349" s="76" t="str">
        <f t="shared" si="3"/>
        <v/>
      </c>
      <c r="C349" s="76" t="str">
        <f t="shared" si="4"/>
        <v/>
      </c>
      <c r="D349" s="76" t="str">
        <f>'Manual Entry'!D321</f>
        <v/>
      </c>
      <c r="E349" s="76" t="str">
        <f>'Manual Entry'!B321</f>
        <v/>
      </c>
      <c r="F349" s="76" t="str">
        <f>'Manual Entry'!F321</f>
        <v/>
      </c>
      <c r="G349" s="76" t="str">
        <f>'Manual Entry'!G321</f>
        <v/>
      </c>
      <c r="H349" s="76" t="str">
        <f>'Manual Entry'!H321</f>
        <v/>
      </c>
      <c r="I349" s="78" t="str">
        <f>'Manual Entry'!I321</f>
        <v/>
      </c>
      <c r="J349" s="78" t="str">
        <f>'Manual Entry'!J321</f>
        <v/>
      </c>
      <c r="K349" s="78" t="str">
        <f>'Manual Entry'!K321</f>
        <v/>
      </c>
      <c r="L349" s="78" t="str">
        <f>'Manual Entry'!L321</f>
        <v/>
      </c>
      <c r="M349" s="78" t="str">
        <f>'Manual Entry'!M321</f>
        <v/>
      </c>
      <c r="N349" s="78" t="str">
        <f>'Manual Entry'!N321</f>
        <v/>
      </c>
      <c r="O349" s="76">
        <f t="shared" si="6"/>
        <v>0</v>
      </c>
      <c r="P349" s="76">
        <f t="shared" si="7"/>
        <v>0</v>
      </c>
      <c r="Q349" s="76">
        <f t="shared" si="8"/>
        <v>0</v>
      </c>
      <c r="R349" s="76">
        <f t="shared" si="9"/>
        <v>0</v>
      </c>
      <c r="S349" s="76" t="str">
        <f t="shared" si="10"/>
        <v/>
      </c>
      <c r="T349" s="76" t="str">
        <f t="shared" si="11"/>
        <v/>
      </c>
      <c r="U349" s="76" t="str">
        <f t="shared" si="12"/>
        <v/>
      </c>
      <c r="V349" s="76" t="str">
        <f t="shared" si="13"/>
        <v/>
      </c>
      <c r="W349" s="76" t="str">
        <f t="shared" si="14"/>
        <v/>
      </c>
      <c r="X349" s="76" t="str">
        <f t="shared" si="15"/>
        <v/>
      </c>
      <c r="Y349" s="76" t="str">
        <f t="shared" si="16"/>
        <v/>
      </c>
      <c r="Z349" s="76" t="str">
        <f t="shared" si="17"/>
        <v/>
      </c>
      <c r="AA349" s="76" t="str">
        <f t="shared" si="18"/>
        <v/>
      </c>
      <c r="AB349" s="76" t="str">
        <f t="shared" si="19"/>
        <v/>
      </c>
      <c r="AC349" s="76" t="str">
        <f t="shared" si="20"/>
        <v/>
      </c>
      <c r="AD349" s="76" t="str">
        <f t="shared" si="21"/>
        <v/>
      </c>
      <c r="AE349" s="76" t="str">
        <f t="shared" si="22"/>
        <v/>
      </c>
      <c r="AF349" s="76" t="str">
        <f t="shared" si="23"/>
        <v/>
      </c>
      <c r="AG349" s="76" t="str">
        <f t="shared" si="24"/>
        <v/>
      </c>
      <c r="AH349" s="76" t="str">
        <f t="shared" si="25"/>
        <v/>
      </c>
      <c r="AI349" s="76" t="str">
        <f t="shared" si="26"/>
        <v/>
      </c>
      <c r="AJ349" s="76" t="str">
        <f t="shared" si="27"/>
        <v/>
      </c>
      <c r="AK349" s="76" t="str">
        <f t="shared" si="28"/>
        <v/>
      </c>
      <c r="AL349" s="76" t="str">
        <f t="shared" si="29"/>
        <v/>
      </c>
      <c r="AM349" s="76" t="str">
        <f t="shared" si="30"/>
        <v/>
      </c>
      <c r="AN349" s="76" t="str">
        <f t="shared" si="31"/>
        <v/>
      </c>
      <c r="AO349" s="76" t="str">
        <f t="shared" si="32"/>
        <v/>
      </c>
      <c r="AP349" s="76" t="str">
        <f t="shared" si="33"/>
        <v/>
      </c>
    </row>
    <row r="350" ht="15.75" customHeight="1">
      <c r="A350" s="76" t="str">
        <f>IF('Manual Entry'!A322="","",'Manual Entry'!A322)</f>
        <v/>
      </c>
      <c r="B350" s="76" t="str">
        <f t="shared" si="3"/>
        <v/>
      </c>
      <c r="C350" s="76" t="str">
        <f t="shared" si="4"/>
        <v/>
      </c>
      <c r="D350" s="76" t="str">
        <f>'Manual Entry'!D322</f>
        <v/>
      </c>
      <c r="E350" s="76" t="str">
        <f>'Manual Entry'!B322</f>
        <v/>
      </c>
      <c r="F350" s="76" t="str">
        <f>'Manual Entry'!F322</f>
        <v/>
      </c>
      <c r="G350" s="76" t="str">
        <f>'Manual Entry'!G322</f>
        <v/>
      </c>
      <c r="H350" s="76" t="str">
        <f>'Manual Entry'!H322</f>
        <v/>
      </c>
      <c r="I350" s="78" t="str">
        <f>'Manual Entry'!I322</f>
        <v/>
      </c>
      <c r="J350" s="78" t="str">
        <f>'Manual Entry'!J322</f>
        <v/>
      </c>
      <c r="K350" s="78" t="str">
        <f>'Manual Entry'!K322</f>
        <v/>
      </c>
      <c r="L350" s="78" t="str">
        <f>'Manual Entry'!L322</f>
        <v/>
      </c>
      <c r="M350" s="78" t="str">
        <f>'Manual Entry'!M322</f>
        <v/>
      </c>
      <c r="N350" s="78" t="str">
        <f>'Manual Entry'!N322</f>
        <v/>
      </c>
      <c r="O350" s="76">
        <f t="shared" si="6"/>
        <v>0</v>
      </c>
      <c r="P350" s="76">
        <f t="shared" si="7"/>
        <v>0</v>
      </c>
      <c r="Q350" s="76">
        <f t="shared" si="8"/>
        <v>0</v>
      </c>
      <c r="R350" s="76">
        <f t="shared" si="9"/>
        <v>0</v>
      </c>
      <c r="S350" s="76" t="str">
        <f t="shared" si="10"/>
        <v/>
      </c>
      <c r="T350" s="76" t="str">
        <f t="shared" si="11"/>
        <v/>
      </c>
      <c r="U350" s="76" t="str">
        <f t="shared" si="12"/>
        <v/>
      </c>
      <c r="V350" s="76" t="str">
        <f t="shared" si="13"/>
        <v/>
      </c>
      <c r="W350" s="76" t="str">
        <f t="shared" si="14"/>
        <v/>
      </c>
      <c r="X350" s="76" t="str">
        <f t="shared" si="15"/>
        <v/>
      </c>
      <c r="Y350" s="76" t="str">
        <f t="shared" si="16"/>
        <v/>
      </c>
      <c r="Z350" s="76" t="str">
        <f t="shared" si="17"/>
        <v/>
      </c>
      <c r="AA350" s="76" t="str">
        <f t="shared" si="18"/>
        <v/>
      </c>
      <c r="AB350" s="76" t="str">
        <f t="shared" si="19"/>
        <v/>
      </c>
      <c r="AC350" s="76" t="str">
        <f t="shared" si="20"/>
        <v/>
      </c>
      <c r="AD350" s="76" t="str">
        <f t="shared" si="21"/>
        <v/>
      </c>
      <c r="AE350" s="76" t="str">
        <f t="shared" si="22"/>
        <v/>
      </c>
      <c r="AF350" s="76" t="str">
        <f t="shared" si="23"/>
        <v/>
      </c>
      <c r="AG350" s="76" t="str">
        <f t="shared" si="24"/>
        <v/>
      </c>
      <c r="AH350" s="76" t="str">
        <f t="shared" si="25"/>
        <v/>
      </c>
      <c r="AI350" s="76" t="str">
        <f t="shared" si="26"/>
        <v/>
      </c>
      <c r="AJ350" s="76" t="str">
        <f t="shared" si="27"/>
        <v/>
      </c>
      <c r="AK350" s="76" t="str">
        <f t="shared" si="28"/>
        <v/>
      </c>
      <c r="AL350" s="76" t="str">
        <f t="shared" si="29"/>
        <v/>
      </c>
      <c r="AM350" s="76" t="str">
        <f t="shared" si="30"/>
        <v/>
      </c>
      <c r="AN350" s="76" t="str">
        <f t="shared" si="31"/>
        <v/>
      </c>
      <c r="AO350" s="76" t="str">
        <f t="shared" si="32"/>
        <v/>
      </c>
      <c r="AP350" s="76" t="str">
        <f t="shared" si="33"/>
        <v/>
      </c>
    </row>
    <row r="351" ht="15.75" customHeight="1">
      <c r="A351" s="76" t="str">
        <f>IF('Manual Entry'!A323="","",'Manual Entry'!A323)</f>
        <v/>
      </c>
      <c r="B351" s="76" t="str">
        <f t="shared" si="3"/>
        <v/>
      </c>
      <c r="C351" s="76" t="str">
        <f t="shared" si="4"/>
        <v/>
      </c>
      <c r="D351" s="76" t="str">
        <f>'Manual Entry'!D323</f>
        <v/>
      </c>
      <c r="E351" s="76" t="str">
        <f>'Manual Entry'!B323</f>
        <v/>
      </c>
      <c r="F351" s="76" t="str">
        <f>'Manual Entry'!F323</f>
        <v/>
      </c>
      <c r="G351" s="76" t="str">
        <f>'Manual Entry'!G323</f>
        <v/>
      </c>
      <c r="H351" s="76" t="str">
        <f>'Manual Entry'!H323</f>
        <v/>
      </c>
      <c r="I351" s="78" t="str">
        <f>'Manual Entry'!I323</f>
        <v/>
      </c>
      <c r="J351" s="78" t="str">
        <f>'Manual Entry'!J323</f>
        <v/>
      </c>
      <c r="K351" s="78" t="str">
        <f>'Manual Entry'!K323</f>
        <v/>
      </c>
      <c r="L351" s="78" t="str">
        <f>'Manual Entry'!L323</f>
        <v/>
      </c>
      <c r="M351" s="78" t="str">
        <f>'Manual Entry'!M323</f>
        <v/>
      </c>
      <c r="N351" s="78" t="str">
        <f>'Manual Entry'!N323</f>
        <v/>
      </c>
      <c r="O351" s="76">
        <f t="shared" si="6"/>
        <v>0</v>
      </c>
      <c r="P351" s="76">
        <f t="shared" si="7"/>
        <v>0</v>
      </c>
      <c r="Q351" s="76">
        <f t="shared" si="8"/>
        <v>0</v>
      </c>
      <c r="R351" s="76">
        <f t="shared" si="9"/>
        <v>0</v>
      </c>
      <c r="S351" s="76" t="str">
        <f t="shared" si="10"/>
        <v/>
      </c>
      <c r="T351" s="76" t="str">
        <f t="shared" si="11"/>
        <v/>
      </c>
      <c r="U351" s="76" t="str">
        <f t="shared" si="12"/>
        <v/>
      </c>
      <c r="V351" s="76" t="str">
        <f t="shared" si="13"/>
        <v/>
      </c>
      <c r="W351" s="76" t="str">
        <f t="shared" si="14"/>
        <v/>
      </c>
      <c r="X351" s="76" t="str">
        <f t="shared" si="15"/>
        <v/>
      </c>
      <c r="Y351" s="76" t="str">
        <f t="shared" si="16"/>
        <v/>
      </c>
      <c r="Z351" s="76" t="str">
        <f t="shared" si="17"/>
        <v/>
      </c>
      <c r="AA351" s="76" t="str">
        <f t="shared" si="18"/>
        <v/>
      </c>
      <c r="AB351" s="76" t="str">
        <f t="shared" si="19"/>
        <v/>
      </c>
      <c r="AC351" s="76" t="str">
        <f t="shared" si="20"/>
        <v/>
      </c>
      <c r="AD351" s="76" t="str">
        <f t="shared" si="21"/>
        <v/>
      </c>
      <c r="AE351" s="76" t="str">
        <f t="shared" si="22"/>
        <v/>
      </c>
      <c r="AF351" s="76" t="str">
        <f t="shared" si="23"/>
        <v/>
      </c>
      <c r="AG351" s="76" t="str">
        <f t="shared" si="24"/>
        <v/>
      </c>
      <c r="AH351" s="76" t="str">
        <f t="shared" si="25"/>
        <v/>
      </c>
      <c r="AI351" s="76" t="str">
        <f t="shared" si="26"/>
        <v/>
      </c>
      <c r="AJ351" s="76" t="str">
        <f t="shared" si="27"/>
        <v/>
      </c>
      <c r="AK351" s="76" t="str">
        <f t="shared" si="28"/>
        <v/>
      </c>
      <c r="AL351" s="76" t="str">
        <f t="shared" si="29"/>
        <v/>
      </c>
      <c r="AM351" s="76" t="str">
        <f t="shared" si="30"/>
        <v/>
      </c>
      <c r="AN351" s="76" t="str">
        <f t="shared" si="31"/>
        <v/>
      </c>
      <c r="AO351" s="76" t="str">
        <f t="shared" si="32"/>
        <v/>
      </c>
      <c r="AP351" s="76" t="str">
        <f t="shared" si="33"/>
        <v/>
      </c>
    </row>
    <row r="352" ht="15.75" customHeight="1">
      <c r="A352" s="76" t="str">
        <f>IF('Manual Entry'!A324="","",'Manual Entry'!A324)</f>
        <v/>
      </c>
      <c r="B352" s="76" t="str">
        <f t="shared" si="3"/>
        <v/>
      </c>
      <c r="C352" s="76" t="str">
        <f t="shared" si="4"/>
        <v/>
      </c>
      <c r="D352" s="76" t="str">
        <f>'Manual Entry'!D324</f>
        <v/>
      </c>
      <c r="E352" s="76" t="str">
        <f>'Manual Entry'!B324</f>
        <v/>
      </c>
      <c r="F352" s="76" t="str">
        <f>'Manual Entry'!F324</f>
        <v/>
      </c>
      <c r="G352" s="76" t="str">
        <f>'Manual Entry'!G324</f>
        <v/>
      </c>
      <c r="H352" s="76" t="str">
        <f>'Manual Entry'!H324</f>
        <v/>
      </c>
      <c r="I352" s="78" t="str">
        <f>'Manual Entry'!I324</f>
        <v/>
      </c>
      <c r="J352" s="78" t="str">
        <f>'Manual Entry'!J324</f>
        <v/>
      </c>
      <c r="K352" s="78" t="str">
        <f>'Manual Entry'!K324</f>
        <v/>
      </c>
      <c r="L352" s="78" t="str">
        <f>'Manual Entry'!L324</f>
        <v/>
      </c>
      <c r="M352" s="78" t="str">
        <f>'Manual Entry'!M324</f>
        <v/>
      </c>
      <c r="N352" s="78" t="str">
        <f>'Manual Entry'!N324</f>
        <v/>
      </c>
      <c r="O352" s="76">
        <f t="shared" si="6"/>
        <v>0</v>
      </c>
      <c r="P352" s="76">
        <f t="shared" si="7"/>
        <v>0</v>
      </c>
      <c r="Q352" s="76">
        <f t="shared" si="8"/>
        <v>0</v>
      </c>
      <c r="R352" s="76">
        <f t="shared" si="9"/>
        <v>0</v>
      </c>
      <c r="S352" s="76" t="str">
        <f t="shared" si="10"/>
        <v/>
      </c>
      <c r="T352" s="76" t="str">
        <f t="shared" si="11"/>
        <v/>
      </c>
      <c r="U352" s="76" t="str">
        <f t="shared" si="12"/>
        <v/>
      </c>
      <c r="V352" s="76" t="str">
        <f t="shared" si="13"/>
        <v/>
      </c>
      <c r="W352" s="76" t="str">
        <f t="shared" si="14"/>
        <v/>
      </c>
      <c r="X352" s="76" t="str">
        <f t="shared" si="15"/>
        <v/>
      </c>
      <c r="Y352" s="76" t="str">
        <f t="shared" si="16"/>
        <v/>
      </c>
      <c r="Z352" s="76" t="str">
        <f t="shared" si="17"/>
        <v/>
      </c>
      <c r="AA352" s="76" t="str">
        <f t="shared" si="18"/>
        <v/>
      </c>
      <c r="AB352" s="76" t="str">
        <f t="shared" si="19"/>
        <v/>
      </c>
      <c r="AC352" s="76" t="str">
        <f t="shared" si="20"/>
        <v/>
      </c>
      <c r="AD352" s="76" t="str">
        <f t="shared" si="21"/>
        <v/>
      </c>
      <c r="AE352" s="76" t="str">
        <f t="shared" si="22"/>
        <v/>
      </c>
      <c r="AF352" s="76" t="str">
        <f t="shared" si="23"/>
        <v/>
      </c>
      <c r="AG352" s="76" t="str">
        <f t="shared" si="24"/>
        <v/>
      </c>
      <c r="AH352" s="76" t="str">
        <f t="shared" si="25"/>
        <v/>
      </c>
      <c r="AI352" s="76" t="str">
        <f t="shared" si="26"/>
        <v/>
      </c>
      <c r="AJ352" s="76" t="str">
        <f t="shared" si="27"/>
        <v/>
      </c>
      <c r="AK352" s="76" t="str">
        <f t="shared" si="28"/>
        <v/>
      </c>
      <c r="AL352" s="76" t="str">
        <f t="shared" si="29"/>
        <v/>
      </c>
      <c r="AM352" s="76" t="str">
        <f t="shared" si="30"/>
        <v/>
      </c>
      <c r="AN352" s="76" t="str">
        <f t="shared" si="31"/>
        <v/>
      </c>
      <c r="AO352" s="76" t="str">
        <f t="shared" si="32"/>
        <v/>
      </c>
      <c r="AP352" s="76" t="str">
        <f t="shared" si="33"/>
        <v/>
      </c>
    </row>
    <row r="353" ht="15.75" customHeight="1">
      <c r="A353" s="76" t="str">
        <f>IF('Manual Entry'!A325="","",'Manual Entry'!A325)</f>
        <v/>
      </c>
      <c r="B353" s="76" t="str">
        <f t="shared" si="3"/>
        <v/>
      </c>
      <c r="C353" s="76" t="str">
        <f t="shared" si="4"/>
        <v/>
      </c>
      <c r="D353" s="76" t="str">
        <f>'Manual Entry'!D325</f>
        <v/>
      </c>
      <c r="E353" s="76" t="str">
        <f>'Manual Entry'!B325</f>
        <v/>
      </c>
      <c r="F353" s="76" t="str">
        <f>'Manual Entry'!F325</f>
        <v/>
      </c>
      <c r="G353" s="76" t="str">
        <f>'Manual Entry'!G325</f>
        <v/>
      </c>
      <c r="H353" s="76" t="str">
        <f>'Manual Entry'!H325</f>
        <v/>
      </c>
      <c r="I353" s="78" t="str">
        <f>'Manual Entry'!I325</f>
        <v/>
      </c>
      <c r="J353" s="78" t="str">
        <f>'Manual Entry'!J325</f>
        <v/>
      </c>
      <c r="K353" s="78" t="str">
        <f>'Manual Entry'!K325</f>
        <v/>
      </c>
      <c r="L353" s="78" t="str">
        <f>'Manual Entry'!L325</f>
        <v/>
      </c>
      <c r="M353" s="78" t="str">
        <f>'Manual Entry'!M325</f>
        <v/>
      </c>
      <c r="N353" s="78" t="str">
        <f>'Manual Entry'!N325</f>
        <v/>
      </c>
      <c r="O353" s="76">
        <f t="shared" si="6"/>
        <v>0</v>
      </c>
      <c r="P353" s="76">
        <f t="shared" si="7"/>
        <v>0</v>
      </c>
      <c r="Q353" s="76">
        <f t="shared" si="8"/>
        <v>0</v>
      </c>
      <c r="R353" s="76">
        <f t="shared" si="9"/>
        <v>0</v>
      </c>
      <c r="S353" s="76" t="str">
        <f t="shared" si="10"/>
        <v/>
      </c>
      <c r="T353" s="76" t="str">
        <f t="shared" si="11"/>
        <v/>
      </c>
      <c r="U353" s="76" t="str">
        <f t="shared" si="12"/>
        <v/>
      </c>
      <c r="V353" s="76" t="str">
        <f t="shared" si="13"/>
        <v/>
      </c>
      <c r="W353" s="76" t="str">
        <f t="shared" si="14"/>
        <v/>
      </c>
      <c r="X353" s="76" t="str">
        <f t="shared" si="15"/>
        <v/>
      </c>
      <c r="Y353" s="76" t="str">
        <f t="shared" si="16"/>
        <v/>
      </c>
      <c r="Z353" s="76" t="str">
        <f t="shared" si="17"/>
        <v/>
      </c>
      <c r="AA353" s="76" t="str">
        <f t="shared" si="18"/>
        <v/>
      </c>
      <c r="AB353" s="76" t="str">
        <f t="shared" si="19"/>
        <v/>
      </c>
      <c r="AC353" s="76" t="str">
        <f t="shared" si="20"/>
        <v/>
      </c>
      <c r="AD353" s="76" t="str">
        <f t="shared" si="21"/>
        <v/>
      </c>
      <c r="AE353" s="76" t="str">
        <f t="shared" si="22"/>
        <v/>
      </c>
      <c r="AF353" s="76" t="str">
        <f t="shared" si="23"/>
        <v/>
      </c>
      <c r="AG353" s="76" t="str">
        <f t="shared" si="24"/>
        <v/>
      </c>
      <c r="AH353" s="76" t="str">
        <f t="shared" si="25"/>
        <v/>
      </c>
      <c r="AI353" s="76" t="str">
        <f t="shared" si="26"/>
        <v/>
      </c>
      <c r="AJ353" s="76" t="str">
        <f t="shared" si="27"/>
        <v/>
      </c>
      <c r="AK353" s="76" t="str">
        <f t="shared" si="28"/>
        <v/>
      </c>
      <c r="AL353" s="76" t="str">
        <f t="shared" si="29"/>
        <v/>
      </c>
      <c r="AM353" s="76" t="str">
        <f t="shared" si="30"/>
        <v/>
      </c>
      <c r="AN353" s="76" t="str">
        <f t="shared" si="31"/>
        <v/>
      </c>
      <c r="AO353" s="76" t="str">
        <f t="shared" si="32"/>
        <v/>
      </c>
      <c r="AP353" s="76" t="str">
        <f t="shared" si="33"/>
        <v/>
      </c>
    </row>
    <row r="354" ht="15.75" customHeight="1">
      <c r="A354" s="76" t="str">
        <f>IF('Manual Entry'!A326="","",'Manual Entry'!A326)</f>
        <v/>
      </c>
      <c r="B354" s="76" t="str">
        <f t="shared" si="3"/>
        <v/>
      </c>
      <c r="C354" s="76" t="str">
        <f t="shared" si="4"/>
        <v/>
      </c>
      <c r="D354" s="76" t="str">
        <f>'Manual Entry'!D326</f>
        <v/>
      </c>
      <c r="E354" s="76" t="str">
        <f>'Manual Entry'!B326</f>
        <v/>
      </c>
      <c r="F354" s="76" t="str">
        <f>'Manual Entry'!F326</f>
        <v/>
      </c>
      <c r="G354" s="76" t="str">
        <f>'Manual Entry'!G326</f>
        <v/>
      </c>
      <c r="H354" s="76" t="str">
        <f>'Manual Entry'!H326</f>
        <v/>
      </c>
      <c r="I354" s="78" t="str">
        <f>'Manual Entry'!I326</f>
        <v/>
      </c>
      <c r="J354" s="78" t="str">
        <f>'Manual Entry'!J326</f>
        <v/>
      </c>
      <c r="K354" s="78" t="str">
        <f>'Manual Entry'!K326</f>
        <v/>
      </c>
      <c r="L354" s="78" t="str">
        <f>'Manual Entry'!L326</f>
        <v/>
      </c>
      <c r="M354" s="78" t="str">
        <f>'Manual Entry'!M326</f>
        <v/>
      </c>
      <c r="N354" s="78" t="str">
        <f>'Manual Entry'!N326</f>
        <v/>
      </c>
      <c r="O354" s="76">
        <f t="shared" si="6"/>
        <v>0</v>
      </c>
      <c r="P354" s="76">
        <f t="shared" si="7"/>
        <v>0</v>
      </c>
      <c r="Q354" s="76">
        <f t="shared" si="8"/>
        <v>0</v>
      </c>
      <c r="R354" s="76">
        <f t="shared" si="9"/>
        <v>0</v>
      </c>
      <c r="S354" s="76" t="str">
        <f t="shared" si="10"/>
        <v/>
      </c>
      <c r="T354" s="76" t="str">
        <f t="shared" si="11"/>
        <v/>
      </c>
      <c r="U354" s="76" t="str">
        <f t="shared" si="12"/>
        <v/>
      </c>
      <c r="V354" s="76" t="str">
        <f t="shared" si="13"/>
        <v/>
      </c>
      <c r="W354" s="76" t="str">
        <f t="shared" si="14"/>
        <v/>
      </c>
      <c r="X354" s="76" t="str">
        <f t="shared" si="15"/>
        <v/>
      </c>
      <c r="Y354" s="76" t="str">
        <f t="shared" si="16"/>
        <v/>
      </c>
      <c r="Z354" s="76" t="str">
        <f t="shared" si="17"/>
        <v/>
      </c>
      <c r="AA354" s="76" t="str">
        <f t="shared" si="18"/>
        <v/>
      </c>
      <c r="AB354" s="76" t="str">
        <f t="shared" si="19"/>
        <v/>
      </c>
      <c r="AC354" s="76" t="str">
        <f t="shared" si="20"/>
        <v/>
      </c>
      <c r="AD354" s="76" t="str">
        <f t="shared" si="21"/>
        <v/>
      </c>
      <c r="AE354" s="76" t="str">
        <f t="shared" si="22"/>
        <v/>
      </c>
      <c r="AF354" s="76" t="str">
        <f t="shared" si="23"/>
        <v/>
      </c>
      <c r="AG354" s="76" t="str">
        <f t="shared" si="24"/>
        <v/>
      </c>
      <c r="AH354" s="76" t="str">
        <f t="shared" si="25"/>
        <v/>
      </c>
      <c r="AI354" s="76" t="str">
        <f t="shared" si="26"/>
        <v/>
      </c>
      <c r="AJ354" s="76" t="str">
        <f t="shared" si="27"/>
        <v/>
      </c>
      <c r="AK354" s="76" t="str">
        <f t="shared" si="28"/>
        <v/>
      </c>
      <c r="AL354" s="76" t="str">
        <f t="shared" si="29"/>
        <v/>
      </c>
      <c r="AM354" s="76" t="str">
        <f t="shared" si="30"/>
        <v/>
      </c>
      <c r="AN354" s="76" t="str">
        <f t="shared" si="31"/>
        <v/>
      </c>
      <c r="AO354" s="76" t="str">
        <f t="shared" si="32"/>
        <v/>
      </c>
      <c r="AP354" s="76" t="str">
        <f t="shared" si="33"/>
        <v/>
      </c>
    </row>
    <row r="355" ht="15.75" customHeight="1">
      <c r="A355" s="76" t="str">
        <f>IF('Manual Entry'!A327="","",'Manual Entry'!A327)</f>
        <v/>
      </c>
      <c r="B355" s="76" t="str">
        <f t="shared" si="3"/>
        <v/>
      </c>
      <c r="C355" s="76" t="str">
        <f t="shared" si="4"/>
        <v/>
      </c>
      <c r="D355" s="76" t="str">
        <f>'Manual Entry'!D327</f>
        <v/>
      </c>
      <c r="E355" s="76" t="str">
        <f>'Manual Entry'!B327</f>
        <v/>
      </c>
      <c r="F355" s="76" t="str">
        <f>'Manual Entry'!F327</f>
        <v/>
      </c>
      <c r="G355" s="76" t="str">
        <f>'Manual Entry'!G327</f>
        <v/>
      </c>
      <c r="H355" s="76" t="str">
        <f>'Manual Entry'!H327</f>
        <v/>
      </c>
      <c r="I355" s="78" t="str">
        <f>'Manual Entry'!I327</f>
        <v/>
      </c>
      <c r="J355" s="78" t="str">
        <f>'Manual Entry'!J327</f>
        <v/>
      </c>
      <c r="K355" s="78" t="str">
        <f>'Manual Entry'!K327</f>
        <v/>
      </c>
      <c r="L355" s="78" t="str">
        <f>'Manual Entry'!L327</f>
        <v/>
      </c>
      <c r="M355" s="78" t="str">
        <f>'Manual Entry'!M327</f>
        <v/>
      </c>
      <c r="N355" s="78" t="str">
        <f>'Manual Entry'!N327</f>
        <v/>
      </c>
      <c r="O355" s="76">
        <f t="shared" si="6"/>
        <v>0</v>
      </c>
      <c r="P355" s="76">
        <f t="shared" si="7"/>
        <v>0</v>
      </c>
      <c r="Q355" s="76">
        <f t="shared" si="8"/>
        <v>0</v>
      </c>
      <c r="R355" s="76">
        <f t="shared" si="9"/>
        <v>0</v>
      </c>
      <c r="S355" s="76" t="str">
        <f t="shared" si="10"/>
        <v/>
      </c>
      <c r="T355" s="76" t="str">
        <f t="shared" si="11"/>
        <v/>
      </c>
      <c r="U355" s="76" t="str">
        <f t="shared" si="12"/>
        <v/>
      </c>
      <c r="V355" s="76" t="str">
        <f t="shared" si="13"/>
        <v/>
      </c>
      <c r="W355" s="76" t="str">
        <f t="shared" si="14"/>
        <v/>
      </c>
      <c r="X355" s="76" t="str">
        <f t="shared" si="15"/>
        <v/>
      </c>
      <c r="Y355" s="76" t="str">
        <f t="shared" si="16"/>
        <v/>
      </c>
      <c r="Z355" s="76" t="str">
        <f t="shared" si="17"/>
        <v/>
      </c>
      <c r="AA355" s="76" t="str">
        <f t="shared" si="18"/>
        <v/>
      </c>
      <c r="AB355" s="76" t="str">
        <f t="shared" si="19"/>
        <v/>
      </c>
      <c r="AC355" s="76" t="str">
        <f t="shared" si="20"/>
        <v/>
      </c>
      <c r="AD355" s="76" t="str">
        <f t="shared" si="21"/>
        <v/>
      </c>
      <c r="AE355" s="76" t="str">
        <f t="shared" si="22"/>
        <v/>
      </c>
      <c r="AF355" s="76" t="str">
        <f t="shared" si="23"/>
        <v/>
      </c>
      <c r="AG355" s="76" t="str">
        <f t="shared" si="24"/>
        <v/>
      </c>
      <c r="AH355" s="76" t="str">
        <f t="shared" si="25"/>
        <v/>
      </c>
      <c r="AI355" s="76" t="str">
        <f t="shared" si="26"/>
        <v/>
      </c>
      <c r="AJ355" s="76" t="str">
        <f t="shared" si="27"/>
        <v/>
      </c>
      <c r="AK355" s="76" t="str">
        <f t="shared" si="28"/>
        <v/>
      </c>
      <c r="AL355" s="76" t="str">
        <f t="shared" si="29"/>
        <v/>
      </c>
      <c r="AM355" s="76" t="str">
        <f t="shared" si="30"/>
        <v/>
      </c>
      <c r="AN355" s="76" t="str">
        <f t="shared" si="31"/>
        <v/>
      </c>
      <c r="AO355" s="76" t="str">
        <f t="shared" si="32"/>
        <v/>
      </c>
      <c r="AP355" s="76" t="str">
        <f t="shared" si="33"/>
        <v/>
      </c>
    </row>
    <row r="356" ht="15.75" customHeight="1">
      <c r="A356" s="76" t="str">
        <f>IF('Manual Entry'!A328="","",'Manual Entry'!A328)</f>
        <v/>
      </c>
      <c r="B356" s="76" t="str">
        <f t="shared" si="3"/>
        <v/>
      </c>
      <c r="C356" s="76" t="str">
        <f t="shared" si="4"/>
        <v/>
      </c>
      <c r="D356" s="76" t="str">
        <f>'Manual Entry'!D328</f>
        <v/>
      </c>
      <c r="E356" s="76" t="str">
        <f>'Manual Entry'!B328</f>
        <v/>
      </c>
      <c r="F356" s="76" t="str">
        <f>'Manual Entry'!F328</f>
        <v/>
      </c>
      <c r="G356" s="76" t="str">
        <f>'Manual Entry'!G328</f>
        <v/>
      </c>
      <c r="H356" s="76" t="str">
        <f>'Manual Entry'!H328</f>
        <v/>
      </c>
      <c r="I356" s="78" t="str">
        <f>'Manual Entry'!I328</f>
        <v/>
      </c>
      <c r="J356" s="78" t="str">
        <f>'Manual Entry'!J328</f>
        <v/>
      </c>
      <c r="K356" s="78" t="str">
        <f>'Manual Entry'!K328</f>
        <v/>
      </c>
      <c r="L356" s="78" t="str">
        <f>'Manual Entry'!L328</f>
        <v/>
      </c>
      <c r="M356" s="78" t="str">
        <f>'Manual Entry'!M328</f>
        <v/>
      </c>
      <c r="N356" s="78" t="str">
        <f>'Manual Entry'!N328</f>
        <v/>
      </c>
      <c r="O356" s="76">
        <f t="shared" si="6"/>
        <v>0</v>
      </c>
      <c r="P356" s="76">
        <f t="shared" si="7"/>
        <v>0</v>
      </c>
      <c r="Q356" s="76">
        <f t="shared" si="8"/>
        <v>0</v>
      </c>
      <c r="R356" s="76">
        <f t="shared" si="9"/>
        <v>0</v>
      </c>
      <c r="S356" s="76" t="str">
        <f t="shared" si="10"/>
        <v/>
      </c>
      <c r="T356" s="76" t="str">
        <f t="shared" si="11"/>
        <v/>
      </c>
      <c r="U356" s="76" t="str">
        <f t="shared" si="12"/>
        <v/>
      </c>
      <c r="V356" s="76" t="str">
        <f t="shared" si="13"/>
        <v/>
      </c>
      <c r="W356" s="76" t="str">
        <f t="shared" si="14"/>
        <v/>
      </c>
      <c r="X356" s="76" t="str">
        <f t="shared" si="15"/>
        <v/>
      </c>
      <c r="Y356" s="76" t="str">
        <f t="shared" si="16"/>
        <v/>
      </c>
      <c r="Z356" s="76" t="str">
        <f t="shared" si="17"/>
        <v/>
      </c>
      <c r="AA356" s="76" t="str">
        <f t="shared" si="18"/>
        <v/>
      </c>
      <c r="AB356" s="76" t="str">
        <f t="shared" si="19"/>
        <v/>
      </c>
      <c r="AC356" s="76" t="str">
        <f t="shared" si="20"/>
        <v/>
      </c>
      <c r="AD356" s="76" t="str">
        <f t="shared" si="21"/>
        <v/>
      </c>
      <c r="AE356" s="76" t="str">
        <f t="shared" si="22"/>
        <v/>
      </c>
      <c r="AF356" s="76" t="str">
        <f t="shared" si="23"/>
        <v/>
      </c>
      <c r="AG356" s="76" t="str">
        <f t="shared" si="24"/>
        <v/>
      </c>
      <c r="AH356" s="76" t="str">
        <f t="shared" si="25"/>
        <v/>
      </c>
      <c r="AI356" s="76" t="str">
        <f t="shared" si="26"/>
        <v/>
      </c>
      <c r="AJ356" s="76" t="str">
        <f t="shared" si="27"/>
        <v/>
      </c>
      <c r="AK356" s="76" t="str">
        <f t="shared" si="28"/>
        <v/>
      </c>
      <c r="AL356" s="76" t="str">
        <f t="shared" si="29"/>
        <v/>
      </c>
      <c r="AM356" s="76" t="str">
        <f t="shared" si="30"/>
        <v/>
      </c>
      <c r="AN356" s="76" t="str">
        <f t="shared" si="31"/>
        <v/>
      </c>
      <c r="AO356" s="76" t="str">
        <f t="shared" si="32"/>
        <v/>
      </c>
      <c r="AP356" s="76" t="str">
        <f t="shared" si="33"/>
        <v/>
      </c>
    </row>
    <row r="357" ht="15.75" customHeight="1">
      <c r="A357" s="76" t="str">
        <f>IF('Manual Entry'!A329="","",'Manual Entry'!A329)</f>
        <v/>
      </c>
      <c r="B357" s="76" t="str">
        <f t="shared" si="3"/>
        <v/>
      </c>
      <c r="C357" s="76" t="str">
        <f t="shared" si="4"/>
        <v/>
      </c>
      <c r="D357" s="76" t="str">
        <f>'Manual Entry'!D329</f>
        <v/>
      </c>
      <c r="E357" s="76" t="str">
        <f>'Manual Entry'!B329</f>
        <v/>
      </c>
      <c r="F357" s="76" t="str">
        <f>'Manual Entry'!F329</f>
        <v/>
      </c>
      <c r="G357" s="76" t="str">
        <f>'Manual Entry'!G329</f>
        <v/>
      </c>
      <c r="H357" s="76" t="str">
        <f>'Manual Entry'!H329</f>
        <v/>
      </c>
      <c r="I357" s="78" t="str">
        <f>'Manual Entry'!I329</f>
        <v/>
      </c>
      <c r="J357" s="78" t="str">
        <f>'Manual Entry'!J329</f>
        <v/>
      </c>
      <c r="K357" s="78" t="str">
        <f>'Manual Entry'!K329</f>
        <v/>
      </c>
      <c r="L357" s="78" t="str">
        <f>'Manual Entry'!L329</f>
        <v/>
      </c>
      <c r="M357" s="78" t="str">
        <f>'Manual Entry'!M329</f>
        <v/>
      </c>
      <c r="N357" s="78" t="str">
        <f>'Manual Entry'!N329</f>
        <v/>
      </c>
      <c r="O357" s="76">
        <f t="shared" si="6"/>
        <v>0</v>
      </c>
      <c r="P357" s="76">
        <f t="shared" si="7"/>
        <v>0</v>
      </c>
      <c r="Q357" s="76">
        <f t="shared" si="8"/>
        <v>0</v>
      </c>
      <c r="R357" s="76">
        <f t="shared" si="9"/>
        <v>0</v>
      </c>
      <c r="S357" s="76" t="str">
        <f t="shared" si="10"/>
        <v/>
      </c>
      <c r="T357" s="76" t="str">
        <f t="shared" si="11"/>
        <v/>
      </c>
      <c r="U357" s="76" t="str">
        <f t="shared" si="12"/>
        <v/>
      </c>
      <c r="V357" s="76" t="str">
        <f t="shared" si="13"/>
        <v/>
      </c>
      <c r="W357" s="76" t="str">
        <f t="shared" si="14"/>
        <v/>
      </c>
      <c r="X357" s="76" t="str">
        <f t="shared" si="15"/>
        <v/>
      </c>
      <c r="Y357" s="76" t="str">
        <f t="shared" si="16"/>
        <v/>
      </c>
      <c r="Z357" s="76" t="str">
        <f t="shared" si="17"/>
        <v/>
      </c>
      <c r="AA357" s="76" t="str">
        <f t="shared" si="18"/>
        <v/>
      </c>
      <c r="AB357" s="76" t="str">
        <f t="shared" si="19"/>
        <v/>
      </c>
      <c r="AC357" s="76" t="str">
        <f t="shared" si="20"/>
        <v/>
      </c>
      <c r="AD357" s="76" t="str">
        <f t="shared" si="21"/>
        <v/>
      </c>
      <c r="AE357" s="76" t="str">
        <f t="shared" si="22"/>
        <v/>
      </c>
      <c r="AF357" s="76" t="str">
        <f t="shared" si="23"/>
        <v/>
      </c>
      <c r="AG357" s="76" t="str">
        <f t="shared" si="24"/>
        <v/>
      </c>
      <c r="AH357" s="76" t="str">
        <f t="shared" si="25"/>
        <v/>
      </c>
      <c r="AI357" s="76" t="str">
        <f t="shared" si="26"/>
        <v/>
      </c>
      <c r="AJ357" s="76" t="str">
        <f t="shared" si="27"/>
        <v/>
      </c>
      <c r="AK357" s="76" t="str">
        <f t="shared" si="28"/>
        <v/>
      </c>
      <c r="AL357" s="76" t="str">
        <f t="shared" si="29"/>
        <v/>
      </c>
      <c r="AM357" s="76" t="str">
        <f t="shared" si="30"/>
        <v/>
      </c>
      <c r="AN357" s="76" t="str">
        <f t="shared" si="31"/>
        <v/>
      </c>
      <c r="AO357" s="76" t="str">
        <f t="shared" si="32"/>
        <v/>
      </c>
      <c r="AP357" s="76" t="str">
        <f t="shared" si="33"/>
        <v/>
      </c>
    </row>
    <row r="358" ht="15.75" customHeight="1">
      <c r="A358" s="76" t="str">
        <f>IF('Manual Entry'!A330="","",'Manual Entry'!A330)</f>
        <v/>
      </c>
      <c r="B358" s="76" t="str">
        <f t="shared" si="3"/>
        <v/>
      </c>
      <c r="C358" s="76" t="str">
        <f t="shared" si="4"/>
        <v/>
      </c>
      <c r="D358" s="76" t="str">
        <f>'Manual Entry'!D330</f>
        <v/>
      </c>
      <c r="E358" s="76" t="str">
        <f>'Manual Entry'!B330</f>
        <v/>
      </c>
      <c r="F358" s="76" t="str">
        <f>'Manual Entry'!F330</f>
        <v/>
      </c>
      <c r="G358" s="76" t="str">
        <f>'Manual Entry'!G330</f>
        <v/>
      </c>
      <c r="H358" s="76" t="str">
        <f>'Manual Entry'!H330</f>
        <v/>
      </c>
      <c r="I358" s="78" t="str">
        <f>'Manual Entry'!I330</f>
        <v/>
      </c>
      <c r="J358" s="78" t="str">
        <f>'Manual Entry'!J330</f>
        <v/>
      </c>
      <c r="K358" s="78" t="str">
        <f>'Manual Entry'!K330</f>
        <v/>
      </c>
      <c r="L358" s="78" t="str">
        <f>'Manual Entry'!L330</f>
        <v/>
      </c>
      <c r="M358" s="78" t="str">
        <f>'Manual Entry'!M330</f>
        <v/>
      </c>
      <c r="N358" s="78" t="str">
        <f>'Manual Entry'!N330</f>
        <v/>
      </c>
      <c r="O358" s="76">
        <f t="shared" si="6"/>
        <v>0</v>
      </c>
      <c r="P358" s="76">
        <f t="shared" si="7"/>
        <v>0</v>
      </c>
      <c r="Q358" s="76">
        <f t="shared" si="8"/>
        <v>0</v>
      </c>
      <c r="R358" s="76">
        <f t="shared" si="9"/>
        <v>0</v>
      </c>
      <c r="S358" s="76" t="str">
        <f t="shared" si="10"/>
        <v/>
      </c>
      <c r="T358" s="76" t="str">
        <f t="shared" si="11"/>
        <v/>
      </c>
      <c r="U358" s="76" t="str">
        <f t="shared" si="12"/>
        <v/>
      </c>
      <c r="V358" s="76" t="str">
        <f t="shared" si="13"/>
        <v/>
      </c>
      <c r="W358" s="76" t="str">
        <f t="shared" si="14"/>
        <v/>
      </c>
      <c r="X358" s="76" t="str">
        <f t="shared" si="15"/>
        <v/>
      </c>
      <c r="Y358" s="76" t="str">
        <f t="shared" si="16"/>
        <v/>
      </c>
      <c r="Z358" s="76" t="str">
        <f t="shared" si="17"/>
        <v/>
      </c>
      <c r="AA358" s="76" t="str">
        <f t="shared" si="18"/>
        <v/>
      </c>
      <c r="AB358" s="76" t="str">
        <f t="shared" si="19"/>
        <v/>
      </c>
      <c r="AC358" s="76" t="str">
        <f t="shared" si="20"/>
        <v/>
      </c>
      <c r="AD358" s="76" t="str">
        <f t="shared" si="21"/>
        <v/>
      </c>
      <c r="AE358" s="76" t="str">
        <f t="shared" si="22"/>
        <v/>
      </c>
      <c r="AF358" s="76" t="str">
        <f t="shared" si="23"/>
        <v/>
      </c>
      <c r="AG358" s="76" t="str">
        <f t="shared" si="24"/>
        <v/>
      </c>
      <c r="AH358" s="76" t="str">
        <f t="shared" si="25"/>
        <v/>
      </c>
      <c r="AI358" s="76" t="str">
        <f t="shared" si="26"/>
        <v/>
      </c>
      <c r="AJ358" s="76" t="str">
        <f t="shared" si="27"/>
        <v/>
      </c>
      <c r="AK358" s="76" t="str">
        <f t="shared" si="28"/>
        <v/>
      </c>
      <c r="AL358" s="76" t="str">
        <f t="shared" si="29"/>
        <v/>
      </c>
      <c r="AM358" s="76" t="str">
        <f t="shared" si="30"/>
        <v/>
      </c>
      <c r="AN358" s="76" t="str">
        <f t="shared" si="31"/>
        <v/>
      </c>
      <c r="AO358" s="76" t="str">
        <f t="shared" si="32"/>
        <v/>
      </c>
      <c r="AP358" s="76" t="str">
        <f t="shared" si="33"/>
        <v/>
      </c>
    </row>
    <row r="359" ht="15.75" customHeight="1">
      <c r="A359" s="76" t="str">
        <f>IF('Manual Entry'!A331="","",'Manual Entry'!A331)</f>
        <v/>
      </c>
      <c r="B359" s="76" t="str">
        <f t="shared" si="3"/>
        <v/>
      </c>
      <c r="C359" s="76" t="str">
        <f t="shared" si="4"/>
        <v/>
      </c>
      <c r="D359" s="76" t="str">
        <f>'Manual Entry'!D331</f>
        <v/>
      </c>
      <c r="E359" s="76" t="str">
        <f>'Manual Entry'!B331</f>
        <v/>
      </c>
      <c r="F359" s="76" t="str">
        <f>'Manual Entry'!F331</f>
        <v/>
      </c>
      <c r="G359" s="76" t="str">
        <f>'Manual Entry'!G331</f>
        <v/>
      </c>
      <c r="H359" s="76" t="str">
        <f>'Manual Entry'!H331</f>
        <v/>
      </c>
      <c r="I359" s="78" t="str">
        <f>'Manual Entry'!I331</f>
        <v/>
      </c>
      <c r="J359" s="78" t="str">
        <f>'Manual Entry'!J331</f>
        <v/>
      </c>
      <c r="K359" s="78" t="str">
        <f>'Manual Entry'!K331</f>
        <v/>
      </c>
      <c r="L359" s="78" t="str">
        <f>'Manual Entry'!L331</f>
        <v/>
      </c>
      <c r="M359" s="78" t="str">
        <f>'Manual Entry'!M331</f>
        <v/>
      </c>
      <c r="N359" s="78" t="str">
        <f>'Manual Entry'!N331</f>
        <v/>
      </c>
      <c r="O359" s="76">
        <f t="shared" si="6"/>
        <v>0</v>
      </c>
      <c r="P359" s="76">
        <f t="shared" si="7"/>
        <v>0</v>
      </c>
      <c r="Q359" s="76">
        <f t="shared" si="8"/>
        <v>0</v>
      </c>
      <c r="R359" s="76">
        <f t="shared" si="9"/>
        <v>0</v>
      </c>
      <c r="S359" s="76" t="str">
        <f t="shared" si="10"/>
        <v/>
      </c>
      <c r="T359" s="76" t="str">
        <f t="shared" si="11"/>
        <v/>
      </c>
      <c r="U359" s="76" t="str">
        <f t="shared" si="12"/>
        <v/>
      </c>
      <c r="V359" s="76" t="str">
        <f t="shared" si="13"/>
        <v/>
      </c>
      <c r="W359" s="76" t="str">
        <f t="shared" si="14"/>
        <v/>
      </c>
      <c r="X359" s="76" t="str">
        <f t="shared" si="15"/>
        <v/>
      </c>
      <c r="Y359" s="76" t="str">
        <f t="shared" si="16"/>
        <v/>
      </c>
      <c r="Z359" s="76" t="str">
        <f t="shared" si="17"/>
        <v/>
      </c>
      <c r="AA359" s="76" t="str">
        <f t="shared" si="18"/>
        <v/>
      </c>
      <c r="AB359" s="76" t="str">
        <f t="shared" si="19"/>
        <v/>
      </c>
      <c r="AC359" s="76" t="str">
        <f t="shared" si="20"/>
        <v/>
      </c>
      <c r="AD359" s="76" t="str">
        <f t="shared" si="21"/>
        <v/>
      </c>
      <c r="AE359" s="76" t="str">
        <f t="shared" si="22"/>
        <v/>
      </c>
      <c r="AF359" s="76" t="str">
        <f t="shared" si="23"/>
        <v/>
      </c>
      <c r="AG359" s="76" t="str">
        <f t="shared" si="24"/>
        <v/>
      </c>
      <c r="AH359" s="76" t="str">
        <f t="shared" si="25"/>
        <v/>
      </c>
      <c r="AI359" s="76" t="str">
        <f t="shared" si="26"/>
        <v/>
      </c>
      <c r="AJ359" s="76" t="str">
        <f t="shared" si="27"/>
        <v/>
      </c>
      <c r="AK359" s="76" t="str">
        <f t="shared" si="28"/>
        <v/>
      </c>
      <c r="AL359" s="76" t="str">
        <f t="shared" si="29"/>
        <v/>
      </c>
      <c r="AM359" s="76" t="str">
        <f t="shared" si="30"/>
        <v/>
      </c>
      <c r="AN359" s="76" t="str">
        <f t="shared" si="31"/>
        <v/>
      </c>
      <c r="AO359" s="76" t="str">
        <f t="shared" si="32"/>
        <v/>
      </c>
      <c r="AP359" s="76" t="str">
        <f t="shared" si="33"/>
        <v/>
      </c>
    </row>
    <row r="360" ht="15.75" customHeight="1">
      <c r="A360" s="76" t="str">
        <f>IF('Manual Entry'!A332="","",'Manual Entry'!A332)</f>
        <v/>
      </c>
      <c r="B360" s="76" t="str">
        <f t="shared" si="3"/>
        <v/>
      </c>
      <c r="C360" s="76" t="str">
        <f t="shared" si="4"/>
        <v/>
      </c>
      <c r="D360" s="76" t="str">
        <f>'Manual Entry'!D332</f>
        <v/>
      </c>
      <c r="E360" s="76" t="str">
        <f>'Manual Entry'!B332</f>
        <v/>
      </c>
      <c r="F360" s="76" t="str">
        <f>'Manual Entry'!F332</f>
        <v/>
      </c>
      <c r="G360" s="76" t="str">
        <f>'Manual Entry'!G332</f>
        <v/>
      </c>
      <c r="H360" s="76" t="str">
        <f>'Manual Entry'!H332</f>
        <v/>
      </c>
      <c r="I360" s="78" t="str">
        <f>'Manual Entry'!I332</f>
        <v/>
      </c>
      <c r="J360" s="78" t="str">
        <f>'Manual Entry'!J332</f>
        <v/>
      </c>
      <c r="K360" s="78" t="str">
        <f>'Manual Entry'!K332</f>
        <v/>
      </c>
      <c r="L360" s="78" t="str">
        <f>'Manual Entry'!L332</f>
        <v/>
      </c>
      <c r="M360" s="78" t="str">
        <f>'Manual Entry'!M332</f>
        <v/>
      </c>
      <c r="N360" s="78" t="str">
        <f>'Manual Entry'!N332</f>
        <v/>
      </c>
      <c r="O360" s="76">
        <f t="shared" si="6"/>
        <v>0</v>
      </c>
      <c r="P360" s="76">
        <f t="shared" si="7"/>
        <v>0</v>
      </c>
      <c r="Q360" s="76">
        <f t="shared" si="8"/>
        <v>0</v>
      </c>
      <c r="R360" s="76">
        <f t="shared" si="9"/>
        <v>0</v>
      </c>
      <c r="S360" s="76" t="str">
        <f t="shared" si="10"/>
        <v/>
      </c>
      <c r="T360" s="76" t="str">
        <f t="shared" si="11"/>
        <v/>
      </c>
      <c r="U360" s="76" t="str">
        <f t="shared" si="12"/>
        <v/>
      </c>
      <c r="V360" s="76" t="str">
        <f t="shared" si="13"/>
        <v/>
      </c>
      <c r="W360" s="76" t="str">
        <f t="shared" si="14"/>
        <v/>
      </c>
      <c r="X360" s="76" t="str">
        <f t="shared" si="15"/>
        <v/>
      </c>
      <c r="Y360" s="76" t="str">
        <f t="shared" si="16"/>
        <v/>
      </c>
      <c r="Z360" s="76" t="str">
        <f t="shared" si="17"/>
        <v/>
      </c>
      <c r="AA360" s="76" t="str">
        <f t="shared" si="18"/>
        <v/>
      </c>
      <c r="AB360" s="76" t="str">
        <f t="shared" si="19"/>
        <v/>
      </c>
      <c r="AC360" s="76" t="str">
        <f t="shared" si="20"/>
        <v/>
      </c>
      <c r="AD360" s="76" t="str">
        <f t="shared" si="21"/>
        <v/>
      </c>
      <c r="AE360" s="76" t="str">
        <f t="shared" si="22"/>
        <v/>
      </c>
      <c r="AF360" s="76" t="str">
        <f t="shared" si="23"/>
        <v/>
      </c>
      <c r="AG360" s="76" t="str">
        <f t="shared" si="24"/>
        <v/>
      </c>
      <c r="AH360" s="76" t="str">
        <f t="shared" si="25"/>
        <v/>
      </c>
      <c r="AI360" s="76" t="str">
        <f t="shared" si="26"/>
        <v/>
      </c>
      <c r="AJ360" s="76" t="str">
        <f t="shared" si="27"/>
        <v/>
      </c>
      <c r="AK360" s="76" t="str">
        <f t="shared" si="28"/>
        <v/>
      </c>
      <c r="AL360" s="76" t="str">
        <f t="shared" si="29"/>
        <v/>
      </c>
      <c r="AM360" s="76" t="str">
        <f t="shared" si="30"/>
        <v/>
      </c>
      <c r="AN360" s="76" t="str">
        <f t="shared" si="31"/>
        <v/>
      </c>
      <c r="AO360" s="76" t="str">
        <f t="shared" si="32"/>
        <v/>
      </c>
      <c r="AP360" s="76" t="str">
        <f t="shared" si="33"/>
        <v/>
      </c>
    </row>
    <row r="361" ht="15.75" customHeight="1">
      <c r="A361" s="76" t="str">
        <f>IF('Manual Entry'!A333="","",'Manual Entry'!A333)</f>
        <v/>
      </c>
      <c r="B361" s="76" t="str">
        <f t="shared" si="3"/>
        <v/>
      </c>
      <c r="C361" s="76" t="str">
        <f t="shared" si="4"/>
        <v/>
      </c>
      <c r="D361" s="76" t="str">
        <f>'Manual Entry'!D333</f>
        <v/>
      </c>
      <c r="E361" s="76" t="str">
        <f>'Manual Entry'!B333</f>
        <v/>
      </c>
      <c r="F361" s="76" t="str">
        <f>'Manual Entry'!F333</f>
        <v/>
      </c>
      <c r="G361" s="76" t="str">
        <f>'Manual Entry'!G333</f>
        <v/>
      </c>
      <c r="H361" s="76" t="str">
        <f>'Manual Entry'!H333</f>
        <v/>
      </c>
      <c r="I361" s="78" t="str">
        <f>'Manual Entry'!I333</f>
        <v/>
      </c>
      <c r="J361" s="78" t="str">
        <f>'Manual Entry'!J333</f>
        <v/>
      </c>
      <c r="K361" s="78" t="str">
        <f>'Manual Entry'!K333</f>
        <v/>
      </c>
      <c r="L361" s="78" t="str">
        <f>'Manual Entry'!L333</f>
        <v/>
      </c>
      <c r="M361" s="78" t="str">
        <f>'Manual Entry'!M333</f>
        <v/>
      </c>
      <c r="N361" s="78" t="str">
        <f>'Manual Entry'!N333</f>
        <v/>
      </c>
      <c r="O361" s="76">
        <f t="shared" si="6"/>
        <v>0</v>
      </c>
      <c r="P361" s="76">
        <f t="shared" si="7"/>
        <v>0</v>
      </c>
      <c r="Q361" s="76">
        <f t="shared" si="8"/>
        <v>0</v>
      </c>
      <c r="R361" s="76">
        <f t="shared" si="9"/>
        <v>0</v>
      </c>
      <c r="S361" s="76" t="str">
        <f t="shared" si="10"/>
        <v/>
      </c>
      <c r="T361" s="76" t="str">
        <f t="shared" si="11"/>
        <v/>
      </c>
      <c r="U361" s="76" t="str">
        <f t="shared" si="12"/>
        <v/>
      </c>
      <c r="V361" s="76" t="str">
        <f t="shared" si="13"/>
        <v/>
      </c>
      <c r="W361" s="76" t="str">
        <f t="shared" si="14"/>
        <v/>
      </c>
      <c r="X361" s="76" t="str">
        <f t="shared" si="15"/>
        <v/>
      </c>
      <c r="Y361" s="76" t="str">
        <f t="shared" si="16"/>
        <v/>
      </c>
      <c r="Z361" s="76" t="str">
        <f t="shared" si="17"/>
        <v/>
      </c>
      <c r="AA361" s="76" t="str">
        <f t="shared" si="18"/>
        <v/>
      </c>
      <c r="AB361" s="76" t="str">
        <f t="shared" si="19"/>
        <v/>
      </c>
      <c r="AC361" s="76" t="str">
        <f t="shared" si="20"/>
        <v/>
      </c>
      <c r="AD361" s="76" t="str">
        <f t="shared" si="21"/>
        <v/>
      </c>
      <c r="AE361" s="76" t="str">
        <f t="shared" si="22"/>
        <v/>
      </c>
      <c r="AF361" s="76" t="str">
        <f t="shared" si="23"/>
        <v/>
      </c>
      <c r="AG361" s="76" t="str">
        <f t="shared" si="24"/>
        <v/>
      </c>
      <c r="AH361" s="76" t="str">
        <f t="shared" si="25"/>
        <v/>
      </c>
      <c r="AI361" s="76" t="str">
        <f t="shared" si="26"/>
        <v/>
      </c>
      <c r="AJ361" s="76" t="str">
        <f t="shared" si="27"/>
        <v/>
      </c>
      <c r="AK361" s="76" t="str">
        <f t="shared" si="28"/>
        <v/>
      </c>
      <c r="AL361" s="76" t="str">
        <f t="shared" si="29"/>
        <v/>
      </c>
      <c r="AM361" s="76" t="str">
        <f t="shared" si="30"/>
        <v/>
      </c>
      <c r="AN361" s="76" t="str">
        <f t="shared" si="31"/>
        <v/>
      </c>
      <c r="AO361" s="76" t="str">
        <f t="shared" si="32"/>
        <v/>
      </c>
      <c r="AP361" s="76" t="str">
        <f t="shared" si="33"/>
        <v/>
      </c>
    </row>
    <row r="362" ht="15.75" customHeight="1">
      <c r="A362" s="76" t="str">
        <f>IF('Manual Entry'!A334="","",'Manual Entry'!A334)</f>
        <v/>
      </c>
      <c r="B362" s="76" t="str">
        <f t="shared" si="3"/>
        <v/>
      </c>
      <c r="C362" s="76" t="str">
        <f t="shared" si="4"/>
        <v/>
      </c>
      <c r="D362" s="76" t="str">
        <f>'Manual Entry'!D334</f>
        <v/>
      </c>
      <c r="E362" s="76" t="str">
        <f>'Manual Entry'!B334</f>
        <v/>
      </c>
      <c r="F362" s="76" t="str">
        <f>'Manual Entry'!F334</f>
        <v/>
      </c>
      <c r="G362" s="76" t="str">
        <f>'Manual Entry'!G334</f>
        <v/>
      </c>
      <c r="H362" s="76" t="str">
        <f>'Manual Entry'!H334</f>
        <v/>
      </c>
      <c r="I362" s="78" t="str">
        <f>'Manual Entry'!I334</f>
        <v/>
      </c>
      <c r="J362" s="78" t="str">
        <f>'Manual Entry'!J334</f>
        <v/>
      </c>
      <c r="K362" s="78" t="str">
        <f>'Manual Entry'!K334</f>
        <v/>
      </c>
      <c r="L362" s="78" t="str">
        <f>'Manual Entry'!L334</f>
        <v/>
      </c>
      <c r="M362" s="78" t="str">
        <f>'Manual Entry'!M334</f>
        <v/>
      </c>
      <c r="N362" s="78" t="str">
        <f>'Manual Entry'!N334</f>
        <v/>
      </c>
      <c r="O362" s="76">
        <f t="shared" si="6"/>
        <v>0</v>
      </c>
      <c r="P362" s="76">
        <f t="shared" si="7"/>
        <v>0</v>
      </c>
      <c r="Q362" s="76">
        <f t="shared" si="8"/>
        <v>0</v>
      </c>
      <c r="R362" s="76">
        <f t="shared" si="9"/>
        <v>0</v>
      </c>
      <c r="S362" s="76" t="str">
        <f t="shared" si="10"/>
        <v/>
      </c>
      <c r="T362" s="76" t="str">
        <f t="shared" si="11"/>
        <v/>
      </c>
      <c r="U362" s="76" t="str">
        <f t="shared" si="12"/>
        <v/>
      </c>
      <c r="V362" s="76" t="str">
        <f t="shared" si="13"/>
        <v/>
      </c>
      <c r="W362" s="76" t="str">
        <f t="shared" si="14"/>
        <v/>
      </c>
      <c r="X362" s="76" t="str">
        <f t="shared" si="15"/>
        <v/>
      </c>
      <c r="Y362" s="76" t="str">
        <f t="shared" si="16"/>
        <v/>
      </c>
      <c r="Z362" s="76" t="str">
        <f t="shared" si="17"/>
        <v/>
      </c>
      <c r="AA362" s="76" t="str">
        <f t="shared" si="18"/>
        <v/>
      </c>
      <c r="AB362" s="76" t="str">
        <f t="shared" si="19"/>
        <v/>
      </c>
      <c r="AC362" s="76" t="str">
        <f t="shared" si="20"/>
        <v/>
      </c>
      <c r="AD362" s="76" t="str">
        <f t="shared" si="21"/>
        <v/>
      </c>
      <c r="AE362" s="76" t="str">
        <f t="shared" si="22"/>
        <v/>
      </c>
      <c r="AF362" s="76" t="str">
        <f t="shared" si="23"/>
        <v/>
      </c>
      <c r="AG362" s="76" t="str">
        <f t="shared" si="24"/>
        <v/>
      </c>
      <c r="AH362" s="76" t="str">
        <f t="shared" si="25"/>
        <v/>
      </c>
      <c r="AI362" s="76" t="str">
        <f t="shared" si="26"/>
        <v/>
      </c>
      <c r="AJ362" s="76" t="str">
        <f t="shared" si="27"/>
        <v/>
      </c>
      <c r="AK362" s="76" t="str">
        <f t="shared" si="28"/>
        <v/>
      </c>
      <c r="AL362" s="76" t="str">
        <f t="shared" si="29"/>
        <v/>
      </c>
      <c r="AM362" s="76" t="str">
        <f t="shared" si="30"/>
        <v/>
      </c>
      <c r="AN362" s="76" t="str">
        <f t="shared" si="31"/>
        <v/>
      </c>
      <c r="AO362" s="76" t="str">
        <f t="shared" si="32"/>
        <v/>
      </c>
      <c r="AP362" s="76" t="str">
        <f t="shared" si="33"/>
        <v/>
      </c>
    </row>
    <row r="363" ht="15.75" customHeight="1">
      <c r="A363" s="76" t="str">
        <f>IF('Manual Entry'!A335="","",'Manual Entry'!A335)</f>
        <v/>
      </c>
      <c r="B363" s="76" t="str">
        <f t="shared" si="3"/>
        <v/>
      </c>
      <c r="C363" s="76" t="str">
        <f t="shared" si="4"/>
        <v/>
      </c>
      <c r="D363" s="76" t="str">
        <f>'Manual Entry'!D335</f>
        <v/>
      </c>
      <c r="E363" s="76" t="str">
        <f>'Manual Entry'!B335</f>
        <v/>
      </c>
      <c r="F363" s="76" t="str">
        <f>'Manual Entry'!F335</f>
        <v/>
      </c>
      <c r="G363" s="76" t="str">
        <f>'Manual Entry'!G335</f>
        <v/>
      </c>
      <c r="H363" s="76" t="str">
        <f>'Manual Entry'!H335</f>
        <v/>
      </c>
      <c r="I363" s="78" t="str">
        <f>'Manual Entry'!I335</f>
        <v/>
      </c>
      <c r="J363" s="78" t="str">
        <f>'Manual Entry'!J335</f>
        <v/>
      </c>
      <c r="K363" s="78" t="str">
        <f>'Manual Entry'!K335</f>
        <v/>
      </c>
      <c r="L363" s="78" t="str">
        <f>'Manual Entry'!L335</f>
        <v/>
      </c>
      <c r="M363" s="78" t="str">
        <f>'Manual Entry'!M335</f>
        <v/>
      </c>
      <c r="N363" s="78" t="str">
        <f>'Manual Entry'!N335</f>
        <v/>
      </c>
      <c r="O363" s="76">
        <f t="shared" si="6"/>
        <v>0</v>
      </c>
      <c r="P363" s="76">
        <f t="shared" si="7"/>
        <v>0</v>
      </c>
      <c r="Q363" s="76">
        <f t="shared" si="8"/>
        <v>0</v>
      </c>
      <c r="R363" s="76">
        <f t="shared" si="9"/>
        <v>0</v>
      </c>
      <c r="S363" s="76" t="str">
        <f t="shared" si="10"/>
        <v/>
      </c>
      <c r="T363" s="76" t="str">
        <f t="shared" si="11"/>
        <v/>
      </c>
      <c r="U363" s="76" t="str">
        <f t="shared" si="12"/>
        <v/>
      </c>
      <c r="V363" s="76" t="str">
        <f t="shared" si="13"/>
        <v/>
      </c>
      <c r="W363" s="76" t="str">
        <f t="shared" si="14"/>
        <v/>
      </c>
      <c r="X363" s="76" t="str">
        <f t="shared" si="15"/>
        <v/>
      </c>
      <c r="Y363" s="76" t="str">
        <f t="shared" si="16"/>
        <v/>
      </c>
      <c r="Z363" s="76" t="str">
        <f t="shared" si="17"/>
        <v/>
      </c>
      <c r="AA363" s="76" t="str">
        <f t="shared" si="18"/>
        <v/>
      </c>
      <c r="AB363" s="76" t="str">
        <f t="shared" si="19"/>
        <v/>
      </c>
      <c r="AC363" s="76" t="str">
        <f t="shared" si="20"/>
        <v/>
      </c>
      <c r="AD363" s="76" t="str">
        <f t="shared" si="21"/>
        <v/>
      </c>
      <c r="AE363" s="76" t="str">
        <f t="shared" si="22"/>
        <v/>
      </c>
      <c r="AF363" s="76" t="str">
        <f t="shared" si="23"/>
        <v/>
      </c>
      <c r="AG363" s="76" t="str">
        <f t="shared" si="24"/>
        <v/>
      </c>
      <c r="AH363" s="76" t="str">
        <f t="shared" si="25"/>
        <v/>
      </c>
      <c r="AI363" s="76" t="str">
        <f t="shared" si="26"/>
        <v/>
      </c>
      <c r="AJ363" s="76" t="str">
        <f t="shared" si="27"/>
        <v/>
      </c>
      <c r="AK363" s="76" t="str">
        <f t="shared" si="28"/>
        <v/>
      </c>
      <c r="AL363" s="76" t="str">
        <f t="shared" si="29"/>
        <v/>
      </c>
      <c r="AM363" s="76" t="str">
        <f t="shared" si="30"/>
        <v/>
      </c>
      <c r="AN363" s="76" t="str">
        <f t="shared" si="31"/>
        <v/>
      </c>
      <c r="AO363" s="76" t="str">
        <f t="shared" si="32"/>
        <v/>
      </c>
      <c r="AP363" s="76" t="str">
        <f t="shared" si="33"/>
        <v/>
      </c>
    </row>
    <row r="364" ht="15.75" customHeight="1">
      <c r="A364" s="76" t="str">
        <f>IF('Manual Entry'!A336="","",'Manual Entry'!A336)</f>
        <v/>
      </c>
      <c r="B364" s="76" t="str">
        <f t="shared" si="3"/>
        <v/>
      </c>
      <c r="C364" s="76" t="str">
        <f t="shared" si="4"/>
        <v/>
      </c>
      <c r="D364" s="76" t="str">
        <f>'Manual Entry'!D336</f>
        <v/>
      </c>
      <c r="E364" s="76" t="str">
        <f>'Manual Entry'!B336</f>
        <v/>
      </c>
      <c r="F364" s="76" t="str">
        <f>'Manual Entry'!F336</f>
        <v/>
      </c>
      <c r="G364" s="76" t="str">
        <f>'Manual Entry'!G336</f>
        <v/>
      </c>
      <c r="H364" s="76" t="str">
        <f>'Manual Entry'!H336</f>
        <v/>
      </c>
      <c r="I364" s="78" t="str">
        <f>'Manual Entry'!I336</f>
        <v/>
      </c>
      <c r="J364" s="78" t="str">
        <f>'Manual Entry'!J336</f>
        <v/>
      </c>
      <c r="K364" s="78" t="str">
        <f>'Manual Entry'!K336</f>
        <v/>
      </c>
      <c r="L364" s="78" t="str">
        <f>'Manual Entry'!L336</f>
        <v/>
      </c>
      <c r="M364" s="78" t="str">
        <f>'Manual Entry'!M336</f>
        <v/>
      </c>
      <c r="N364" s="78" t="str">
        <f>'Manual Entry'!N336</f>
        <v/>
      </c>
      <c r="O364" s="76">
        <f t="shared" si="6"/>
        <v>0</v>
      </c>
      <c r="P364" s="76">
        <f t="shared" si="7"/>
        <v>0</v>
      </c>
      <c r="Q364" s="76">
        <f t="shared" si="8"/>
        <v>0</v>
      </c>
      <c r="R364" s="76">
        <f t="shared" si="9"/>
        <v>0</v>
      </c>
      <c r="S364" s="76" t="str">
        <f t="shared" si="10"/>
        <v/>
      </c>
      <c r="T364" s="76" t="str">
        <f t="shared" si="11"/>
        <v/>
      </c>
      <c r="U364" s="76" t="str">
        <f t="shared" si="12"/>
        <v/>
      </c>
      <c r="V364" s="76" t="str">
        <f t="shared" si="13"/>
        <v/>
      </c>
      <c r="W364" s="76" t="str">
        <f t="shared" si="14"/>
        <v/>
      </c>
      <c r="X364" s="76" t="str">
        <f t="shared" si="15"/>
        <v/>
      </c>
      <c r="Y364" s="76" t="str">
        <f t="shared" si="16"/>
        <v/>
      </c>
      <c r="Z364" s="76" t="str">
        <f t="shared" si="17"/>
        <v/>
      </c>
      <c r="AA364" s="76" t="str">
        <f t="shared" si="18"/>
        <v/>
      </c>
      <c r="AB364" s="76" t="str">
        <f t="shared" si="19"/>
        <v/>
      </c>
      <c r="AC364" s="76" t="str">
        <f t="shared" si="20"/>
        <v/>
      </c>
      <c r="AD364" s="76" t="str">
        <f t="shared" si="21"/>
        <v/>
      </c>
      <c r="AE364" s="76" t="str">
        <f t="shared" si="22"/>
        <v/>
      </c>
      <c r="AF364" s="76" t="str">
        <f t="shared" si="23"/>
        <v/>
      </c>
      <c r="AG364" s="76" t="str">
        <f t="shared" si="24"/>
        <v/>
      </c>
      <c r="AH364" s="76" t="str">
        <f t="shared" si="25"/>
        <v/>
      </c>
      <c r="AI364" s="76" t="str">
        <f t="shared" si="26"/>
        <v/>
      </c>
      <c r="AJ364" s="76" t="str">
        <f t="shared" si="27"/>
        <v/>
      </c>
      <c r="AK364" s="76" t="str">
        <f t="shared" si="28"/>
        <v/>
      </c>
      <c r="AL364" s="76" t="str">
        <f t="shared" si="29"/>
        <v/>
      </c>
      <c r="AM364" s="76" t="str">
        <f t="shared" si="30"/>
        <v/>
      </c>
      <c r="AN364" s="76" t="str">
        <f t="shared" si="31"/>
        <v/>
      </c>
      <c r="AO364" s="76" t="str">
        <f t="shared" si="32"/>
        <v/>
      </c>
      <c r="AP364" s="76" t="str">
        <f t="shared" si="33"/>
        <v/>
      </c>
    </row>
    <row r="365" ht="15.75" customHeight="1">
      <c r="A365" s="76" t="str">
        <f>IF('Manual Entry'!A337="","",'Manual Entry'!A337)</f>
        <v/>
      </c>
      <c r="B365" s="76" t="str">
        <f t="shared" si="3"/>
        <v/>
      </c>
      <c r="C365" s="76" t="str">
        <f t="shared" si="4"/>
        <v/>
      </c>
      <c r="D365" s="76" t="str">
        <f>'Manual Entry'!D337</f>
        <v/>
      </c>
      <c r="E365" s="76" t="str">
        <f>'Manual Entry'!B337</f>
        <v/>
      </c>
      <c r="F365" s="76" t="str">
        <f>'Manual Entry'!F337</f>
        <v/>
      </c>
      <c r="G365" s="76" t="str">
        <f>'Manual Entry'!G337</f>
        <v/>
      </c>
      <c r="H365" s="76" t="str">
        <f>'Manual Entry'!H337</f>
        <v/>
      </c>
      <c r="I365" s="78" t="str">
        <f>'Manual Entry'!I337</f>
        <v/>
      </c>
      <c r="J365" s="78" t="str">
        <f>'Manual Entry'!J337</f>
        <v/>
      </c>
      <c r="K365" s="78" t="str">
        <f>'Manual Entry'!K337</f>
        <v/>
      </c>
      <c r="L365" s="78" t="str">
        <f>'Manual Entry'!L337</f>
        <v/>
      </c>
      <c r="M365" s="78" t="str">
        <f>'Manual Entry'!M337</f>
        <v/>
      </c>
      <c r="N365" s="78" t="str">
        <f>'Manual Entry'!N337</f>
        <v/>
      </c>
      <c r="O365" s="76">
        <f t="shared" si="6"/>
        <v>0</v>
      </c>
      <c r="P365" s="76">
        <f t="shared" si="7"/>
        <v>0</v>
      </c>
      <c r="Q365" s="76">
        <f t="shared" si="8"/>
        <v>0</v>
      </c>
      <c r="R365" s="76">
        <f t="shared" si="9"/>
        <v>0</v>
      </c>
      <c r="S365" s="76" t="str">
        <f t="shared" si="10"/>
        <v/>
      </c>
      <c r="T365" s="76" t="str">
        <f t="shared" si="11"/>
        <v/>
      </c>
      <c r="U365" s="76" t="str">
        <f t="shared" si="12"/>
        <v/>
      </c>
      <c r="V365" s="76" t="str">
        <f t="shared" si="13"/>
        <v/>
      </c>
      <c r="W365" s="76" t="str">
        <f t="shared" si="14"/>
        <v/>
      </c>
      <c r="X365" s="76" t="str">
        <f t="shared" si="15"/>
        <v/>
      </c>
      <c r="Y365" s="76" t="str">
        <f t="shared" si="16"/>
        <v/>
      </c>
      <c r="Z365" s="76" t="str">
        <f t="shared" si="17"/>
        <v/>
      </c>
      <c r="AA365" s="76" t="str">
        <f t="shared" si="18"/>
        <v/>
      </c>
      <c r="AB365" s="76" t="str">
        <f t="shared" si="19"/>
        <v/>
      </c>
      <c r="AC365" s="76" t="str">
        <f t="shared" si="20"/>
        <v/>
      </c>
      <c r="AD365" s="76" t="str">
        <f t="shared" si="21"/>
        <v/>
      </c>
      <c r="AE365" s="76" t="str">
        <f t="shared" si="22"/>
        <v/>
      </c>
      <c r="AF365" s="76" t="str">
        <f t="shared" si="23"/>
        <v/>
      </c>
      <c r="AG365" s="76" t="str">
        <f t="shared" si="24"/>
        <v/>
      </c>
      <c r="AH365" s="76" t="str">
        <f t="shared" si="25"/>
        <v/>
      </c>
      <c r="AI365" s="76" t="str">
        <f t="shared" si="26"/>
        <v/>
      </c>
      <c r="AJ365" s="76" t="str">
        <f t="shared" si="27"/>
        <v/>
      </c>
      <c r="AK365" s="76" t="str">
        <f t="shared" si="28"/>
        <v/>
      </c>
      <c r="AL365" s="76" t="str">
        <f t="shared" si="29"/>
        <v/>
      </c>
      <c r="AM365" s="76" t="str">
        <f t="shared" si="30"/>
        <v/>
      </c>
      <c r="AN365" s="76" t="str">
        <f t="shared" si="31"/>
        <v/>
      </c>
      <c r="AO365" s="76" t="str">
        <f t="shared" si="32"/>
        <v/>
      </c>
      <c r="AP365" s="76" t="str">
        <f t="shared" si="33"/>
        <v/>
      </c>
    </row>
    <row r="366" ht="15.75" customHeight="1">
      <c r="A366" s="76" t="str">
        <f>IF('Manual Entry'!A338="","",'Manual Entry'!A338)</f>
        <v/>
      </c>
      <c r="B366" s="76" t="str">
        <f t="shared" si="3"/>
        <v/>
      </c>
      <c r="C366" s="76" t="str">
        <f t="shared" si="4"/>
        <v/>
      </c>
      <c r="D366" s="76" t="str">
        <f>'Manual Entry'!D338</f>
        <v/>
      </c>
      <c r="E366" s="76" t="str">
        <f>'Manual Entry'!B338</f>
        <v/>
      </c>
      <c r="F366" s="76" t="str">
        <f>'Manual Entry'!F338</f>
        <v/>
      </c>
      <c r="G366" s="76" t="str">
        <f>'Manual Entry'!G338</f>
        <v/>
      </c>
      <c r="H366" s="76" t="str">
        <f>'Manual Entry'!H338</f>
        <v/>
      </c>
      <c r="I366" s="78" t="str">
        <f>'Manual Entry'!I338</f>
        <v/>
      </c>
      <c r="J366" s="78" t="str">
        <f>'Manual Entry'!J338</f>
        <v/>
      </c>
      <c r="K366" s="78" t="str">
        <f>'Manual Entry'!K338</f>
        <v/>
      </c>
      <c r="L366" s="78" t="str">
        <f>'Manual Entry'!L338</f>
        <v/>
      </c>
      <c r="M366" s="78" t="str">
        <f>'Manual Entry'!M338</f>
        <v/>
      </c>
      <c r="N366" s="78" t="str">
        <f>'Manual Entry'!N338</f>
        <v/>
      </c>
      <c r="O366" s="76">
        <f t="shared" si="6"/>
        <v>0</v>
      </c>
      <c r="P366" s="76">
        <f t="shared" si="7"/>
        <v>0</v>
      </c>
      <c r="Q366" s="76">
        <f t="shared" si="8"/>
        <v>0</v>
      </c>
      <c r="R366" s="76">
        <f t="shared" si="9"/>
        <v>0</v>
      </c>
      <c r="S366" s="76" t="str">
        <f t="shared" si="10"/>
        <v/>
      </c>
      <c r="T366" s="76" t="str">
        <f t="shared" si="11"/>
        <v/>
      </c>
      <c r="U366" s="76" t="str">
        <f t="shared" si="12"/>
        <v/>
      </c>
      <c r="V366" s="76" t="str">
        <f t="shared" si="13"/>
        <v/>
      </c>
      <c r="W366" s="76" t="str">
        <f t="shared" si="14"/>
        <v/>
      </c>
      <c r="X366" s="76" t="str">
        <f t="shared" si="15"/>
        <v/>
      </c>
      <c r="Y366" s="76" t="str">
        <f t="shared" si="16"/>
        <v/>
      </c>
      <c r="Z366" s="76" t="str">
        <f t="shared" si="17"/>
        <v/>
      </c>
      <c r="AA366" s="76" t="str">
        <f t="shared" si="18"/>
        <v/>
      </c>
      <c r="AB366" s="76" t="str">
        <f t="shared" si="19"/>
        <v/>
      </c>
      <c r="AC366" s="76" t="str">
        <f t="shared" si="20"/>
        <v/>
      </c>
      <c r="AD366" s="76" t="str">
        <f t="shared" si="21"/>
        <v/>
      </c>
      <c r="AE366" s="76" t="str">
        <f t="shared" si="22"/>
        <v/>
      </c>
      <c r="AF366" s="76" t="str">
        <f t="shared" si="23"/>
        <v/>
      </c>
      <c r="AG366" s="76" t="str">
        <f t="shared" si="24"/>
        <v/>
      </c>
      <c r="AH366" s="76" t="str">
        <f t="shared" si="25"/>
        <v/>
      </c>
      <c r="AI366" s="76" t="str">
        <f t="shared" si="26"/>
        <v/>
      </c>
      <c r="AJ366" s="76" t="str">
        <f t="shared" si="27"/>
        <v/>
      </c>
      <c r="AK366" s="76" t="str">
        <f t="shared" si="28"/>
        <v/>
      </c>
      <c r="AL366" s="76" t="str">
        <f t="shared" si="29"/>
        <v/>
      </c>
      <c r="AM366" s="76" t="str">
        <f t="shared" si="30"/>
        <v/>
      </c>
      <c r="AN366" s="76" t="str">
        <f t="shared" si="31"/>
        <v/>
      </c>
      <c r="AO366" s="76" t="str">
        <f t="shared" si="32"/>
        <v/>
      </c>
      <c r="AP366" s="76" t="str">
        <f t="shared" si="33"/>
        <v/>
      </c>
    </row>
    <row r="367" ht="15.75" customHeight="1">
      <c r="A367" s="76" t="str">
        <f>IF('Manual Entry'!A339="","",'Manual Entry'!A339)</f>
        <v/>
      </c>
      <c r="B367" s="76" t="str">
        <f t="shared" si="3"/>
        <v/>
      </c>
      <c r="C367" s="76" t="str">
        <f t="shared" si="4"/>
        <v/>
      </c>
      <c r="D367" s="76" t="str">
        <f>'Manual Entry'!D339</f>
        <v/>
      </c>
      <c r="E367" s="76" t="str">
        <f>'Manual Entry'!B339</f>
        <v/>
      </c>
      <c r="F367" s="76" t="str">
        <f>'Manual Entry'!F339</f>
        <v/>
      </c>
      <c r="G367" s="76" t="str">
        <f>'Manual Entry'!G339</f>
        <v/>
      </c>
      <c r="H367" s="76" t="str">
        <f>'Manual Entry'!H339</f>
        <v/>
      </c>
      <c r="I367" s="78" t="str">
        <f>'Manual Entry'!I339</f>
        <v/>
      </c>
      <c r="J367" s="78" t="str">
        <f>'Manual Entry'!J339</f>
        <v/>
      </c>
      <c r="K367" s="78" t="str">
        <f>'Manual Entry'!K339</f>
        <v/>
      </c>
      <c r="L367" s="78" t="str">
        <f>'Manual Entry'!L339</f>
        <v/>
      </c>
      <c r="M367" s="78" t="str">
        <f>'Manual Entry'!M339</f>
        <v/>
      </c>
      <c r="N367" s="78" t="str">
        <f>'Manual Entry'!N339</f>
        <v/>
      </c>
      <c r="O367" s="76">
        <f t="shared" si="6"/>
        <v>0</v>
      </c>
      <c r="P367" s="76">
        <f t="shared" si="7"/>
        <v>0</v>
      </c>
      <c r="Q367" s="76">
        <f t="shared" si="8"/>
        <v>0</v>
      </c>
      <c r="R367" s="76">
        <f t="shared" si="9"/>
        <v>0</v>
      </c>
      <c r="S367" s="76" t="str">
        <f t="shared" si="10"/>
        <v/>
      </c>
      <c r="T367" s="76" t="str">
        <f t="shared" si="11"/>
        <v/>
      </c>
      <c r="U367" s="76" t="str">
        <f t="shared" si="12"/>
        <v/>
      </c>
      <c r="V367" s="76" t="str">
        <f t="shared" si="13"/>
        <v/>
      </c>
      <c r="W367" s="76" t="str">
        <f t="shared" si="14"/>
        <v/>
      </c>
      <c r="X367" s="76" t="str">
        <f t="shared" si="15"/>
        <v/>
      </c>
      <c r="Y367" s="76" t="str">
        <f t="shared" si="16"/>
        <v/>
      </c>
      <c r="Z367" s="76" t="str">
        <f t="shared" si="17"/>
        <v/>
      </c>
      <c r="AA367" s="76" t="str">
        <f t="shared" si="18"/>
        <v/>
      </c>
      <c r="AB367" s="76" t="str">
        <f t="shared" si="19"/>
        <v/>
      </c>
      <c r="AC367" s="76" t="str">
        <f t="shared" si="20"/>
        <v/>
      </c>
      <c r="AD367" s="76" t="str">
        <f t="shared" si="21"/>
        <v/>
      </c>
      <c r="AE367" s="76" t="str">
        <f t="shared" si="22"/>
        <v/>
      </c>
      <c r="AF367" s="76" t="str">
        <f t="shared" si="23"/>
        <v/>
      </c>
      <c r="AG367" s="76" t="str">
        <f t="shared" si="24"/>
        <v/>
      </c>
      <c r="AH367" s="76" t="str">
        <f t="shared" si="25"/>
        <v/>
      </c>
      <c r="AI367" s="76" t="str">
        <f t="shared" si="26"/>
        <v/>
      </c>
      <c r="AJ367" s="76" t="str">
        <f t="shared" si="27"/>
        <v/>
      </c>
      <c r="AK367" s="76" t="str">
        <f t="shared" si="28"/>
        <v/>
      </c>
      <c r="AL367" s="76" t="str">
        <f t="shared" si="29"/>
        <v/>
      </c>
      <c r="AM367" s="76" t="str">
        <f t="shared" si="30"/>
        <v/>
      </c>
      <c r="AN367" s="76" t="str">
        <f t="shared" si="31"/>
        <v/>
      </c>
      <c r="AO367" s="76" t="str">
        <f t="shared" si="32"/>
        <v/>
      </c>
      <c r="AP367" s="76" t="str">
        <f t="shared" si="33"/>
        <v/>
      </c>
    </row>
    <row r="368" ht="15.75" customHeight="1">
      <c r="A368" s="76" t="str">
        <f>IF('Manual Entry'!A340="","",'Manual Entry'!A340)</f>
        <v/>
      </c>
      <c r="B368" s="76" t="str">
        <f t="shared" si="3"/>
        <v/>
      </c>
      <c r="C368" s="76" t="str">
        <f t="shared" si="4"/>
        <v/>
      </c>
      <c r="D368" s="76" t="str">
        <f>'Manual Entry'!D340</f>
        <v/>
      </c>
      <c r="E368" s="76" t="str">
        <f>'Manual Entry'!B340</f>
        <v/>
      </c>
      <c r="F368" s="76" t="str">
        <f>'Manual Entry'!F340</f>
        <v/>
      </c>
      <c r="G368" s="76" t="str">
        <f>'Manual Entry'!G340</f>
        <v/>
      </c>
      <c r="H368" s="76" t="str">
        <f>'Manual Entry'!H340</f>
        <v/>
      </c>
      <c r="I368" s="78" t="str">
        <f>'Manual Entry'!I340</f>
        <v/>
      </c>
      <c r="J368" s="78" t="str">
        <f>'Manual Entry'!J340</f>
        <v/>
      </c>
      <c r="K368" s="78" t="str">
        <f>'Manual Entry'!K340</f>
        <v/>
      </c>
      <c r="L368" s="78" t="str">
        <f>'Manual Entry'!L340</f>
        <v/>
      </c>
      <c r="M368" s="78" t="str">
        <f>'Manual Entry'!M340</f>
        <v/>
      </c>
      <c r="N368" s="78" t="str">
        <f>'Manual Entry'!N340</f>
        <v/>
      </c>
      <c r="O368" s="76">
        <f t="shared" si="6"/>
        <v>0</v>
      </c>
      <c r="P368" s="76">
        <f t="shared" si="7"/>
        <v>0</v>
      </c>
      <c r="Q368" s="76">
        <f t="shared" si="8"/>
        <v>0</v>
      </c>
      <c r="R368" s="76">
        <f t="shared" si="9"/>
        <v>0</v>
      </c>
      <c r="S368" s="76" t="str">
        <f t="shared" si="10"/>
        <v/>
      </c>
      <c r="T368" s="76" t="str">
        <f t="shared" si="11"/>
        <v/>
      </c>
      <c r="U368" s="76" t="str">
        <f t="shared" si="12"/>
        <v/>
      </c>
      <c r="V368" s="76" t="str">
        <f t="shared" si="13"/>
        <v/>
      </c>
      <c r="W368" s="76" t="str">
        <f t="shared" si="14"/>
        <v/>
      </c>
      <c r="X368" s="76" t="str">
        <f t="shared" si="15"/>
        <v/>
      </c>
      <c r="Y368" s="76" t="str">
        <f t="shared" si="16"/>
        <v/>
      </c>
      <c r="Z368" s="76" t="str">
        <f t="shared" si="17"/>
        <v/>
      </c>
      <c r="AA368" s="76" t="str">
        <f t="shared" si="18"/>
        <v/>
      </c>
      <c r="AB368" s="76" t="str">
        <f t="shared" si="19"/>
        <v/>
      </c>
      <c r="AC368" s="76" t="str">
        <f t="shared" si="20"/>
        <v/>
      </c>
      <c r="AD368" s="76" t="str">
        <f t="shared" si="21"/>
        <v/>
      </c>
      <c r="AE368" s="76" t="str">
        <f t="shared" si="22"/>
        <v/>
      </c>
      <c r="AF368" s="76" t="str">
        <f t="shared" si="23"/>
        <v/>
      </c>
      <c r="AG368" s="76" t="str">
        <f t="shared" si="24"/>
        <v/>
      </c>
      <c r="AH368" s="76" t="str">
        <f t="shared" si="25"/>
        <v/>
      </c>
      <c r="AI368" s="76" t="str">
        <f t="shared" si="26"/>
        <v/>
      </c>
      <c r="AJ368" s="76" t="str">
        <f t="shared" si="27"/>
        <v/>
      </c>
      <c r="AK368" s="76" t="str">
        <f t="shared" si="28"/>
        <v/>
      </c>
      <c r="AL368" s="76" t="str">
        <f t="shared" si="29"/>
        <v/>
      </c>
      <c r="AM368" s="76" t="str">
        <f t="shared" si="30"/>
        <v/>
      </c>
      <c r="AN368" s="76" t="str">
        <f t="shared" si="31"/>
        <v/>
      </c>
      <c r="AO368" s="76" t="str">
        <f t="shared" si="32"/>
        <v/>
      </c>
      <c r="AP368" s="76" t="str">
        <f t="shared" si="33"/>
        <v/>
      </c>
    </row>
    <row r="369" ht="15.75" customHeight="1">
      <c r="A369" s="76" t="str">
        <f>IF('Manual Entry'!A341="","",'Manual Entry'!A341)</f>
        <v/>
      </c>
      <c r="B369" s="76" t="str">
        <f t="shared" si="3"/>
        <v/>
      </c>
      <c r="C369" s="76" t="str">
        <f t="shared" si="4"/>
        <v/>
      </c>
      <c r="D369" s="76" t="str">
        <f>'Manual Entry'!D341</f>
        <v/>
      </c>
      <c r="E369" s="76" t="str">
        <f>'Manual Entry'!B341</f>
        <v/>
      </c>
      <c r="F369" s="76" t="str">
        <f>'Manual Entry'!F341</f>
        <v/>
      </c>
      <c r="G369" s="76" t="str">
        <f>'Manual Entry'!G341</f>
        <v/>
      </c>
      <c r="H369" s="76" t="str">
        <f>'Manual Entry'!H341</f>
        <v/>
      </c>
      <c r="I369" s="78" t="str">
        <f>'Manual Entry'!I341</f>
        <v/>
      </c>
      <c r="J369" s="78" t="str">
        <f>'Manual Entry'!J341</f>
        <v/>
      </c>
      <c r="K369" s="78" t="str">
        <f>'Manual Entry'!K341</f>
        <v/>
      </c>
      <c r="L369" s="78" t="str">
        <f>'Manual Entry'!L341</f>
        <v/>
      </c>
      <c r="M369" s="78" t="str">
        <f>'Manual Entry'!M341</f>
        <v/>
      </c>
      <c r="N369" s="78" t="str">
        <f>'Manual Entry'!N341</f>
        <v/>
      </c>
      <c r="O369" s="76">
        <f t="shared" si="6"/>
        <v>0</v>
      </c>
      <c r="P369" s="76">
        <f t="shared" si="7"/>
        <v>0</v>
      </c>
      <c r="Q369" s="76">
        <f t="shared" si="8"/>
        <v>0</v>
      </c>
      <c r="R369" s="76">
        <f t="shared" si="9"/>
        <v>0</v>
      </c>
      <c r="S369" s="76" t="str">
        <f t="shared" si="10"/>
        <v/>
      </c>
      <c r="T369" s="76" t="str">
        <f t="shared" si="11"/>
        <v/>
      </c>
      <c r="U369" s="76" t="str">
        <f t="shared" si="12"/>
        <v/>
      </c>
      <c r="V369" s="76" t="str">
        <f t="shared" si="13"/>
        <v/>
      </c>
      <c r="W369" s="76" t="str">
        <f t="shared" si="14"/>
        <v/>
      </c>
      <c r="X369" s="76" t="str">
        <f t="shared" si="15"/>
        <v/>
      </c>
      <c r="Y369" s="76" t="str">
        <f t="shared" si="16"/>
        <v/>
      </c>
      <c r="Z369" s="76" t="str">
        <f t="shared" si="17"/>
        <v/>
      </c>
      <c r="AA369" s="76" t="str">
        <f t="shared" si="18"/>
        <v/>
      </c>
      <c r="AB369" s="76" t="str">
        <f t="shared" si="19"/>
        <v/>
      </c>
      <c r="AC369" s="76" t="str">
        <f t="shared" si="20"/>
        <v/>
      </c>
      <c r="AD369" s="76" t="str">
        <f t="shared" si="21"/>
        <v/>
      </c>
      <c r="AE369" s="76" t="str">
        <f t="shared" si="22"/>
        <v/>
      </c>
      <c r="AF369" s="76" t="str">
        <f t="shared" si="23"/>
        <v/>
      </c>
      <c r="AG369" s="76" t="str">
        <f t="shared" si="24"/>
        <v/>
      </c>
      <c r="AH369" s="76" t="str">
        <f t="shared" si="25"/>
        <v/>
      </c>
      <c r="AI369" s="76" t="str">
        <f t="shared" si="26"/>
        <v/>
      </c>
      <c r="AJ369" s="76" t="str">
        <f t="shared" si="27"/>
        <v/>
      </c>
      <c r="AK369" s="76" t="str">
        <f t="shared" si="28"/>
        <v/>
      </c>
      <c r="AL369" s="76" t="str">
        <f t="shared" si="29"/>
        <v/>
      </c>
      <c r="AM369" s="76" t="str">
        <f t="shared" si="30"/>
        <v/>
      </c>
      <c r="AN369" s="76" t="str">
        <f t="shared" si="31"/>
        <v/>
      </c>
      <c r="AO369" s="76" t="str">
        <f t="shared" si="32"/>
        <v/>
      </c>
      <c r="AP369" s="76" t="str">
        <f t="shared" si="33"/>
        <v/>
      </c>
    </row>
    <row r="370" ht="15.75" customHeight="1">
      <c r="A370" s="76" t="str">
        <f>IF('Manual Entry'!A342="","",'Manual Entry'!A342)</f>
        <v/>
      </c>
      <c r="B370" s="76" t="str">
        <f t="shared" si="3"/>
        <v/>
      </c>
      <c r="C370" s="76" t="str">
        <f t="shared" si="4"/>
        <v/>
      </c>
      <c r="D370" s="76" t="str">
        <f>'Manual Entry'!D342</f>
        <v/>
      </c>
      <c r="E370" s="76" t="str">
        <f>'Manual Entry'!B342</f>
        <v/>
      </c>
      <c r="F370" s="76" t="str">
        <f>'Manual Entry'!F342</f>
        <v/>
      </c>
      <c r="G370" s="76" t="str">
        <f>'Manual Entry'!G342</f>
        <v/>
      </c>
      <c r="H370" s="76" t="str">
        <f>'Manual Entry'!H342</f>
        <v/>
      </c>
      <c r="I370" s="78" t="str">
        <f>'Manual Entry'!I342</f>
        <v/>
      </c>
      <c r="J370" s="78" t="str">
        <f>'Manual Entry'!J342</f>
        <v/>
      </c>
      <c r="K370" s="78" t="str">
        <f>'Manual Entry'!K342</f>
        <v/>
      </c>
      <c r="L370" s="78" t="str">
        <f>'Manual Entry'!L342</f>
        <v/>
      </c>
      <c r="M370" s="78" t="str">
        <f>'Manual Entry'!M342</f>
        <v/>
      </c>
      <c r="N370" s="78" t="str">
        <f>'Manual Entry'!N342</f>
        <v/>
      </c>
      <c r="O370" s="76">
        <f t="shared" si="6"/>
        <v>0</v>
      </c>
      <c r="P370" s="76">
        <f t="shared" si="7"/>
        <v>0</v>
      </c>
      <c r="Q370" s="76">
        <f t="shared" si="8"/>
        <v>0</v>
      </c>
      <c r="R370" s="76">
        <f t="shared" si="9"/>
        <v>0</v>
      </c>
      <c r="S370" s="76" t="str">
        <f t="shared" si="10"/>
        <v/>
      </c>
      <c r="T370" s="76" t="str">
        <f t="shared" si="11"/>
        <v/>
      </c>
      <c r="U370" s="76" t="str">
        <f t="shared" si="12"/>
        <v/>
      </c>
      <c r="V370" s="76" t="str">
        <f t="shared" si="13"/>
        <v/>
      </c>
      <c r="W370" s="76" t="str">
        <f t="shared" si="14"/>
        <v/>
      </c>
      <c r="X370" s="76" t="str">
        <f t="shared" si="15"/>
        <v/>
      </c>
      <c r="Y370" s="76" t="str">
        <f t="shared" si="16"/>
        <v/>
      </c>
      <c r="Z370" s="76" t="str">
        <f t="shared" si="17"/>
        <v/>
      </c>
      <c r="AA370" s="76" t="str">
        <f t="shared" si="18"/>
        <v/>
      </c>
      <c r="AB370" s="76" t="str">
        <f t="shared" si="19"/>
        <v/>
      </c>
      <c r="AC370" s="76" t="str">
        <f t="shared" si="20"/>
        <v/>
      </c>
      <c r="AD370" s="76" t="str">
        <f t="shared" si="21"/>
        <v/>
      </c>
      <c r="AE370" s="76" t="str">
        <f t="shared" si="22"/>
        <v/>
      </c>
      <c r="AF370" s="76" t="str">
        <f t="shared" si="23"/>
        <v/>
      </c>
      <c r="AG370" s="76" t="str">
        <f t="shared" si="24"/>
        <v/>
      </c>
      <c r="AH370" s="76" t="str">
        <f t="shared" si="25"/>
        <v/>
      </c>
      <c r="AI370" s="76" t="str">
        <f t="shared" si="26"/>
        <v/>
      </c>
      <c r="AJ370" s="76" t="str">
        <f t="shared" si="27"/>
        <v/>
      </c>
      <c r="AK370" s="76" t="str">
        <f t="shared" si="28"/>
        <v/>
      </c>
      <c r="AL370" s="76" t="str">
        <f t="shared" si="29"/>
        <v/>
      </c>
      <c r="AM370" s="76" t="str">
        <f t="shared" si="30"/>
        <v/>
      </c>
      <c r="AN370" s="76" t="str">
        <f t="shared" si="31"/>
        <v/>
      </c>
      <c r="AO370" s="76" t="str">
        <f t="shared" si="32"/>
        <v/>
      </c>
      <c r="AP370" s="76" t="str">
        <f t="shared" si="33"/>
        <v/>
      </c>
    </row>
    <row r="371" ht="15.75" customHeight="1">
      <c r="A371" s="76" t="str">
        <f>IF('Manual Entry'!A343="","",'Manual Entry'!A343)</f>
        <v/>
      </c>
      <c r="B371" s="76" t="str">
        <f t="shared" si="3"/>
        <v/>
      </c>
      <c r="C371" s="76" t="str">
        <f t="shared" si="4"/>
        <v/>
      </c>
      <c r="D371" s="76" t="str">
        <f>'Manual Entry'!D343</f>
        <v/>
      </c>
      <c r="E371" s="76" t="str">
        <f>'Manual Entry'!B343</f>
        <v/>
      </c>
      <c r="F371" s="76" t="str">
        <f>'Manual Entry'!F343</f>
        <v/>
      </c>
      <c r="G371" s="76" t="str">
        <f>'Manual Entry'!G343</f>
        <v/>
      </c>
      <c r="H371" s="76" t="str">
        <f>'Manual Entry'!H343</f>
        <v/>
      </c>
      <c r="I371" s="78" t="str">
        <f>'Manual Entry'!I343</f>
        <v/>
      </c>
      <c r="J371" s="78" t="str">
        <f>'Manual Entry'!J343</f>
        <v/>
      </c>
      <c r="K371" s="78" t="str">
        <f>'Manual Entry'!K343</f>
        <v/>
      </c>
      <c r="L371" s="78" t="str">
        <f>'Manual Entry'!L343</f>
        <v/>
      </c>
      <c r="M371" s="78" t="str">
        <f>'Manual Entry'!M343</f>
        <v/>
      </c>
      <c r="N371" s="78" t="str">
        <f>'Manual Entry'!N343</f>
        <v/>
      </c>
      <c r="O371" s="76">
        <f t="shared" si="6"/>
        <v>0</v>
      </c>
      <c r="P371" s="76">
        <f t="shared" si="7"/>
        <v>0</v>
      </c>
      <c r="Q371" s="76">
        <f t="shared" si="8"/>
        <v>0</v>
      </c>
      <c r="R371" s="76">
        <f t="shared" si="9"/>
        <v>0</v>
      </c>
      <c r="S371" s="76" t="str">
        <f t="shared" si="10"/>
        <v/>
      </c>
      <c r="T371" s="76" t="str">
        <f t="shared" si="11"/>
        <v/>
      </c>
      <c r="U371" s="76" t="str">
        <f t="shared" si="12"/>
        <v/>
      </c>
      <c r="V371" s="76" t="str">
        <f t="shared" si="13"/>
        <v/>
      </c>
      <c r="W371" s="76" t="str">
        <f t="shared" si="14"/>
        <v/>
      </c>
      <c r="X371" s="76" t="str">
        <f t="shared" si="15"/>
        <v/>
      </c>
      <c r="Y371" s="76" t="str">
        <f t="shared" si="16"/>
        <v/>
      </c>
      <c r="Z371" s="76" t="str">
        <f t="shared" si="17"/>
        <v/>
      </c>
      <c r="AA371" s="76" t="str">
        <f t="shared" si="18"/>
        <v/>
      </c>
      <c r="AB371" s="76" t="str">
        <f t="shared" si="19"/>
        <v/>
      </c>
      <c r="AC371" s="76" t="str">
        <f t="shared" si="20"/>
        <v/>
      </c>
      <c r="AD371" s="76" t="str">
        <f t="shared" si="21"/>
        <v/>
      </c>
      <c r="AE371" s="76" t="str">
        <f t="shared" si="22"/>
        <v/>
      </c>
      <c r="AF371" s="76" t="str">
        <f t="shared" si="23"/>
        <v/>
      </c>
      <c r="AG371" s="76" t="str">
        <f t="shared" si="24"/>
        <v/>
      </c>
      <c r="AH371" s="76" t="str">
        <f t="shared" si="25"/>
        <v/>
      </c>
      <c r="AI371" s="76" t="str">
        <f t="shared" si="26"/>
        <v/>
      </c>
      <c r="AJ371" s="76" t="str">
        <f t="shared" si="27"/>
        <v/>
      </c>
      <c r="AK371" s="76" t="str">
        <f t="shared" si="28"/>
        <v/>
      </c>
      <c r="AL371" s="76" t="str">
        <f t="shared" si="29"/>
        <v/>
      </c>
      <c r="AM371" s="76" t="str">
        <f t="shared" si="30"/>
        <v/>
      </c>
      <c r="AN371" s="76" t="str">
        <f t="shared" si="31"/>
        <v/>
      </c>
      <c r="AO371" s="76" t="str">
        <f t="shared" si="32"/>
        <v/>
      </c>
      <c r="AP371" s="76" t="str">
        <f t="shared" si="33"/>
        <v/>
      </c>
    </row>
    <row r="372" ht="15.75" customHeight="1">
      <c r="A372" s="76" t="str">
        <f>IF('Manual Entry'!A344="","",'Manual Entry'!A344)</f>
        <v/>
      </c>
      <c r="B372" s="76" t="str">
        <f t="shared" si="3"/>
        <v/>
      </c>
      <c r="C372" s="76" t="str">
        <f t="shared" si="4"/>
        <v/>
      </c>
      <c r="D372" s="76" t="str">
        <f>'Manual Entry'!D344</f>
        <v/>
      </c>
      <c r="E372" s="76" t="str">
        <f>'Manual Entry'!B344</f>
        <v/>
      </c>
      <c r="F372" s="76" t="str">
        <f>'Manual Entry'!F344</f>
        <v/>
      </c>
      <c r="G372" s="76" t="str">
        <f>'Manual Entry'!G344</f>
        <v/>
      </c>
      <c r="H372" s="76" t="str">
        <f>'Manual Entry'!H344</f>
        <v/>
      </c>
      <c r="I372" s="78" t="str">
        <f>'Manual Entry'!I344</f>
        <v/>
      </c>
      <c r="J372" s="78" t="str">
        <f>'Manual Entry'!J344</f>
        <v/>
      </c>
      <c r="K372" s="78" t="str">
        <f>'Manual Entry'!K344</f>
        <v/>
      </c>
      <c r="L372" s="78" t="str">
        <f>'Manual Entry'!L344</f>
        <v/>
      </c>
      <c r="M372" s="78" t="str">
        <f>'Manual Entry'!M344</f>
        <v/>
      </c>
      <c r="N372" s="78" t="str">
        <f>'Manual Entry'!N344</f>
        <v/>
      </c>
      <c r="O372" s="76">
        <f t="shared" si="6"/>
        <v>0</v>
      </c>
      <c r="P372" s="76">
        <f t="shared" si="7"/>
        <v>0</v>
      </c>
      <c r="Q372" s="76">
        <f t="shared" si="8"/>
        <v>0</v>
      </c>
      <c r="R372" s="76">
        <f t="shared" si="9"/>
        <v>0</v>
      </c>
      <c r="S372" s="76" t="str">
        <f t="shared" si="10"/>
        <v/>
      </c>
      <c r="T372" s="76" t="str">
        <f t="shared" si="11"/>
        <v/>
      </c>
      <c r="U372" s="76" t="str">
        <f t="shared" si="12"/>
        <v/>
      </c>
      <c r="V372" s="76" t="str">
        <f t="shared" si="13"/>
        <v/>
      </c>
      <c r="W372" s="76" t="str">
        <f t="shared" si="14"/>
        <v/>
      </c>
      <c r="X372" s="76" t="str">
        <f t="shared" si="15"/>
        <v/>
      </c>
      <c r="Y372" s="76" t="str">
        <f t="shared" si="16"/>
        <v/>
      </c>
      <c r="Z372" s="76" t="str">
        <f t="shared" si="17"/>
        <v/>
      </c>
      <c r="AA372" s="76" t="str">
        <f t="shared" si="18"/>
        <v/>
      </c>
      <c r="AB372" s="76" t="str">
        <f t="shared" si="19"/>
        <v/>
      </c>
      <c r="AC372" s="76" t="str">
        <f t="shared" si="20"/>
        <v/>
      </c>
      <c r="AD372" s="76" t="str">
        <f t="shared" si="21"/>
        <v/>
      </c>
      <c r="AE372" s="76" t="str">
        <f t="shared" si="22"/>
        <v/>
      </c>
      <c r="AF372" s="76" t="str">
        <f t="shared" si="23"/>
        <v/>
      </c>
      <c r="AG372" s="76" t="str">
        <f t="shared" si="24"/>
        <v/>
      </c>
      <c r="AH372" s="76" t="str">
        <f t="shared" si="25"/>
        <v/>
      </c>
      <c r="AI372" s="76" t="str">
        <f t="shared" si="26"/>
        <v/>
      </c>
      <c r="AJ372" s="76" t="str">
        <f t="shared" si="27"/>
        <v/>
      </c>
      <c r="AK372" s="76" t="str">
        <f t="shared" si="28"/>
        <v/>
      </c>
      <c r="AL372" s="76" t="str">
        <f t="shared" si="29"/>
        <v/>
      </c>
      <c r="AM372" s="76" t="str">
        <f t="shared" si="30"/>
        <v/>
      </c>
      <c r="AN372" s="76" t="str">
        <f t="shared" si="31"/>
        <v/>
      </c>
      <c r="AO372" s="76" t="str">
        <f t="shared" si="32"/>
        <v/>
      </c>
      <c r="AP372" s="76" t="str">
        <f t="shared" si="33"/>
        <v/>
      </c>
    </row>
    <row r="373" ht="15.75" customHeight="1">
      <c r="A373" s="76" t="str">
        <f>IF('Manual Entry'!A345="","",'Manual Entry'!A345)</f>
        <v/>
      </c>
      <c r="B373" s="76" t="str">
        <f t="shared" si="3"/>
        <v/>
      </c>
      <c r="C373" s="76" t="str">
        <f t="shared" si="4"/>
        <v/>
      </c>
      <c r="D373" s="76" t="str">
        <f>'Manual Entry'!D345</f>
        <v/>
      </c>
      <c r="E373" s="76" t="str">
        <f>'Manual Entry'!B345</f>
        <v/>
      </c>
      <c r="F373" s="76" t="str">
        <f>'Manual Entry'!F345</f>
        <v/>
      </c>
      <c r="G373" s="76" t="str">
        <f>'Manual Entry'!G345</f>
        <v/>
      </c>
      <c r="H373" s="76" t="str">
        <f>'Manual Entry'!H345</f>
        <v/>
      </c>
      <c r="I373" s="78" t="str">
        <f>'Manual Entry'!I345</f>
        <v/>
      </c>
      <c r="J373" s="78" t="str">
        <f>'Manual Entry'!J345</f>
        <v/>
      </c>
      <c r="K373" s="78" t="str">
        <f>'Manual Entry'!K345</f>
        <v/>
      </c>
      <c r="L373" s="78" t="str">
        <f>'Manual Entry'!L345</f>
        <v/>
      </c>
      <c r="M373" s="78" t="str">
        <f>'Manual Entry'!M345</f>
        <v/>
      </c>
      <c r="N373" s="78" t="str">
        <f>'Manual Entry'!N345</f>
        <v/>
      </c>
      <c r="O373" s="76">
        <f t="shared" si="6"/>
        <v>0</v>
      </c>
      <c r="P373" s="76">
        <f t="shared" si="7"/>
        <v>0</v>
      </c>
      <c r="Q373" s="76">
        <f t="shared" si="8"/>
        <v>0</v>
      </c>
      <c r="R373" s="76">
        <f t="shared" si="9"/>
        <v>0</v>
      </c>
      <c r="S373" s="76" t="str">
        <f t="shared" si="10"/>
        <v/>
      </c>
      <c r="T373" s="76" t="str">
        <f t="shared" si="11"/>
        <v/>
      </c>
      <c r="U373" s="76" t="str">
        <f t="shared" si="12"/>
        <v/>
      </c>
      <c r="V373" s="76" t="str">
        <f t="shared" si="13"/>
        <v/>
      </c>
      <c r="W373" s="76" t="str">
        <f t="shared" si="14"/>
        <v/>
      </c>
      <c r="X373" s="76" t="str">
        <f t="shared" si="15"/>
        <v/>
      </c>
      <c r="Y373" s="76" t="str">
        <f t="shared" si="16"/>
        <v/>
      </c>
      <c r="Z373" s="76" t="str">
        <f t="shared" si="17"/>
        <v/>
      </c>
      <c r="AA373" s="76" t="str">
        <f t="shared" si="18"/>
        <v/>
      </c>
      <c r="AB373" s="76" t="str">
        <f t="shared" si="19"/>
        <v/>
      </c>
      <c r="AC373" s="76" t="str">
        <f t="shared" si="20"/>
        <v/>
      </c>
      <c r="AD373" s="76" t="str">
        <f t="shared" si="21"/>
        <v/>
      </c>
      <c r="AE373" s="76" t="str">
        <f t="shared" si="22"/>
        <v/>
      </c>
      <c r="AF373" s="76" t="str">
        <f t="shared" si="23"/>
        <v/>
      </c>
      <c r="AG373" s="76" t="str">
        <f t="shared" si="24"/>
        <v/>
      </c>
      <c r="AH373" s="76" t="str">
        <f t="shared" si="25"/>
        <v/>
      </c>
      <c r="AI373" s="76" t="str">
        <f t="shared" si="26"/>
        <v/>
      </c>
      <c r="AJ373" s="76" t="str">
        <f t="shared" si="27"/>
        <v/>
      </c>
      <c r="AK373" s="76" t="str">
        <f t="shared" si="28"/>
        <v/>
      </c>
      <c r="AL373" s="76" t="str">
        <f t="shared" si="29"/>
        <v/>
      </c>
      <c r="AM373" s="76" t="str">
        <f t="shared" si="30"/>
        <v/>
      </c>
      <c r="AN373" s="76" t="str">
        <f t="shared" si="31"/>
        <v/>
      </c>
      <c r="AO373" s="76" t="str">
        <f t="shared" si="32"/>
        <v/>
      </c>
      <c r="AP373" s="76" t="str">
        <f t="shared" si="33"/>
        <v/>
      </c>
    </row>
    <row r="374" ht="15.75" customHeight="1">
      <c r="A374" s="76" t="str">
        <f>IF('Manual Entry'!A346="","",'Manual Entry'!A346)</f>
        <v/>
      </c>
      <c r="B374" s="76" t="str">
        <f t="shared" si="3"/>
        <v/>
      </c>
      <c r="C374" s="76" t="str">
        <f t="shared" si="4"/>
        <v/>
      </c>
      <c r="D374" s="76" t="str">
        <f>'Manual Entry'!D346</f>
        <v/>
      </c>
      <c r="E374" s="76" t="str">
        <f>'Manual Entry'!B346</f>
        <v/>
      </c>
      <c r="F374" s="76" t="str">
        <f>'Manual Entry'!F346</f>
        <v/>
      </c>
      <c r="G374" s="76" t="str">
        <f>'Manual Entry'!G346</f>
        <v/>
      </c>
      <c r="H374" s="76" t="str">
        <f>'Manual Entry'!H346</f>
        <v/>
      </c>
      <c r="I374" s="78" t="str">
        <f>'Manual Entry'!I346</f>
        <v/>
      </c>
      <c r="J374" s="78" t="str">
        <f>'Manual Entry'!J346</f>
        <v/>
      </c>
      <c r="K374" s="78" t="str">
        <f>'Manual Entry'!K346</f>
        <v/>
      </c>
      <c r="L374" s="78" t="str">
        <f>'Manual Entry'!L346</f>
        <v/>
      </c>
      <c r="M374" s="78" t="str">
        <f>'Manual Entry'!M346</f>
        <v/>
      </c>
      <c r="N374" s="78" t="str">
        <f>'Manual Entry'!N346</f>
        <v/>
      </c>
      <c r="O374" s="76">
        <f t="shared" si="6"/>
        <v>0</v>
      </c>
      <c r="P374" s="76">
        <f t="shared" si="7"/>
        <v>0</v>
      </c>
      <c r="Q374" s="76">
        <f t="shared" si="8"/>
        <v>0</v>
      </c>
      <c r="R374" s="76">
        <f t="shared" si="9"/>
        <v>0</v>
      </c>
      <c r="S374" s="76" t="str">
        <f t="shared" si="10"/>
        <v/>
      </c>
      <c r="T374" s="76" t="str">
        <f t="shared" si="11"/>
        <v/>
      </c>
      <c r="U374" s="76" t="str">
        <f t="shared" si="12"/>
        <v/>
      </c>
      <c r="V374" s="76" t="str">
        <f t="shared" si="13"/>
        <v/>
      </c>
      <c r="W374" s="76" t="str">
        <f t="shared" si="14"/>
        <v/>
      </c>
      <c r="X374" s="76" t="str">
        <f t="shared" si="15"/>
        <v/>
      </c>
      <c r="Y374" s="76" t="str">
        <f t="shared" si="16"/>
        <v/>
      </c>
      <c r="Z374" s="76" t="str">
        <f t="shared" si="17"/>
        <v/>
      </c>
      <c r="AA374" s="76" t="str">
        <f t="shared" si="18"/>
        <v/>
      </c>
      <c r="AB374" s="76" t="str">
        <f t="shared" si="19"/>
        <v/>
      </c>
      <c r="AC374" s="76" t="str">
        <f t="shared" si="20"/>
        <v/>
      </c>
      <c r="AD374" s="76" t="str">
        <f t="shared" si="21"/>
        <v/>
      </c>
      <c r="AE374" s="76" t="str">
        <f t="shared" si="22"/>
        <v/>
      </c>
      <c r="AF374" s="76" t="str">
        <f t="shared" si="23"/>
        <v/>
      </c>
      <c r="AG374" s="76" t="str">
        <f t="shared" si="24"/>
        <v/>
      </c>
      <c r="AH374" s="76" t="str">
        <f t="shared" si="25"/>
        <v/>
      </c>
      <c r="AI374" s="76" t="str">
        <f t="shared" si="26"/>
        <v/>
      </c>
      <c r="AJ374" s="76" t="str">
        <f t="shared" si="27"/>
        <v/>
      </c>
      <c r="AK374" s="76" t="str">
        <f t="shared" si="28"/>
        <v/>
      </c>
      <c r="AL374" s="76" t="str">
        <f t="shared" si="29"/>
        <v/>
      </c>
      <c r="AM374" s="76" t="str">
        <f t="shared" si="30"/>
        <v/>
      </c>
      <c r="AN374" s="76" t="str">
        <f t="shared" si="31"/>
        <v/>
      </c>
      <c r="AO374" s="76" t="str">
        <f t="shared" si="32"/>
        <v/>
      </c>
      <c r="AP374" s="76" t="str">
        <f t="shared" si="33"/>
        <v/>
      </c>
    </row>
    <row r="375" ht="15.75" customHeight="1">
      <c r="A375" s="76" t="str">
        <f>IF('Manual Entry'!A347="","",'Manual Entry'!A347)</f>
        <v/>
      </c>
      <c r="B375" s="76" t="str">
        <f t="shared" si="3"/>
        <v/>
      </c>
      <c r="C375" s="76" t="str">
        <f t="shared" si="4"/>
        <v/>
      </c>
      <c r="D375" s="76" t="str">
        <f>'Manual Entry'!D347</f>
        <v/>
      </c>
      <c r="E375" s="76" t="str">
        <f>'Manual Entry'!B347</f>
        <v/>
      </c>
      <c r="F375" s="76" t="str">
        <f>'Manual Entry'!F347</f>
        <v/>
      </c>
      <c r="G375" s="76" t="str">
        <f>'Manual Entry'!G347</f>
        <v/>
      </c>
      <c r="H375" s="76" t="str">
        <f>'Manual Entry'!H347</f>
        <v/>
      </c>
      <c r="I375" s="78" t="str">
        <f>'Manual Entry'!I347</f>
        <v/>
      </c>
      <c r="J375" s="78" t="str">
        <f>'Manual Entry'!J347</f>
        <v/>
      </c>
      <c r="K375" s="78" t="str">
        <f>'Manual Entry'!K347</f>
        <v/>
      </c>
      <c r="L375" s="78" t="str">
        <f>'Manual Entry'!L347</f>
        <v/>
      </c>
      <c r="M375" s="78" t="str">
        <f>'Manual Entry'!M347</f>
        <v/>
      </c>
      <c r="N375" s="78" t="str">
        <f>'Manual Entry'!N347</f>
        <v/>
      </c>
      <c r="O375" s="76">
        <f t="shared" si="6"/>
        <v>0</v>
      </c>
      <c r="P375" s="76">
        <f t="shared" si="7"/>
        <v>0</v>
      </c>
      <c r="Q375" s="76">
        <f t="shared" si="8"/>
        <v>0</v>
      </c>
      <c r="R375" s="76">
        <f t="shared" si="9"/>
        <v>0</v>
      </c>
      <c r="S375" s="76" t="str">
        <f t="shared" si="10"/>
        <v/>
      </c>
      <c r="T375" s="76" t="str">
        <f t="shared" si="11"/>
        <v/>
      </c>
      <c r="U375" s="76" t="str">
        <f t="shared" si="12"/>
        <v/>
      </c>
      <c r="V375" s="76" t="str">
        <f t="shared" si="13"/>
        <v/>
      </c>
      <c r="W375" s="76" t="str">
        <f t="shared" si="14"/>
        <v/>
      </c>
      <c r="X375" s="76" t="str">
        <f t="shared" si="15"/>
        <v/>
      </c>
      <c r="Y375" s="76" t="str">
        <f t="shared" si="16"/>
        <v/>
      </c>
      <c r="Z375" s="76" t="str">
        <f t="shared" si="17"/>
        <v/>
      </c>
      <c r="AA375" s="76" t="str">
        <f t="shared" si="18"/>
        <v/>
      </c>
      <c r="AB375" s="76" t="str">
        <f t="shared" si="19"/>
        <v/>
      </c>
      <c r="AC375" s="76" t="str">
        <f t="shared" si="20"/>
        <v/>
      </c>
      <c r="AD375" s="76" t="str">
        <f t="shared" si="21"/>
        <v/>
      </c>
      <c r="AE375" s="76" t="str">
        <f t="shared" si="22"/>
        <v/>
      </c>
      <c r="AF375" s="76" t="str">
        <f t="shared" si="23"/>
        <v/>
      </c>
      <c r="AG375" s="76" t="str">
        <f t="shared" si="24"/>
        <v/>
      </c>
      <c r="AH375" s="76" t="str">
        <f t="shared" si="25"/>
        <v/>
      </c>
      <c r="AI375" s="76" t="str">
        <f t="shared" si="26"/>
        <v/>
      </c>
      <c r="AJ375" s="76" t="str">
        <f t="shared" si="27"/>
        <v/>
      </c>
      <c r="AK375" s="76" t="str">
        <f t="shared" si="28"/>
        <v/>
      </c>
      <c r="AL375" s="76" t="str">
        <f t="shared" si="29"/>
        <v/>
      </c>
      <c r="AM375" s="76" t="str">
        <f t="shared" si="30"/>
        <v/>
      </c>
      <c r="AN375" s="76" t="str">
        <f t="shared" si="31"/>
        <v/>
      </c>
      <c r="AO375" s="76" t="str">
        <f t="shared" si="32"/>
        <v/>
      </c>
      <c r="AP375" s="76" t="str">
        <f t="shared" si="33"/>
        <v/>
      </c>
    </row>
    <row r="376" ht="15.75" customHeight="1">
      <c r="A376" s="76" t="str">
        <f>IF('Manual Entry'!A348="","",'Manual Entry'!A348)</f>
        <v/>
      </c>
      <c r="B376" s="76" t="str">
        <f t="shared" si="3"/>
        <v/>
      </c>
      <c r="C376" s="76" t="str">
        <f t="shared" si="4"/>
        <v/>
      </c>
      <c r="D376" s="76" t="str">
        <f>'Manual Entry'!D348</f>
        <v/>
      </c>
      <c r="E376" s="76" t="str">
        <f>'Manual Entry'!B348</f>
        <v/>
      </c>
      <c r="F376" s="76" t="str">
        <f>'Manual Entry'!F348</f>
        <v/>
      </c>
      <c r="G376" s="76" t="str">
        <f>'Manual Entry'!G348</f>
        <v/>
      </c>
      <c r="H376" s="76" t="str">
        <f>'Manual Entry'!H348</f>
        <v/>
      </c>
      <c r="I376" s="78" t="str">
        <f>'Manual Entry'!I348</f>
        <v/>
      </c>
      <c r="J376" s="78" t="str">
        <f>'Manual Entry'!J348</f>
        <v/>
      </c>
      <c r="K376" s="78" t="str">
        <f>'Manual Entry'!K348</f>
        <v/>
      </c>
      <c r="L376" s="78" t="str">
        <f>'Manual Entry'!L348</f>
        <v/>
      </c>
      <c r="M376" s="78" t="str">
        <f>'Manual Entry'!M348</f>
        <v/>
      </c>
      <c r="N376" s="78" t="str">
        <f>'Manual Entry'!N348</f>
        <v/>
      </c>
      <c r="O376" s="76">
        <f t="shared" si="6"/>
        <v>0</v>
      </c>
      <c r="P376" s="76">
        <f t="shared" si="7"/>
        <v>0</v>
      </c>
      <c r="Q376" s="76">
        <f t="shared" si="8"/>
        <v>0</v>
      </c>
      <c r="R376" s="76">
        <f t="shared" si="9"/>
        <v>0</v>
      </c>
      <c r="S376" s="76" t="str">
        <f t="shared" si="10"/>
        <v/>
      </c>
      <c r="T376" s="76" t="str">
        <f t="shared" si="11"/>
        <v/>
      </c>
      <c r="U376" s="76" t="str">
        <f t="shared" si="12"/>
        <v/>
      </c>
      <c r="V376" s="76" t="str">
        <f t="shared" si="13"/>
        <v/>
      </c>
      <c r="W376" s="76" t="str">
        <f t="shared" si="14"/>
        <v/>
      </c>
      <c r="X376" s="76" t="str">
        <f t="shared" si="15"/>
        <v/>
      </c>
      <c r="Y376" s="76" t="str">
        <f t="shared" si="16"/>
        <v/>
      </c>
      <c r="Z376" s="76" t="str">
        <f t="shared" si="17"/>
        <v/>
      </c>
      <c r="AA376" s="76" t="str">
        <f t="shared" si="18"/>
        <v/>
      </c>
      <c r="AB376" s="76" t="str">
        <f t="shared" si="19"/>
        <v/>
      </c>
      <c r="AC376" s="76" t="str">
        <f t="shared" si="20"/>
        <v/>
      </c>
      <c r="AD376" s="76" t="str">
        <f t="shared" si="21"/>
        <v/>
      </c>
      <c r="AE376" s="76" t="str">
        <f t="shared" si="22"/>
        <v/>
      </c>
      <c r="AF376" s="76" t="str">
        <f t="shared" si="23"/>
        <v/>
      </c>
      <c r="AG376" s="76" t="str">
        <f t="shared" si="24"/>
        <v/>
      </c>
      <c r="AH376" s="76" t="str">
        <f t="shared" si="25"/>
        <v/>
      </c>
      <c r="AI376" s="76" t="str">
        <f t="shared" si="26"/>
        <v/>
      </c>
      <c r="AJ376" s="76" t="str">
        <f t="shared" si="27"/>
        <v/>
      </c>
      <c r="AK376" s="76" t="str">
        <f t="shared" si="28"/>
        <v/>
      </c>
      <c r="AL376" s="76" t="str">
        <f t="shared" si="29"/>
        <v/>
      </c>
      <c r="AM376" s="76" t="str">
        <f t="shared" si="30"/>
        <v/>
      </c>
      <c r="AN376" s="76" t="str">
        <f t="shared" si="31"/>
        <v/>
      </c>
      <c r="AO376" s="76" t="str">
        <f t="shared" si="32"/>
        <v/>
      </c>
      <c r="AP376" s="76" t="str">
        <f t="shared" si="33"/>
        <v/>
      </c>
    </row>
    <row r="377" ht="15.75" customHeight="1">
      <c r="A377" s="76" t="str">
        <f>IF('Manual Entry'!A349="","",'Manual Entry'!A349)</f>
        <v/>
      </c>
      <c r="B377" s="76" t="str">
        <f t="shared" si="3"/>
        <v/>
      </c>
      <c r="C377" s="76" t="str">
        <f t="shared" si="4"/>
        <v/>
      </c>
      <c r="D377" s="76" t="str">
        <f>'Manual Entry'!D349</f>
        <v/>
      </c>
      <c r="E377" s="76" t="str">
        <f>'Manual Entry'!B349</f>
        <v/>
      </c>
      <c r="F377" s="76" t="str">
        <f>'Manual Entry'!F349</f>
        <v/>
      </c>
      <c r="G377" s="76" t="str">
        <f>'Manual Entry'!G349</f>
        <v/>
      </c>
      <c r="H377" s="76" t="str">
        <f>'Manual Entry'!H349</f>
        <v/>
      </c>
      <c r="I377" s="78" t="str">
        <f>'Manual Entry'!I349</f>
        <v/>
      </c>
      <c r="J377" s="78" t="str">
        <f>'Manual Entry'!J349</f>
        <v/>
      </c>
      <c r="K377" s="78" t="str">
        <f>'Manual Entry'!K349</f>
        <v/>
      </c>
      <c r="L377" s="78" t="str">
        <f>'Manual Entry'!L349</f>
        <v/>
      </c>
      <c r="M377" s="78" t="str">
        <f>'Manual Entry'!M349</f>
        <v/>
      </c>
      <c r="N377" s="78" t="str">
        <f>'Manual Entry'!N349</f>
        <v/>
      </c>
      <c r="O377" s="76">
        <f t="shared" si="6"/>
        <v>0</v>
      </c>
      <c r="P377" s="76">
        <f t="shared" si="7"/>
        <v>0</v>
      </c>
      <c r="Q377" s="76">
        <f t="shared" si="8"/>
        <v>0</v>
      </c>
      <c r="R377" s="76">
        <f t="shared" si="9"/>
        <v>0</v>
      </c>
      <c r="S377" s="76" t="str">
        <f t="shared" si="10"/>
        <v/>
      </c>
      <c r="T377" s="76" t="str">
        <f t="shared" si="11"/>
        <v/>
      </c>
      <c r="U377" s="76" t="str">
        <f t="shared" si="12"/>
        <v/>
      </c>
      <c r="V377" s="76" t="str">
        <f t="shared" si="13"/>
        <v/>
      </c>
      <c r="W377" s="76" t="str">
        <f t="shared" si="14"/>
        <v/>
      </c>
      <c r="X377" s="76" t="str">
        <f t="shared" si="15"/>
        <v/>
      </c>
      <c r="Y377" s="76" t="str">
        <f t="shared" si="16"/>
        <v/>
      </c>
      <c r="Z377" s="76" t="str">
        <f t="shared" si="17"/>
        <v/>
      </c>
      <c r="AA377" s="76" t="str">
        <f t="shared" si="18"/>
        <v/>
      </c>
      <c r="AB377" s="76" t="str">
        <f t="shared" si="19"/>
        <v/>
      </c>
      <c r="AC377" s="76" t="str">
        <f t="shared" si="20"/>
        <v/>
      </c>
      <c r="AD377" s="76" t="str">
        <f t="shared" si="21"/>
        <v/>
      </c>
      <c r="AE377" s="76" t="str">
        <f t="shared" si="22"/>
        <v/>
      </c>
      <c r="AF377" s="76" t="str">
        <f t="shared" si="23"/>
        <v/>
      </c>
      <c r="AG377" s="76" t="str">
        <f t="shared" si="24"/>
        <v/>
      </c>
      <c r="AH377" s="76" t="str">
        <f t="shared" si="25"/>
        <v/>
      </c>
      <c r="AI377" s="76" t="str">
        <f t="shared" si="26"/>
        <v/>
      </c>
      <c r="AJ377" s="76" t="str">
        <f t="shared" si="27"/>
        <v/>
      </c>
      <c r="AK377" s="76" t="str">
        <f t="shared" si="28"/>
        <v/>
      </c>
      <c r="AL377" s="76" t="str">
        <f t="shared" si="29"/>
        <v/>
      </c>
      <c r="AM377" s="76" t="str">
        <f t="shared" si="30"/>
        <v/>
      </c>
      <c r="AN377" s="76" t="str">
        <f t="shared" si="31"/>
        <v/>
      </c>
      <c r="AO377" s="76" t="str">
        <f t="shared" si="32"/>
        <v/>
      </c>
      <c r="AP377" s="76" t="str">
        <f t="shared" si="33"/>
        <v/>
      </c>
    </row>
    <row r="378" ht="15.75" customHeight="1">
      <c r="A378" s="76" t="str">
        <f>IF('Manual Entry'!A350="","",'Manual Entry'!A350)</f>
        <v/>
      </c>
      <c r="B378" s="76" t="str">
        <f t="shared" si="3"/>
        <v/>
      </c>
      <c r="C378" s="76" t="str">
        <f t="shared" si="4"/>
        <v/>
      </c>
      <c r="D378" s="76" t="str">
        <f>'Manual Entry'!D350</f>
        <v/>
      </c>
      <c r="E378" s="76" t="str">
        <f>'Manual Entry'!B350</f>
        <v/>
      </c>
      <c r="F378" s="76" t="str">
        <f>'Manual Entry'!F350</f>
        <v/>
      </c>
      <c r="G378" s="76" t="str">
        <f>'Manual Entry'!G350</f>
        <v/>
      </c>
      <c r="H378" s="76" t="str">
        <f>'Manual Entry'!H350</f>
        <v/>
      </c>
      <c r="I378" s="78" t="str">
        <f>'Manual Entry'!I350</f>
        <v/>
      </c>
      <c r="J378" s="78" t="str">
        <f>'Manual Entry'!J350</f>
        <v/>
      </c>
      <c r="K378" s="78" t="str">
        <f>'Manual Entry'!K350</f>
        <v/>
      </c>
      <c r="L378" s="78" t="str">
        <f>'Manual Entry'!L350</f>
        <v/>
      </c>
      <c r="M378" s="78" t="str">
        <f>'Manual Entry'!M350</f>
        <v/>
      </c>
      <c r="N378" s="78" t="str">
        <f>'Manual Entry'!N350</f>
        <v/>
      </c>
      <c r="O378" s="76">
        <f t="shared" si="6"/>
        <v>0</v>
      </c>
      <c r="P378" s="76">
        <f t="shared" si="7"/>
        <v>0</v>
      </c>
      <c r="Q378" s="76">
        <f t="shared" si="8"/>
        <v>0</v>
      </c>
      <c r="R378" s="76">
        <f t="shared" si="9"/>
        <v>0</v>
      </c>
      <c r="S378" s="76" t="str">
        <f t="shared" si="10"/>
        <v/>
      </c>
      <c r="T378" s="76" t="str">
        <f t="shared" si="11"/>
        <v/>
      </c>
      <c r="U378" s="76" t="str">
        <f t="shared" si="12"/>
        <v/>
      </c>
      <c r="V378" s="76" t="str">
        <f t="shared" si="13"/>
        <v/>
      </c>
      <c r="W378" s="76" t="str">
        <f t="shared" si="14"/>
        <v/>
      </c>
      <c r="X378" s="76" t="str">
        <f t="shared" si="15"/>
        <v/>
      </c>
      <c r="Y378" s="76" t="str">
        <f t="shared" si="16"/>
        <v/>
      </c>
      <c r="Z378" s="76" t="str">
        <f t="shared" si="17"/>
        <v/>
      </c>
      <c r="AA378" s="76" t="str">
        <f t="shared" si="18"/>
        <v/>
      </c>
      <c r="AB378" s="76" t="str">
        <f t="shared" si="19"/>
        <v/>
      </c>
      <c r="AC378" s="76" t="str">
        <f t="shared" si="20"/>
        <v/>
      </c>
      <c r="AD378" s="76" t="str">
        <f t="shared" si="21"/>
        <v/>
      </c>
      <c r="AE378" s="76" t="str">
        <f t="shared" si="22"/>
        <v/>
      </c>
      <c r="AF378" s="76" t="str">
        <f t="shared" si="23"/>
        <v/>
      </c>
      <c r="AG378" s="76" t="str">
        <f t="shared" si="24"/>
        <v/>
      </c>
      <c r="AH378" s="76" t="str">
        <f t="shared" si="25"/>
        <v/>
      </c>
      <c r="AI378" s="76" t="str">
        <f t="shared" si="26"/>
        <v/>
      </c>
      <c r="AJ378" s="76" t="str">
        <f t="shared" si="27"/>
        <v/>
      </c>
      <c r="AK378" s="76" t="str">
        <f t="shared" si="28"/>
        <v/>
      </c>
      <c r="AL378" s="76" t="str">
        <f t="shared" si="29"/>
        <v/>
      </c>
      <c r="AM378" s="76" t="str">
        <f t="shared" si="30"/>
        <v/>
      </c>
      <c r="AN378" s="76" t="str">
        <f t="shared" si="31"/>
        <v/>
      </c>
      <c r="AO378" s="76" t="str">
        <f t="shared" si="32"/>
        <v/>
      </c>
      <c r="AP378" s="76" t="str">
        <f t="shared" si="33"/>
        <v/>
      </c>
    </row>
    <row r="379" ht="15.75" customHeight="1">
      <c r="A379" s="76" t="str">
        <f>IF('Manual Entry'!A351="","",'Manual Entry'!A351)</f>
        <v/>
      </c>
      <c r="B379" s="76" t="str">
        <f t="shared" si="3"/>
        <v/>
      </c>
      <c r="C379" s="76" t="str">
        <f t="shared" si="4"/>
        <v/>
      </c>
      <c r="D379" s="76" t="str">
        <f>'Manual Entry'!D351</f>
        <v/>
      </c>
      <c r="E379" s="76" t="str">
        <f>'Manual Entry'!B351</f>
        <v/>
      </c>
      <c r="F379" s="76" t="str">
        <f>'Manual Entry'!F351</f>
        <v/>
      </c>
      <c r="G379" s="76" t="str">
        <f>'Manual Entry'!G351</f>
        <v/>
      </c>
      <c r="H379" s="76" t="str">
        <f>'Manual Entry'!H351</f>
        <v/>
      </c>
      <c r="I379" s="78" t="str">
        <f>'Manual Entry'!I351</f>
        <v/>
      </c>
      <c r="J379" s="78" t="str">
        <f>'Manual Entry'!J351</f>
        <v/>
      </c>
      <c r="K379" s="78" t="str">
        <f>'Manual Entry'!K351</f>
        <v/>
      </c>
      <c r="L379" s="78" t="str">
        <f>'Manual Entry'!L351</f>
        <v/>
      </c>
      <c r="M379" s="78" t="str">
        <f>'Manual Entry'!M351</f>
        <v/>
      </c>
      <c r="N379" s="78" t="str">
        <f>'Manual Entry'!N351</f>
        <v/>
      </c>
      <c r="O379" s="76">
        <f t="shared" si="6"/>
        <v>0</v>
      </c>
      <c r="P379" s="76">
        <f t="shared" si="7"/>
        <v>0</v>
      </c>
      <c r="Q379" s="76">
        <f t="shared" si="8"/>
        <v>0</v>
      </c>
      <c r="R379" s="76">
        <f t="shared" si="9"/>
        <v>0</v>
      </c>
      <c r="S379" s="76" t="str">
        <f t="shared" si="10"/>
        <v/>
      </c>
      <c r="T379" s="76" t="str">
        <f t="shared" si="11"/>
        <v/>
      </c>
      <c r="U379" s="76" t="str">
        <f t="shared" si="12"/>
        <v/>
      </c>
      <c r="V379" s="76" t="str">
        <f t="shared" si="13"/>
        <v/>
      </c>
      <c r="W379" s="76" t="str">
        <f t="shared" si="14"/>
        <v/>
      </c>
      <c r="X379" s="76" t="str">
        <f t="shared" si="15"/>
        <v/>
      </c>
      <c r="Y379" s="76" t="str">
        <f t="shared" si="16"/>
        <v/>
      </c>
      <c r="Z379" s="76" t="str">
        <f t="shared" si="17"/>
        <v/>
      </c>
      <c r="AA379" s="76" t="str">
        <f t="shared" si="18"/>
        <v/>
      </c>
      <c r="AB379" s="76" t="str">
        <f t="shared" si="19"/>
        <v/>
      </c>
      <c r="AC379" s="76" t="str">
        <f t="shared" si="20"/>
        <v/>
      </c>
      <c r="AD379" s="76" t="str">
        <f t="shared" si="21"/>
        <v/>
      </c>
      <c r="AE379" s="76" t="str">
        <f t="shared" si="22"/>
        <v/>
      </c>
      <c r="AF379" s="76" t="str">
        <f t="shared" si="23"/>
        <v/>
      </c>
      <c r="AG379" s="76" t="str">
        <f t="shared" si="24"/>
        <v/>
      </c>
      <c r="AH379" s="76" t="str">
        <f t="shared" si="25"/>
        <v/>
      </c>
      <c r="AI379" s="76" t="str">
        <f t="shared" si="26"/>
        <v/>
      </c>
      <c r="AJ379" s="76" t="str">
        <f t="shared" si="27"/>
        <v/>
      </c>
      <c r="AK379" s="76" t="str">
        <f t="shared" si="28"/>
        <v/>
      </c>
      <c r="AL379" s="76" t="str">
        <f t="shared" si="29"/>
        <v/>
      </c>
      <c r="AM379" s="76" t="str">
        <f t="shared" si="30"/>
        <v/>
      </c>
      <c r="AN379" s="76" t="str">
        <f t="shared" si="31"/>
        <v/>
      </c>
      <c r="AO379" s="76" t="str">
        <f t="shared" si="32"/>
        <v/>
      </c>
      <c r="AP379" s="76" t="str">
        <f t="shared" si="33"/>
        <v/>
      </c>
    </row>
    <row r="380" ht="15.75" customHeight="1">
      <c r="A380" s="76" t="str">
        <f>IF('Manual Entry'!A352="","",'Manual Entry'!A352)</f>
        <v/>
      </c>
      <c r="B380" s="76" t="str">
        <f t="shared" si="3"/>
        <v/>
      </c>
      <c r="C380" s="76" t="str">
        <f t="shared" si="4"/>
        <v/>
      </c>
      <c r="D380" s="76" t="str">
        <f>'Manual Entry'!D352</f>
        <v/>
      </c>
      <c r="E380" s="76" t="str">
        <f>'Manual Entry'!B352</f>
        <v/>
      </c>
      <c r="F380" s="76" t="str">
        <f>'Manual Entry'!F352</f>
        <v/>
      </c>
      <c r="G380" s="76" t="str">
        <f>'Manual Entry'!G352</f>
        <v/>
      </c>
      <c r="H380" s="76" t="str">
        <f>'Manual Entry'!H352</f>
        <v/>
      </c>
      <c r="I380" s="78" t="str">
        <f>'Manual Entry'!I352</f>
        <v/>
      </c>
      <c r="J380" s="78" t="str">
        <f>'Manual Entry'!J352</f>
        <v/>
      </c>
      <c r="K380" s="78" t="str">
        <f>'Manual Entry'!K352</f>
        <v/>
      </c>
      <c r="L380" s="78" t="str">
        <f>'Manual Entry'!L352</f>
        <v/>
      </c>
      <c r="M380" s="78" t="str">
        <f>'Manual Entry'!M352</f>
        <v/>
      </c>
      <c r="N380" s="78" t="str">
        <f>'Manual Entry'!N352</f>
        <v/>
      </c>
      <c r="O380" s="76">
        <f t="shared" si="6"/>
        <v>0</v>
      </c>
      <c r="P380" s="76">
        <f t="shared" si="7"/>
        <v>0</v>
      </c>
      <c r="Q380" s="76">
        <f t="shared" si="8"/>
        <v>0</v>
      </c>
      <c r="R380" s="76">
        <f t="shared" si="9"/>
        <v>0</v>
      </c>
      <c r="S380" s="76" t="str">
        <f t="shared" si="10"/>
        <v/>
      </c>
      <c r="T380" s="76" t="str">
        <f t="shared" si="11"/>
        <v/>
      </c>
      <c r="U380" s="76" t="str">
        <f t="shared" si="12"/>
        <v/>
      </c>
      <c r="V380" s="76" t="str">
        <f t="shared" si="13"/>
        <v/>
      </c>
      <c r="W380" s="76" t="str">
        <f t="shared" si="14"/>
        <v/>
      </c>
      <c r="X380" s="76" t="str">
        <f t="shared" si="15"/>
        <v/>
      </c>
      <c r="Y380" s="76" t="str">
        <f t="shared" si="16"/>
        <v/>
      </c>
      <c r="Z380" s="76" t="str">
        <f t="shared" si="17"/>
        <v/>
      </c>
      <c r="AA380" s="76" t="str">
        <f t="shared" si="18"/>
        <v/>
      </c>
      <c r="AB380" s="76" t="str">
        <f t="shared" si="19"/>
        <v/>
      </c>
      <c r="AC380" s="76" t="str">
        <f t="shared" si="20"/>
        <v/>
      </c>
      <c r="AD380" s="76" t="str">
        <f t="shared" si="21"/>
        <v/>
      </c>
      <c r="AE380" s="76" t="str">
        <f t="shared" si="22"/>
        <v/>
      </c>
      <c r="AF380" s="76" t="str">
        <f t="shared" si="23"/>
        <v/>
      </c>
      <c r="AG380" s="76" t="str">
        <f t="shared" si="24"/>
        <v/>
      </c>
      <c r="AH380" s="76" t="str">
        <f t="shared" si="25"/>
        <v/>
      </c>
      <c r="AI380" s="76" t="str">
        <f t="shared" si="26"/>
        <v/>
      </c>
      <c r="AJ380" s="76" t="str">
        <f t="shared" si="27"/>
        <v/>
      </c>
      <c r="AK380" s="76" t="str">
        <f t="shared" si="28"/>
        <v/>
      </c>
      <c r="AL380" s="76" t="str">
        <f t="shared" si="29"/>
        <v/>
      </c>
      <c r="AM380" s="76" t="str">
        <f t="shared" si="30"/>
        <v/>
      </c>
      <c r="AN380" s="76" t="str">
        <f t="shared" si="31"/>
        <v/>
      </c>
      <c r="AO380" s="76" t="str">
        <f t="shared" si="32"/>
        <v/>
      </c>
      <c r="AP380" s="76" t="str">
        <f t="shared" si="33"/>
        <v/>
      </c>
    </row>
    <row r="381" ht="15.75" customHeight="1">
      <c r="A381" s="76" t="str">
        <f>IF('Manual Entry'!A353="","",'Manual Entry'!A353)</f>
        <v/>
      </c>
      <c r="B381" s="76" t="str">
        <f t="shared" si="3"/>
        <v/>
      </c>
      <c r="C381" s="76" t="str">
        <f t="shared" si="4"/>
        <v/>
      </c>
      <c r="D381" s="76" t="str">
        <f>'Manual Entry'!D353</f>
        <v/>
      </c>
      <c r="E381" s="76" t="str">
        <f>'Manual Entry'!B353</f>
        <v/>
      </c>
      <c r="F381" s="76" t="str">
        <f>'Manual Entry'!F353</f>
        <v/>
      </c>
      <c r="G381" s="76" t="str">
        <f>'Manual Entry'!G353</f>
        <v/>
      </c>
      <c r="H381" s="76" t="str">
        <f>'Manual Entry'!H353</f>
        <v/>
      </c>
      <c r="I381" s="78" t="str">
        <f>'Manual Entry'!I353</f>
        <v/>
      </c>
      <c r="J381" s="78" t="str">
        <f>'Manual Entry'!J353</f>
        <v/>
      </c>
      <c r="K381" s="78" t="str">
        <f>'Manual Entry'!K353</f>
        <v/>
      </c>
      <c r="L381" s="78" t="str">
        <f>'Manual Entry'!L353</f>
        <v/>
      </c>
      <c r="M381" s="78" t="str">
        <f>'Manual Entry'!M353</f>
        <v/>
      </c>
      <c r="N381" s="78" t="str">
        <f>'Manual Entry'!N353</f>
        <v/>
      </c>
      <c r="O381" s="76">
        <f t="shared" si="6"/>
        <v>0</v>
      </c>
      <c r="P381" s="76">
        <f t="shared" si="7"/>
        <v>0</v>
      </c>
      <c r="Q381" s="76">
        <f t="shared" si="8"/>
        <v>0</v>
      </c>
      <c r="R381" s="76">
        <f t="shared" si="9"/>
        <v>0</v>
      </c>
      <c r="S381" s="76" t="str">
        <f t="shared" si="10"/>
        <v/>
      </c>
      <c r="T381" s="76" t="str">
        <f t="shared" si="11"/>
        <v/>
      </c>
      <c r="U381" s="76" t="str">
        <f t="shared" si="12"/>
        <v/>
      </c>
      <c r="V381" s="76" t="str">
        <f t="shared" si="13"/>
        <v/>
      </c>
      <c r="W381" s="76" t="str">
        <f t="shared" si="14"/>
        <v/>
      </c>
      <c r="X381" s="76" t="str">
        <f t="shared" si="15"/>
        <v/>
      </c>
      <c r="Y381" s="76" t="str">
        <f t="shared" si="16"/>
        <v/>
      </c>
      <c r="Z381" s="76" t="str">
        <f t="shared" si="17"/>
        <v/>
      </c>
      <c r="AA381" s="76" t="str">
        <f t="shared" si="18"/>
        <v/>
      </c>
      <c r="AB381" s="76" t="str">
        <f t="shared" si="19"/>
        <v/>
      </c>
      <c r="AC381" s="76" t="str">
        <f t="shared" si="20"/>
        <v/>
      </c>
      <c r="AD381" s="76" t="str">
        <f t="shared" si="21"/>
        <v/>
      </c>
      <c r="AE381" s="76" t="str">
        <f t="shared" si="22"/>
        <v/>
      </c>
      <c r="AF381" s="76" t="str">
        <f t="shared" si="23"/>
        <v/>
      </c>
      <c r="AG381" s="76" t="str">
        <f t="shared" si="24"/>
        <v/>
      </c>
      <c r="AH381" s="76" t="str">
        <f t="shared" si="25"/>
        <v/>
      </c>
      <c r="AI381" s="76" t="str">
        <f t="shared" si="26"/>
        <v/>
      </c>
      <c r="AJ381" s="76" t="str">
        <f t="shared" si="27"/>
        <v/>
      </c>
      <c r="AK381" s="76" t="str">
        <f t="shared" si="28"/>
        <v/>
      </c>
      <c r="AL381" s="76" t="str">
        <f t="shared" si="29"/>
        <v/>
      </c>
      <c r="AM381" s="76" t="str">
        <f t="shared" si="30"/>
        <v/>
      </c>
      <c r="AN381" s="76" t="str">
        <f t="shared" si="31"/>
        <v/>
      </c>
      <c r="AO381" s="76" t="str">
        <f t="shared" si="32"/>
        <v/>
      </c>
      <c r="AP381" s="76" t="str">
        <f t="shared" si="33"/>
        <v/>
      </c>
    </row>
    <row r="382" ht="15.75" customHeight="1">
      <c r="A382" s="76" t="str">
        <f>IF('Manual Entry'!A354="","",'Manual Entry'!A354)</f>
        <v/>
      </c>
      <c r="B382" s="76" t="str">
        <f t="shared" si="3"/>
        <v/>
      </c>
      <c r="C382" s="76" t="str">
        <f t="shared" si="4"/>
        <v/>
      </c>
      <c r="D382" s="76" t="str">
        <f>'Manual Entry'!D354</f>
        <v/>
      </c>
      <c r="E382" s="76" t="str">
        <f>'Manual Entry'!B354</f>
        <v/>
      </c>
      <c r="F382" s="76" t="str">
        <f>'Manual Entry'!F354</f>
        <v/>
      </c>
      <c r="G382" s="76" t="str">
        <f>'Manual Entry'!G354</f>
        <v/>
      </c>
      <c r="H382" s="76" t="str">
        <f>'Manual Entry'!H354</f>
        <v/>
      </c>
      <c r="I382" s="78" t="str">
        <f>'Manual Entry'!I354</f>
        <v/>
      </c>
      <c r="J382" s="78" t="str">
        <f>'Manual Entry'!J354</f>
        <v/>
      </c>
      <c r="K382" s="78" t="str">
        <f>'Manual Entry'!K354</f>
        <v/>
      </c>
      <c r="L382" s="78" t="str">
        <f>'Manual Entry'!L354</f>
        <v/>
      </c>
      <c r="M382" s="78" t="str">
        <f>'Manual Entry'!M354</f>
        <v/>
      </c>
      <c r="N382" s="78" t="str">
        <f>'Manual Entry'!N354</f>
        <v/>
      </c>
      <c r="O382" s="76">
        <f t="shared" si="6"/>
        <v>0</v>
      </c>
      <c r="P382" s="76">
        <f t="shared" si="7"/>
        <v>0</v>
      </c>
      <c r="Q382" s="76">
        <f t="shared" si="8"/>
        <v>0</v>
      </c>
      <c r="R382" s="76">
        <f t="shared" si="9"/>
        <v>0</v>
      </c>
      <c r="S382" s="76" t="str">
        <f t="shared" si="10"/>
        <v/>
      </c>
      <c r="T382" s="76" t="str">
        <f t="shared" si="11"/>
        <v/>
      </c>
      <c r="U382" s="76" t="str">
        <f t="shared" si="12"/>
        <v/>
      </c>
      <c r="V382" s="76" t="str">
        <f t="shared" si="13"/>
        <v/>
      </c>
      <c r="W382" s="76" t="str">
        <f t="shared" si="14"/>
        <v/>
      </c>
      <c r="X382" s="76" t="str">
        <f t="shared" si="15"/>
        <v/>
      </c>
      <c r="Y382" s="76" t="str">
        <f t="shared" si="16"/>
        <v/>
      </c>
      <c r="Z382" s="76" t="str">
        <f t="shared" si="17"/>
        <v/>
      </c>
      <c r="AA382" s="76" t="str">
        <f t="shared" si="18"/>
        <v/>
      </c>
      <c r="AB382" s="76" t="str">
        <f t="shared" si="19"/>
        <v/>
      </c>
      <c r="AC382" s="76" t="str">
        <f t="shared" si="20"/>
        <v/>
      </c>
      <c r="AD382" s="76" t="str">
        <f t="shared" si="21"/>
        <v/>
      </c>
      <c r="AE382" s="76" t="str">
        <f t="shared" si="22"/>
        <v/>
      </c>
      <c r="AF382" s="76" t="str">
        <f t="shared" si="23"/>
        <v/>
      </c>
      <c r="AG382" s="76" t="str">
        <f t="shared" si="24"/>
        <v/>
      </c>
      <c r="AH382" s="76" t="str">
        <f t="shared" si="25"/>
        <v/>
      </c>
      <c r="AI382" s="76" t="str">
        <f t="shared" si="26"/>
        <v/>
      </c>
      <c r="AJ382" s="76" t="str">
        <f t="shared" si="27"/>
        <v/>
      </c>
      <c r="AK382" s="76" t="str">
        <f t="shared" si="28"/>
        <v/>
      </c>
      <c r="AL382" s="76" t="str">
        <f t="shared" si="29"/>
        <v/>
      </c>
      <c r="AM382" s="76" t="str">
        <f t="shared" si="30"/>
        <v/>
      </c>
      <c r="AN382" s="76" t="str">
        <f t="shared" si="31"/>
        <v/>
      </c>
      <c r="AO382" s="76" t="str">
        <f t="shared" si="32"/>
        <v/>
      </c>
      <c r="AP382" s="76" t="str">
        <f t="shared" si="33"/>
        <v/>
      </c>
    </row>
    <row r="383" ht="15.75" customHeight="1">
      <c r="A383" s="76" t="str">
        <f>IF('Manual Entry'!A355="","",'Manual Entry'!A355)</f>
        <v/>
      </c>
      <c r="B383" s="76" t="str">
        <f t="shared" si="3"/>
        <v/>
      </c>
      <c r="C383" s="76" t="str">
        <f t="shared" si="4"/>
        <v/>
      </c>
      <c r="D383" s="76" t="str">
        <f>'Manual Entry'!D355</f>
        <v/>
      </c>
      <c r="E383" s="76" t="str">
        <f>'Manual Entry'!B355</f>
        <v/>
      </c>
      <c r="F383" s="76" t="str">
        <f>'Manual Entry'!F355</f>
        <v/>
      </c>
      <c r="G383" s="76" t="str">
        <f>'Manual Entry'!G355</f>
        <v/>
      </c>
      <c r="H383" s="76" t="str">
        <f>'Manual Entry'!H355</f>
        <v/>
      </c>
      <c r="I383" s="78" t="str">
        <f>'Manual Entry'!I355</f>
        <v/>
      </c>
      <c r="J383" s="78" t="str">
        <f>'Manual Entry'!J355</f>
        <v/>
      </c>
      <c r="K383" s="78" t="str">
        <f>'Manual Entry'!K355</f>
        <v/>
      </c>
      <c r="L383" s="78" t="str">
        <f>'Manual Entry'!L355</f>
        <v/>
      </c>
      <c r="M383" s="78" t="str">
        <f>'Manual Entry'!M355</f>
        <v/>
      </c>
      <c r="N383" s="78" t="str">
        <f>'Manual Entry'!N355</f>
        <v/>
      </c>
      <c r="O383" s="76">
        <f t="shared" si="6"/>
        <v>0</v>
      </c>
      <c r="P383" s="76">
        <f t="shared" si="7"/>
        <v>0</v>
      </c>
      <c r="Q383" s="76">
        <f t="shared" si="8"/>
        <v>0</v>
      </c>
      <c r="R383" s="76">
        <f t="shared" si="9"/>
        <v>0</v>
      </c>
      <c r="S383" s="76" t="str">
        <f t="shared" si="10"/>
        <v/>
      </c>
      <c r="T383" s="76" t="str">
        <f t="shared" si="11"/>
        <v/>
      </c>
      <c r="U383" s="76" t="str">
        <f t="shared" si="12"/>
        <v/>
      </c>
      <c r="V383" s="76" t="str">
        <f t="shared" si="13"/>
        <v/>
      </c>
      <c r="W383" s="76" t="str">
        <f t="shared" si="14"/>
        <v/>
      </c>
      <c r="X383" s="76" t="str">
        <f t="shared" si="15"/>
        <v/>
      </c>
      <c r="Y383" s="76" t="str">
        <f t="shared" si="16"/>
        <v/>
      </c>
      <c r="Z383" s="76" t="str">
        <f t="shared" si="17"/>
        <v/>
      </c>
      <c r="AA383" s="76" t="str">
        <f t="shared" si="18"/>
        <v/>
      </c>
      <c r="AB383" s="76" t="str">
        <f t="shared" si="19"/>
        <v/>
      </c>
      <c r="AC383" s="76" t="str">
        <f t="shared" si="20"/>
        <v/>
      </c>
      <c r="AD383" s="76" t="str">
        <f t="shared" si="21"/>
        <v/>
      </c>
      <c r="AE383" s="76" t="str">
        <f t="shared" si="22"/>
        <v/>
      </c>
      <c r="AF383" s="76" t="str">
        <f t="shared" si="23"/>
        <v/>
      </c>
      <c r="AG383" s="76" t="str">
        <f t="shared" si="24"/>
        <v/>
      </c>
      <c r="AH383" s="76" t="str">
        <f t="shared" si="25"/>
        <v/>
      </c>
      <c r="AI383" s="76" t="str">
        <f t="shared" si="26"/>
        <v/>
      </c>
      <c r="AJ383" s="76" t="str">
        <f t="shared" si="27"/>
        <v/>
      </c>
      <c r="AK383" s="76" t="str">
        <f t="shared" si="28"/>
        <v/>
      </c>
      <c r="AL383" s="76" t="str">
        <f t="shared" si="29"/>
        <v/>
      </c>
      <c r="AM383" s="76" t="str">
        <f t="shared" si="30"/>
        <v/>
      </c>
      <c r="AN383" s="76" t="str">
        <f t="shared" si="31"/>
        <v/>
      </c>
      <c r="AO383" s="76" t="str">
        <f t="shared" si="32"/>
        <v/>
      </c>
      <c r="AP383" s="76" t="str">
        <f t="shared" si="33"/>
        <v/>
      </c>
    </row>
    <row r="384" ht="15.75" customHeight="1">
      <c r="A384" s="76" t="str">
        <f>IF('Manual Entry'!A356="","",'Manual Entry'!A356)</f>
        <v/>
      </c>
      <c r="B384" s="76" t="str">
        <f t="shared" si="3"/>
        <v/>
      </c>
      <c r="C384" s="76" t="str">
        <f t="shared" si="4"/>
        <v/>
      </c>
      <c r="D384" s="76" t="str">
        <f>'Manual Entry'!D356</f>
        <v/>
      </c>
      <c r="E384" s="76" t="str">
        <f>'Manual Entry'!B356</f>
        <v/>
      </c>
      <c r="F384" s="76" t="str">
        <f>'Manual Entry'!F356</f>
        <v/>
      </c>
      <c r="G384" s="76" t="str">
        <f>'Manual Entry'!G356</f>
        <v/>
      </c>
      <c r="H384" s="76" t="str">
        <f>'Manual Entry'!H356</f>
        <v/>
      </c>
      <c r="I384" s="78" t="str">
        <f>'Manual Entry'!I356</f>
        <v/>
      </c>
      <c r="J384" s="78" t="str">
        <f>'Manual Entry'!J356</f>
        <v/>
      </c>
      <c r="K384" s="78" t="str">
        <f>'Manual Entry'!K356</f>
        <v/>
      </c>
      <c r="L384" s="78" t="str">
        <f>'Manual Entry'!L356</f>
        <v/>
      </c>
      <c r="M384" s="78" t="str">
        <f>'Manual Entry'!M356</f>
        <v/>
      </c>
      <c r="N384" s="78" t="str">
        <f>'Manual Entry'!N356</f>
        <v/>
      </c>
      <c r="O384" s="76">
        <f t="shared" si="6"/>
        <v>0</v>
      </c>
      <c r="P384" s="76">
        <f t="shared" si="7"/>
        <v>0</v>
      </c>
      <c r="Q384" s="76">
        <f t="shared" si="8"/>
        <v>0</v>
      </c>
      <c r="R384" s="76">
        <f t="shared" si="9"/>
        <v>0</v>
      </c>
      <c r="S384" s="76" t="str">
        <f t="shared" si="10"/>
        <v/>
      </c>
      <c r="T384" s="76" t="str">
        <f t="shared" si="11"/>
        <v/>
      </c>
      <c r="U384" s="76" t="str">
        <f t="shared" si="12"/>
        <v/>
      </c>
      <c r="V384" s="76" t="str">
        <f t="shared" si="13"/>
        <v/>
      </c>
      <c r="W384" s="76" t="str">
        <f t="shared" si="14"/>
        <v/>
      </c>
      <c r="X384" s="76" t="str">
        <f t="shared" si="15"/>
        <v/>
      </c>
      <c r="Y384" s="76" t="str">
        <f t="shared" si="16"/>
        <v/>
      </c>
      <c r="Z384" s="76" t="str">
        <f t="shared" si="17"/>
        <v/>
      </c>
      <c r="AA384" s="76" t="str">
        <f t="shared" si="18"/>
        <v/>
      </c>
      <c r="AB384" s="76" t="str">
        <f t="shared" si="19"/>
        <v/>
      </c>
      <c r="AC384" s="76" t="str">
        <f t="shared" si="20"/>
        <v/>
      </c>
      <c r="AD384" s="76" t="str">
        <f t="shared" si="21"/>
        <v/>
      </c>
      <c r="AE384" s="76" t="str">
        <f t="shared" si="22"/>
        <v/>
      </c>
      <c r="AF384" s="76" t="str">
        <f t="shared" si="23"/>
        <v/>
      </c>
      <c r="AG384" s="76" t="str">
        <f t="shared" si="24"/>
        <v/>
      </c>
      <c r="AH384" s="76" t="str">
        <f t="shared" si="25"/>
        <v/>
      </c>
      <c r="AI384" s="76" t="str">
        <f t="shared" si="26"/>
        <v/>
      </c>
      <c r="AJ384" s="76" t="str">
        <f t="shared" si="27"/>
        <v/>
      </c>
      <c r="AK384" s="76" t="str">
        <f t="shared" si="28"/>
        <v/>
      </c>
      <c r="AL384" s="76" t="str">
        <f t="shared" si="29"/>
        <v/>
      </c>
      <c r="AM384" s="76" t="str">
        <f t="shared" si="30"/>
        <v/>
      </c>
      <c r="AN384" s="76" t="str">
        <f t="shared" si="31"/>
        <v/>
      </c>
      <c r="AO384" s="76" t="str">
        <f t="shared" si="32"/>
        <v/>
      </c>
      <c r="AP384" s="76" t="str">
        <f t="shared" si="33"/>
        <v/>
      </c>
    </row>
    <row r="385" ht="15.75" customHeight="1">
      <c r="A385" s="76" t="str">
        <f>IF('Manual Entry'!A357="","",'Manual Entry'!A357)</f>
        <v/>
      </c>
      <c r="B385" s="76" t="str">
        <f t="shared" si="3"/>
        <v/>
      </c>
      <c r="C385" s="76" t="str">
        <f t="shared" si="4"/>
        <v/>
      </c>
      <c r="D385" s="76" t="str">
        <f>'Manual Entry'!D357</f>
        <v/>
      </c>
      <c r="E385" s="76" t="str">
        <f>'Manual Entry'!B357</f>
        <v/>
      </c>
      <c r="F385" s="76" t="str">
        <f>'Manual Entry'!F357</f>
        <v/>
      </c>
      <c r="G385" s="76" t="str">
        <f>'Manual Entry'!G357</f>
        <v/>
      </c>
      <c r="H385" s="76" t="str">
        <f>'Manual Entry'!H357</f>
        <v/>
      </c>
      <c r="I385" s="78" t="str">
        <f>'Manual Entry'!I357</f>
        <v/>
      </c>
      <c r="J385" s="78" t="str">
        <f>'Manual Entry'!J357</f>
        <v/>
      </c>
      <c r="K385" s="78" t="str">
        <f>'Manual Entry'!K357</f>
        <v/>
      </c>
      <c r="L385" s="78" t="str">
        <f>'Manual Entry'!L357</f>
        <v/>
      </c>
      <c r="M385" s="78" t="str">
        <f>'Manual Entry'!M357</f>
        <v/>
      </c>
      <c r="N385" s="78" t="str">
        <f>'Manual Entry'!N357</f>
        <v/>
      </c>
      <c r="O385" s="76">
        <f t="shared" si="6"/>
        <v>0</v>
      </c>
      <c r="P385" s="76">
        <f t="shared" si="7"/>
        <v>0</v>
      </c>
      <c r="Q385" s="76">
        <f t="shared" si="8"/>
        <v>0</v>
      </c>
      <c r="R385" s="76">
        <f t="shared" si="9"/>
        <v>0</v>
      </c>
      <c r="S385" s="76" t="str">
        <f t="shared" si="10"/>
        <v/>
      </c>
      <c r="T385" s="76" t="str">
        <f t="shared" si="11"/>
        <v/>
      </c>
      <c r="U385" s="76" t="str">
        <f t="shared" si="12"/>
        <v/>
      </c>
      <c r="V385" s="76" t="str">
        <f t="shared" si="13"/>
        <v/>
      </c>
      <c r="W385" s="76" t="str">
        <f t="shared" si="14"/>
        <v/>
      </c>
      <c r="X385" s="76" t="str">
        <f t="shared" si="15"/>
        <v/>
      </c>
      <c r="Y385" s="76" t="str">
        <f t="shared" si="16"/>
        <v/>
      </c>
      <c r="Z385" s="76" t="str">
        <f t="shared" si="17"/>
        <v/>
      </c>
      <c r="AA385" s="76" t="str">
        <f t="shared" si="18"/>
        <v/>
      </c>
      <c r="AB385" s="76" t="str">
        <f t="shared" si="19"/>
        <v/>
      </c>
      <c r="AC385" s="76" t="str">
        <f t="shared" si="20"/>
        <v/>
      </c>
      <c r="AD385" s="76" t="str">
        <f t="shared" si="21"/>
        <v/>
      </c>
      <c r="AE385" s="76" t="str">
        <f t="shared" si="22"/>
        <v/>
      </c>
      <c r="AF385" s="76" t="str">
        <f t="shared" si="23"/>
        <v/>
      </c>
      <c r="AG385" s="76" t="str">
        <f t="shared" si="24"/>
        <v/>
      </c>
      <c r="AH385" s="76" t="str">
        <f t="shared" si="25"/>
        <v/>
      </c>
      <c r="AI385" s="76" t="str">
        <f t="shared" si="26"/>
        <v/>
      </c>
      <c r="AJ385" s="76" t="str">
        <f t="shared" si="27"/>
        <v/>
      </c>
      <c r="AK385" s="76" t="str">
        <f t="shared" si="28"/>
        <v/>
      </c>
      <c r="AL385" s="76" t="str">
        <f t="shared" si="29"/>
        <v/>
      </c>
      <c r="AM385" s="76" t="str">
        <f t="shared" si="30"/>
        <v/>
      </c>
      <c r="AN385" s="76" t="str">
        <f t="shared" si="31"/>
        <v/>
      </c>
      <c r="AO385" s="76" t="str">
        <f t="shared" si="32"/>
        <v/>
      </c>
      <c r="AP385" s="76" t="str">
        <f t="shared" si="33"/>
        <v/>
      </c>
    </row>
    <row r="386" ht="15.75" customHeight="1">
      <c r="A386" s="76" t="str">
        <f>IF('Manual Entry'!A358="","",'Manual Entry'!A358)</f>
        <v/>
      </c>
      <c r="B386" s="76" t="str">
        <f t="shared" si="3"/>
        <v/>
      </c>
      <c r="C386" s="76" t="str">
        <f t="shared" si="4"/>
        <v/>
      </c>
      <c r="D386" s="76" t="str">
        <f>'Manual Entry'!D358</f>
        <v/>
      </c>
      <c r="E386" s="76" t="str">
        <f>'Manual Entry'!B358</f>
        <v/>
      </c>
      <c r="F386" s="76" t="str">
        <f>'Manual Entry'!F358</f>
        <v/>
      </c>
      <c r="G386" s="76" t="str">
        <f>'Manual Entry'!G358</f>
        <v/>
      </c>
      <c r="H386" s="76" t="str">
        <f>'Manual Entry'!H358</f>
        <v/>
      </c>
      <c r="I386" s="78" t="str">
        <f>'Manual Entry'!I358</f>
        <v/>
      </c>
      <c r="J386" s="78" t="str">
        <f>'Manual Entry'!J358</f>
        <v/>
      </c>
      <c r="K386" s="78" t="str">
        <f>'Manual Entry'!K358</f>
        <v/>
      </c>
      <c r="L386" s="78" t="str">
        <f>'Manual Entry'!L358</f>
        <v/>
      </c>
      <c r="M386" s="78" t="str">
        <f>'Manual Entry'!M358</f>
        <v/>
      </c>
      <c r="N386" s="78" t="str">
        <f>'Manual Entry'!N358</f>
        <v/>
      </c>
      <c r="O386" s="76">
        <f t="shared" si="6"/>
        <v>0</v>
      </c>
      <c r="P386" s="76">
        <f t="shared" si="7"/>
        <v>0</v>
      </c>
      <c r="Q386" s="76">
        <f t="shared" si="8"/>
        <v>0</v>
      </c>
      <c r="R386" s="76">
        <f t="shared" si="9"/>
        <v>0</v>
      </c>
      <c r="S386" s="76" t="str">
        <f t="shared" si="10"/>
        <v/>
      </c>
      <c r="T386" s="76" t="str">
        <f t="shared" si="11"/>
        <v/>
      </c>
      <c r="U386" s="76" t="str">
        <f t="shared" si="12"/>
        <v/>
      </c>
      <c r="V386" s="76" t="str">
        <f t="shared" si="13"/>
        <v/>
      </c>
      <c r="W386" s="76" t="str">
        <f t="shared" si="14"/>
        <v/>
      </c>
      <c r="X386" s="76" t="str">
        <f t="shared" si="15"/>
        <v/>
      </c>
      <c r="Y386" s="76" t="str">
        <f t="shared" si="16"/>
        <v/>
      </c>
      <c r="Z386" s="76" t="str">
        <f t="shared" si="17"/>
        <v/>
      </c>
      <c r="AA386" s="76" t="str">
        <f t="shared" si="18"/>
        <v/>
      </c>
      <c r="AB386" s="76" t="str">
        <f t="shared" si="19"/>
        <v/>
      </c>
      <c r="AC386" s="76" t="str">
        <f t="shared" si="20"/>
        <v/>
      </c>
      <c r="AD386" s="76" t="str">
        <f t="shared" si="21"/>
        <v/>
      </c>
      <c r="AE386" s="76" t="str">
        <f t="shared" si="22"/>
        <v/>
      </c>
      <c r="AF386" s="76" t="str">
        <f t="shared" si="23"/>
        <v/>
      </c>
      <c r="AG386" s="76" t="str">
        <f t="shared" si="24"/>
        <v/>
      </c>
      <c r="AH386" s="76" t="str">
        <f t="shared" si="25"/>
        <v/>
      </c>
      <c r="AI386" s="76" t="str">
        <f t="shared" si="26"/>
        <v/>
      </c>
      <c r="AJ386" s="76" t="str">
        <f t="shared" si="27"/>
        <v/>
      </c>
      <c r="AK386" s="76" t="str">
        <f t="shared" si="28"/>
        <v/>
      </c>
      <c r="AL386" s="76" t="str">
        <f t="shared" si="29"/>
        <v/>
      </c>
      <c r="AM386" s="76" t="str">
        <f t="shared" si="30"/>
        <v/>
      </c>
      <c r="AN386" s="76" t="str">
        <f t="shared" si="31"/>
        <v/>
      </c>
      <c r="AO386" s="76" t="str">
        <f t="shared" si="32"/>
        <v/>
      </c>
      <c r="AP386" s="76" t="str">
        <f t="shared" si="33"/>
        <v/>
      </c>
    </row>
    <row r="387" ht="15.75" customHeight="1">
      <c r="A387" s="76" t="str">
        <f>IF('Manual Entry'!A359="","",'Manual Entry'!A359)</f>
        <v/>
      </c>
      <c r="B387" s="76" t="str">
        <f t="shared" si="3"/>
        <v/>
      </c>
      <c r="C387" s="76" t="str">
        <f t="shared" si="4"/>
        <v/>
      </c>
      <c r="D387" s="76" t="str">
        <f>'Manual Entry'!D359</f>
        <v/>
      </c>
      <c r="E387" s="76" t="str">
        <f>'Manual Entry'!B359</f>
        <v/>
      </c>
      <c r="F387" s="76" t="str">
        <f>'Manual Entry'!F359</f>
        <v/>
      </c>
      <c r="G387" s="76" t="str">
        <f>'Manual Entry'!G359</f>
        <v/>
      </c>
      <c r="H387" s="76" t="str">
        <f>'Manual Entry'!H359</f>
        <v/>
      </c>
      <c r="I387" s="78" t="str">
        <f>'Manual Entry'!I359</f>
        <v/>
      </c>
      <c r="J387" s="78" t="str">
        <f>'Manual Entry'!J359</f>
        <v/>
      </c>
      <c r="K387" s="78" t="str">
        <f>'Manual Entry'!K359</f>
        <v/>
      </c>
      <c r="L387" s="78" t="str">
        <f>'Manual Entry'!L359</f>
        <v/>
      </c>
      <c r="M387" s="78" t="str">
        <f>'Manual Entry'!M359</f>
        <v/>
      </c>
      <c r="N387" s="78" t="str">
        <f>'Manual Entry'!N359</f>
        <v/>
      </c>
      <c r="O387" s="76">
        <f t="shared" si="6"/>
        <v>0</v>
      </c>
      <c r="P387" s="76">
        <f t="shared" si="7"/>
        <v>0</v>
      </c>
      <c r="Q387" s="76">
        <f t="shared" si="8"/>
        <v>0</v>
      </c>
      <c r="R387" s="76">
        <f t="shared" si="9"/>
        <v>0</v>
      </c>
      <c r="S387" s="76" t="str">
        <f t="shared" si="10"/>
        <v/>
      </c>
      <c r="T387" s="76" t="str">
        <f t="shared" si="11"/>
        <v/>
      </c>
      <c r="U387" s="76" t="str">
        <f t="shared" si="12"/>
        <v/>
      </c>
      <c r="V387" s="76" t="str">
        <f t="shared" si="13"/>
        <v/>
      </c>
      <c r="W387" s="76" t="str">
        <f t="shared" si="14"/>
        <v/>
      </c>
      <c r="X387" s="76" t="str">
        <f t="shared" si="15"/>
        <v/>
      </c>
      <c r="Y387" s="76" t="str">
        <f t="shared" si="16"/>
        <v/>
      </c>
      <c r="Z387" s="76" t="str">
        <f t="shared" si="17"/>
        <v/>
      </c>
      <c r="AA387" s="76" t="str">
        <f t="shared" si="18"/>
        <v/>
      </c>
      <c r="AB387" s="76" t="str">
        <f t="shared" si="19"/>
        <v/>
      </c>
      <c r="AC387" s="76" t="str">
        <f t="shared" si="20"/>
        <v/>
      </c>
      <c r="AD387" s="76" t="str">
        <f t="shared" si="21"/>
        <v/>
      </c>
      <c r="AE387" s="76" t="str">
        <f t="shared" si="22"/>
        <v/>
      </c>
      <c r="AF387" s="76" t="str">
        <f t="shared" si="23"/>
        <v/>
      </c>
      <c r="AG387" s="76" t="str">
        <f t="shared" si="24"/>
        <v/>
      </c>
      <c r="AH387" s="76" t="str">
        <f t="shared" si="25"/>
        <v/>
      </c>
      <c r="AI387" s="76" t="str">
        <f t="shared" si="26"/>
        <v/>
      </c>
      <c r="AJ387" s="76" t="str">
        <f t="shared" si="27"/>
        <v/>
      </c>
      <c r="AK387" s="76" t="str">
        <f t="shared" si="28"/>
        <v/>
      </c>
      <c r="AL387" s="76" t="str">
        <f t="shared" si="29"/>
        <v/>
      </c>
      <c r="AM387" s="76" t="str">
        <f t="shared" si="30"/>
        <v/>
      </c>
      <c r="AN387" s="76" t="str">
        <f t="shared" si="31"/>
        <v/>
      </c>
      <c r="AO387" s="76" t="str">
        <f t="shared" si="32"/>
        <v/>
      </c>
      <c r="AP387" s="76" t="str">
        <f t="shared" si="33"/>
        <v/>
      </c>
    </row>
    <row r="388" ht="15.75" customHeight="1">
      <c r="A388" s="76" t="str">
        <f>IF('Manual Entry'!A360="","",'Manual Entry'!A360)</f>
        <v/>
      </c>
      <c r="B388" s="76" t="str">
        <f t="shared" si="3"/>
        <v/>
      </c>
      <c r="C388" s="76" t="str">
        <f t="shared" si="4"/>
        <v/>
      </c>
      <c r="D388" s="76" t="str">
        <f>'Manual Entry'!D360</f>
        <v/>
      </c>
      <c r="E388" s="76" t="str">
        <f>'Manual Entry'!B360</f>
        <v/>
      </c>
      <c r="F388" s="76" t="str">
        <f>'Manual Entry'!F360</f>
        <v/>
      </c>
      <c r="G388" s="76" t="str">
        <f>'Manual Entry'!G360</f>
        <v/>
      </c>
      <c r="H388" s="76" t="str">
        <f>'Manual Entry'!H360</f>
        <v/>
      </c>
      <c r="I388" s="78" t="str">
        <f>'Manual Entry'!I360</f>
        <v/>
      </c>
      <c r="J388" s="78" t="str">
        <f>'Manual Entry'!J360</f>
        <v/>
      </c>
      <c r="K388" s="78" t="str">
        <f>'Manual Entry'!K360</f>
        <v/>
      </c>
      <c r="L388" s="78" t="str">
        <f>'Manual Entry'!L360</f>
        <v/>
      </c>
      <c r="M388" s="78" t="str">
        <f>'Manual Entry'!M360</f>
        <v/>
      </c>
      <c r="N388" s="78" t="str">
        <f>'Manual Entry'!N360</f>
        <v/>
      </c>
      <c r="O388" s="76">
        <f t="shared" si="6"/>
        <v>0</v>
      </c>
      <c r="P388" s="76">
        <f t="shared" si="7"/>
        <v>0</v>
      </c>
      <c r="Q388" s="76">
        <f t="shared" si="8"/>
        <v>0</v>
      </c>
      <c r="R388" s="76">
        <f t="shared" si="9"/>
        <v>0</v>
      </c>
      <c r="S388" s="76" t="str">
        <f t="shared" si="10"/>
        <v/>
      </c>
      <c r="T388" s="76" t="str">
        <f t="shared" si="11"/>
        <v/>
      </c>
      <c r="U388" s="76" t="str">
        <f t="shared" si="12"/>
        <v/>
      </c>
      <c r="V388" s="76" t="str">
        <f t="shared" si="13"/>
        <v/>
      </c>
      <c r="W388" s="76" t="str">
        <f t="shared" si="14"/>
        <v/>
      </c>
      <c r="X388" s="76" t="str">
        <f t="shared" si="15"/>
        <v/>
      </c>
      <c r="Y388" s="76" t="str">
        <f t="shared" si="16"/>
        <v/>
      </c>
      <c r="Z388" s="76" t="str">
        <f t="shared" si="17"/>
        <v/>
      </c>
      <c r="AA388" s="76" t="str">
        <f t="shared" si="18"/>
        <v/>
      </c>
      <c r="AB388" s="76" t="str">
        <f t="shared" si="19"/>
        <v/>
      </c>
      <c r="AC388" s="76" t="str">
        <f t="shared" si="20"/>
        <v/>
      </c>
      <c r="AD388" s="76" t="str">
        <f t="shared" si="21"/>
        <v/>
      </c>
      <c r="AE388" s="76" t="str">
        <f t="shared" si="22"/>
        <v/>
      </c>
      <c r="AF388" s="76" t="str">
        <f t="shared" si="23"/>
        <v/>
      </c>
      <c r="AG388" s="76" t="str">
        <f t="shared" si="24"/>
        <v/>
      </c>
      <c r="AH388" s="76" t="str">
        <f t="shared" si="25"/>
        <v/>
      </c>
      <c r="AI388" s="76" t="str">
        <f t="shared" si="26"/>
        <v/>
      </c>
      <c r="AJ388" s="76" t="str">
        <f t="shared" si="27"/>
        <v/>
      </c>
      <c r="AK388" s="76" t="str">
        <f t="shared" si="28"/>
        <v/>
      </c>
      <c r="AL388" s="76" t="str">
        <f t="shared" si="29"/>
        <v/>
      </c>
      <c r="AM388" s="76" t="str">
        <f t="shared" si="30"/>
        <v/>
      </c>
      <c r="AN388" s="76" t="str">
        <f t="shared" si="31"/>
        <v/>
      </c>
      <c r="AO388" s="76" t="str">
        <f t="shared" si="32"/>
        <v/>
      </c>
      <c r="AP388" s="76" t="str">
        <f t="shared" si="33"/>
        <v/>
      </c>
    </row>
    <row r="389" ht="15.75" customHeight="1">
      <c r="A389" s="76" t="str">
        <f>IF('Manual Entry'!A361="","",'Manual Entry'!A361)</f>
        <v/>
      </c>
      <c r="B389" s="76" t="str">
        <f t="shared" si="3"/>
        <v/>
      </c>
      <c r="C389" s="76" t="str">
        <f t="shared" si="4"/>
        <v/>
      </c>
      <c r="D389" s="76" t="str">
        <f>'Manual Entry'!D361</f>
        <v/>
      </c>
      <c r="E389" s="76" t="str">
        <f>'Manual Entry'!B361</f>
        <v/>
      </c>
      <c r="F389" s="76" t="str">
        <f>'Manual Entry'!F361</f>
        <v/>
      </c>
      <c r="G389" s="76" t="str">
        <f>'Manual Entry'!G361</f>
        <v/>
      </c>
      <c r="H389" s="76" t="str">
        <f>'Manual Entry'!H361</f>
        <v/>
      </c>
      <c r="I389" s="78" t="str">
        <f>'Manual Entry'!I361</f>
        <v/>
      </c>
      <c r="J389" s="78" t="str">
        <f>'Manual Entry'!J361</f>
        <v/>
      </c>
      <c r="K389" s="78" t="str">
        <f>'Manual Entry'!K361</f>
        <v/>
      </c>
      <c r="L389" s="78" t="str">
        <f>'Manual Entry'!L361</f>
        <v/>
      </c>
      <c r="M389" s="78" t="str">
        <f>'Manual Entry'!M361</f>
        <v/>
      </c>
      <c r="N389" s="78" t="str">
        <f>'Manual Entry'!N361</f>
        <v/>
      </c>
      <c r="O389" s="76">
        <f t="shared" si="6"/>
        <v>0</v>
      </c>
      <c r="P389" s="76">
        <f t="shared" si="7"/>
        <v>0</v>
      </c>
      <c r="Q389" s="76">
        <f t="shared" si="8"/>
        <v>0</v>
      </c>
      <c r="R389" s="76">
        <f t="shared" si="9"/>
        <v>0</v>
      </c>
      <c r="S389" s="76" t="str">
        <f t="shared" si="10"/>
        <v/>
      </c>
      <c r="T389" s="76" t="str">
        <f t="shared" si="11"/>
        <v/>
      </c>
      <c r="U389" s="76" t="str">
        <f t="shared" si="12"/>
        <v/>
      </c>
      <c r="V389" s="76" t="str">
        <f t="shared" si="13"/>
        <v/>
      </c>
      <c r="W389" s="76" t="str">
        <f t="shared" si="14"/>
        <v/>
      </c>
      <c r="X389" s="76" t="str">
        <f t="shared" si="15"/>
        <v/>
      </c>
      <c r="Y389" s="76" t="str">
        <f t="shared" si="16"/>
        <v/>
      </c>
      <c r="Z389" s="76" t="str">
        <f t="shared" si="17"/>
        <v/>
      </c>
      <c r="AA389" s="76" t="str">
        <f t="shared" si="18"/>
        <v/>
      </c>
      <c r="AB389" s="76" t="str">
        <f t="shared" si="19"/>
        <v/>
      </c>
      <c r="AC389" s="76" t="str">
        <f t="shared" si="20"/>
        <v/>
      </c>
      <c r="AD389" s="76" t="str">
        <f t="shared" si="21"/>
        <v/>
      </c>
      <c r="AE389" s="76" t="str">
        <f t="shared" si="22"/>
        <v/>
      </c>
      <c r="AF389" s="76" t="str">
        <f t="shared" si="23"/>
        <v/>
      </c>
      <c r="AG389" s="76" t="str">
        <f t="shared" si="24"/>
        <v/>
      </c>
      <c r="AH389" s="76" t="str">
        <f t="shared" si="25"/>
        <v/>
      </c>
      <c r="AI389" s="76" t="str">
        <f t="shared" si="26"/>
        <v/>
      </c>
      <c r="AJ389" s="76" t="str">
        <f t="shared" si="27"/>
        <v/>
      </c>
      <c r="AK389" s="76" t="str">
        <f t="shared" si="28"/>
        <v/>
      </c>
      <c r="AL389" s="76" t="str">
        <f t="shared" si="29"/>
        <v/>
      </c>
      <c r="AM389" s="76" t="str">
        <f t="shared" si="30"/>
        <v/>
      </c>
      <c r="AN389" s="76" t="str">
        <f t="shared" si="31"/>
        <v/>
      </c>
      <c r="AO389" s="76" t="str">
        <f t="shared" si="32"/>
        <v/>
      </c>
      <c r="AP389" s="76" t="str">
        <f t="shared" si="33"/>
        <v/>
      </c>
    </row>
    <row r="390" ht="15.75" customHeight="1">
      <c r="A390" s="76" t="str">
        <f>IF('Manual Entry'!A362="","",'Manual Entry'!A362)</f>
        <v/>
      </c>
      <c r="B390" s="76" t="str">
        <f t="shared" si="3"/>
        <v/>
      </c>
      <c r="C390" s="76" t="str">
        <f t="shared" si="4"/>
        <v/>
      </c>
      <c r="D390" s="76" t="str">
        <f>'Manual Entry'!D362</f>
        <v/>
      </c>
      <c r="E390" s="76" t="str">
        <f>'Manual Entry'!B362</f>
        <v/>
      </c>
      <c r="F390" s="76" t="str">
        <f>'Manual Entry'!F362</f>
        <v/>
      </c>
      <c r="G390" s="76" t="str">
        <f>'Manual Entry'!G362</f>
        <v/>
      </c>
      <c r="H390" s="76" t="str">
        <f>'Manual Entry'!H362</f>
        <v/>
      </c>
      <c r="I390" s="78" t="str">
        <f>'Manual Entry'!I362</f>
        <v/>
      </c>
      <c r="J390" s="78" t="str">
        <f>'Manual Entry'!J362</f>
        <v/>
      </c>
      <c r="K390" s="78" t="str">
        <f>'Manual Entry'!K362</f>
        <v/>
      </c>
      <c r="L390" s="78" t="str">
        <f>'Manual Entry'!L362</f>
        <v/>
      </c>
      <c r="M390" s="78" t="str">
        <f>'Manual Entry'!M362</f>
        <v/>
      </c>
      <c r="N390" s="78" t="str">
        <f>'Manual Entry'!N362</f>
        <v/>
      </c>
      <c r="O390" s="76">
        <f t="shared" si="6"/>
        <v>0</v>
      </c>
      <c r="P390" s="76">
        <f t="shared" si="7"/>
        <v>0</v>
      </c>
      <c r="Q390" s="76">
        <f t="shared" si="8"/>
        <v>0</v>
      </c>
      <c r="R390" s="76">
        <f t="shared" si="9"/>
        <v>0</v>
      </c>
      <c r="S390" s="76" t="str">
        <f t="shared" si="10"/>
        <v/>
      </c>
      <c r="T390" s="76" t="str">
        <f t="shared" si="11"/>
        <v/>
      </c>
      <c r="U390" s="76" t="str">
        <f t="shared" si="12"/>
        <v/>
      </c>
      <c r="V390" s="76" t="str">
        <f t="shared" si="13"/>
        <v/>
      </c>
      <c r="W390" s="76" t="str">
        <f t="shared" si="14"/>
        <v/>
      </c>
      <c r="X390" s="76" t="str">
        <f t="shared" si="15"/>
        <v/>
      </c>
      <c r="Y390" s="76" t="str">
        <f t="shared" si="16"/>
        <v/>
      </c>
      <c r="Z390" s="76" t="str">
        <f t="shared" si="17"/>
        <v/>
      </c>
      <c r="AA390" s="76" t="str">
        <f t="shared" si="18"/>
        <v/>
      </c>
      <c r="AB390" s="76" t="str">
        <f t="shared" si="19"/>
        <v/>
      </c>
      <c r="AC390" s="76" t="str">
        <f t="shared" si="20"/>
        <v/>
      </c>
      <c r="AD390" s="76" t="str">
        <f t="shared" si="21"/>
        <v/>
      </c>
      <c r="AE390" s="76" t="str">
        <f t="shared" si="22"/>
        <v/>
      </c>
      <c r="AF390" s="76" t="str">
        <f t="shared" si="23"/>
        <v/>
      </c>
      <c r="AG390" s="76" t="str">
        <f t="shared" si="24"/>
        <v/>
      </c>
      <c r="AH390" s="76" t="str">
        <f t="shared" si="25"/>
        <v/>
      </c>
      <c r="AI390" s="76" t="str">
        <f t="shared" si="26"/>
        <v/>
      </c>
      <c r="AJ390" s="76" t="str">
        <f t="shared" si="27"/>
        <v/>
      </c>
      <c r="AK390" s="76" t="str">
        <f t="shared" si="28"/>
        <v/>
      </c>
      <c r="AL390" s="76" t="str">
        <f t="shared" si="29"/>
        <v/>
      </c>
      <c r="AM390" s="76" t="str">
        <f t="shared" si="30"/>
        <v/>
      </c>
      <c r="AN390" s="76" t="str">
        <f t="shared" si="31"/>
        <v/>
      </c>
      <c r="AO390" s="76" t="str">
        <f t="shared" si="32"/>
        <v/>
      </c>
      <c r="AP390" s="76" t="str">
        <f t="shared" si="33"/>
        <v/>
      </c>
    </row>
    <row r="391" ht="15.75" customHeight="1">
      <c r="A391" s="76" t="str">
        <f>IF('Manual Entry'!A363="","",'Manual Entry'!A363)</f>
        <v/>
      </c>
      <c r="B391" s="76" t="str">
        <f t="shared" si="3"/>
        <v/>
      </c>
      <c r="C391" s="76" t="str">
        <f t="shared" si="4"/>
        <v/>
      </c>
      <c r="D391" s="76" t="str">
        <f>'Manual Entry'!D363</f>
        <v/>
      </c>
      <c r="E391" s="76" t="str">
        <f>'Manual Entry'!B363</f>
        <v/>
      </c>
      <c r="F391" s="76" t="str">
        <f>'Manual Entry'!F363</f>
        <v/>
      </c>
      <c r="G391" s="76" t="str">
        <f>'Manual Entry'!G363</f>
        <v/>
      </c>
      <c r="H391" s="76" t="str">
        <f>'Manual Entry'!H363</f>
        <v/>
      </c>
      <c r="I391" s="78" t="str">
        <f>'Manual Entry'!I363</f>
        <v/>
      </c>
      <c r="J391" s="78" t="str">
        <f>'Manual Entry'!J363</f>
        <v/>
      </c>
      <c r="K391" s="78" t="str">
        <f>'Manual Entry'!K363</f>
        <v/>
      </c>
      <c r="L391" s="78" t="str">
        <f>'Manual Entry'!L363</f>
        <v/>
      </c>
      <c r="M391" s="78" t="str">
        <f>'Manual Entry'!M363</f>
        <v/>
      </c>
      <c r="N391" s="78" t="str">
        <f>'Manual Entry'!N363</f>
        <v/>
      </c>
      <c r="O391" s="76">
        <f t="shared" si="6"/>
        <v>0</v>
      </c>
      <c r="P391" s="76">
        <f t="shared" si="7"/>
        <v>0</v>
      </c>
      <c r="Q391" s="76">
        <f t="shared" si="8"/>
        <v>0</v>
      </c>
      <c r="R391" s="76">
        <f t="shared" si="9"/>
        <v>0</v>
      </c>
      <c r="S391" s="76" t="str">
        <f t="shared" si="10"/>
        <v/>
      </c>
      <c r="T391" s="76" t="str">
        <f t="shared" si="11"/>
        <v/>
      </c>
      <c r="U391" s="76" t="str">
        <f t="shared" si="12"/>
        <v/>
      </c>
      <c r="V391" s="76" t="str">
        <f t="shared" si="13"/>
        <v/>
      </c>
      <c r="W391" s="76" t="str">
        <f t="shared" si="14"/>
        <v/>
      </c>
      <c r="X391" s="76" t="str">
        <f t="shared" si="15"/>
        <v/>
      </c>
      <c r="Y391" s="76" t="str">
        <f t="shared" si="16"/>
        <v/>
      </c>
      <c r="Z391" s="76" t="str">
        <f t="shared" si="17"/>
        <v/>
      </c>
      <c r="AA391" s="76" t="str">
        <f t="shared" si="18"/>
        <v/>
      </c>
      <c r="AB391" s="76" t="str">
        <f t="shared" si="19"/>
        <v/>
      </c>
      <c r="AC391" s="76" t="str">
        <f t="shared" si="20"/>
        <v/>
      </c>
      <c r="AD391" s="76" t="str">
        <f t="shared" si="21"/>
        <v/>
      </c>
      <c r="AE391" s="76" t="str">
        <f t="shared" si="22"/>
        <v/>
      </c>
      <c r="AF391" s="76" t="str">
        <f t="shared" si="23"/>
        <v/>
      </c>
      <c r="AG391" s="76" t="str">
        <f t="shared" si="24"/>
        <v/>
      </c>
      <c r="AH391" s="76" t="str">
        <f t="shared" si="25"/>
        <v/>
      </c>
      <c r="AI391" s="76" t="str">
        <f t="shared" si="26"/>
        <v/>
      </c>
      <c r="AJ391" s="76" t="str">
        <f t="shared" si="27"/>
        <v/>
      </c>
      <c r="AK391" s="76" t="str">
        <f t="shared" si="28"/>
        <v/>
      </c>
      <c r="AL391" s="76" t="str">
        <f t="shared" si="29"/>
        <v/>
      </c>
      <c r="AM391" s="76" t="str">
        <f t="shared" si="30"/>
        <v/>
      </c>
      <c r="AN391" s="76" t="str">
        <f t="shared" si="31"/>
        <v/>
      </c>
      <c r="AO391" s="76" t="str">
        <f t="shared" si="32"/>
        <v/>
      </c>
      <c r="AP391" s="76" t="str">
        <f t="shared" si="33"/>
        <v/>
      </c>
    </row>
    <row r="392" ht="15.75" customHeight="1">
      <c r="A392" s="76" t="str">
        <f>IF('Manual Entry'!A364="","",'Manual Entry'!A364)</f>
        <v/>
      </c>
      <c r="B392" s="76" t="str">
        <f t="shared" si="3"/>
        <v/>
      </c>
      <c r="C392" s="76" t="str">
        <f t="shared" si="4"/>
        <v/>
      </c>
      <c r="D392" s="76" t="str">
        <f>'Manual Entry'!D364</f>
        <v/>
      </c>
      <c r="E392" s="76" t="str">
        <f>'Manual Entry'!B364</f>
        <v/>
      </c>
      <c r="F392" s="76" t="str">
        <f>'Manual Entry'!F364</f>
        <v/>
      </c>
      <c r="G392" s="76" t="str">
        <f>'Manual Entry'!G364</f>
        <v/>
      </c>
      <c r="H392" s="76" t="str">
        <f>'Manual Entry'!H364</f>
        <v/>
      </c>
      <c r="I392" s="78" t="str">
        <f>'Manual Entry'!I364</f>
        <v/>
      </c>
      <c r="J392" s="78" t="str">
        <f>'Manual Entry'!J364</f>
        <v/>
      </c>
      <c r="K392" s="78" t="str">
        <f>'Manual Entry'!K364</f>
        <v/>
      </c>
      <c r="L392" s="78" t="str">
        <f>'Manual Entry'!L364</f>
        <v/>
      </c>
      <c r="M392" s="78" t="str">
        <f>'Manual Entry'!M364</f>
        <v/>
      </c>
      <c r="N392" s="78" t="str">
        <f>'Manual Entry'!N364</f>
        <v/>
      </c>
      <c r="O392" s="76">
        <f t="shared" si="6"/>
        <v>0</v>
      </c>
      <c r="P392" s="76">
        <f t="shared" si="7"/>
        <v>0</v>
      </c>
      <c r="Q392" s="76">
        <f t="shared" si="8"/>
        <v>0</v>
      </c>
      <c r="R392" s="76">
        <f t="shared" si="9"/>
        <v>0</v>
      </c>
      <c r="S392" s="76" t="str">
        <f t="shared" si="10"/>
        <v/>
      </c>
      <c r="T392" s="76" t="str">
        <f t="shared" si="11"/>
        <v/>
      </c>
      <c r="U392" s="76" t="str">
        <f t="shared" si="12"/>
        <v/>
      </c>
      <c r="V392" s="76" t="str">
        <f t="shared" si="13"/>
        <v/>
      </c>
      <c r="W392" s="76" t="str">
        <f t="shared" si="14"/>
        <v/>
      </c>
      <c r="X392" s="76" t="str">
        <f t="shared" si="15"/>
        <v/>
      </c>
      <c r="Y392" s="76" t="str">
        <f t="shared" si="16"/>
        <v/>
      </c>
      <c r="Z392" s="76" t="str">
        <f t="shared" si="17"/>
        <v/>
      </c>
      <c r="AA392" s="76" t="str">
        <f t="shared" si="18"/>
        <v/>
      </c>
      <c r="AB392" s="76" t="str">
        <f t="shared" si="19"/>
        <v/>
      </c>
      <c r="AC392" s="76" t="str">
        <f t="shared" si="20"/>
        <v/>
      </c>
      <c r="AD392" s="76" t="str">
        <f t="shared" si="21"/>
        <v/>
      </c>
      <c r="AE392" s="76" t="str">
        <f t="shared" si="22"/>
        <v/>
      </c>
      <c r="AF392" s="76" t="str">
        <f t="shared" si="23"/>
        <v/>
      </c>
      <c r="AG392" s="76" t="str">
        <f t="shared" si="24"/>
        <v/>
      </c>
      <c r="AH392" s="76" t="str">
        <f t="shared" si="25"/>
        <v/>
      </c>
      <c r="AI392" s="76" t="str">
        <f t="shared" si="26"/>
        <v/>
      </c>
      <c r="AJ392" s="76" t="str">
        <f t="shared" si="27"/>
        <v/>
      </c>
      <c r="AK392" s="76" t="str">
        <f t="shared" si="28"/>
        <v/>
      </c>
      <c r="AL392" s="76" t="str">
        <f t="shared" si="29"/>
        <v/>
      </c>
      <c r="AM392" s="76" t="str">
        <f t="shared" si="30"/>
        <v/>
      </c>
      <c r="AN392" s="76" t="str">
        <f t="shared" si="31"/>
        <v/>
      </c>
      <c r="AO392" s="76" t="str">
        <f t="shared" si="32"/>
        <v/>
      </c>
      <c r="AP392" s="76" t="str">
        <f t="shared" si="33"/>
        <v/>
      </c>
    </row>
    <row r="393" ht="15.75" customHeight="1">
      <c r="A393" s="76" t="str">
        <f>IF('Manual Entry'!A365="","",'Manual Entry'!A365)</f>
        <v/>
      </c>
      <c r="B393" s="76" t="str">
        <f t="shared" si="3"/>
        <v/>
      </c>
      <c r="C393" s="76" t="str">
        <f t="shared" si="4"/>
        <v/>
      </c>
      <c r="D393" s="76" t="str">
        <f>'Manual Entry'!D365</f>
        <v/>
      </c>
      <c r="E393" s="76" t="str">
        <f>'Manual Entry'!B365</f>
        <v/>
      </c>
      <c r="F393" s="76" t="str">
        <f>'Manual Entry'!F365</f>
        <v/>
      </c>
      <c r="G393" s="76" t="str">
        <f>'Manual Entry'!G365</f>
        <v/>
      </c>
      <c r="H393" s="76" t="str">
        <f>'Manual Entry'!H365</f>
        <v/>
      </c>
      <c r="I393" s="78" t="str">
        <f>'Manual Entry'!I365</f>
        <v/>
      </c>
      <c r="J393" s="78" t="str">
        <f>'Manual Entry'!J365</f>
        <v/>
      </c>
      <c r="K393" s="78" t="str">
        <f>'Manual Entry'!K365</f>
        <v/>
      </c>
      <c r="L393" s="78" t="str">
        <f>'Manual Entry'!L365</f>
        <v/>
      </c>
      <c r="M393" s="78" t="str">
        <f>'Manual Entry'!M365</f>
        <v/>
      </c>
      <c r="N393" s="78" t="str">
        <f>'Manual Entry'!N365</f>
        <v/>
      </c>
      <c r="O393" s="76">
        <f t="shared" si="6"/>
        <v>0</v>
      </c>
      <c r="P393" s="76">
        <f t="shared" si="7"/>
        <v>0</v>
      </c>
      <c r="Q393" s="76">
        <f t="shared" si="8"/>
        <v>0</v>
      </c>
      <c r="R393" s="76">
        <f t="shared" si="9"/>
        <v>0</v>
      </c>
      <c r="S393" s="76" t="str">
        <f t="shared" si="10"/>
        <v/>
      </c>
      <c r="T393" s="76" t="str">
        <f t="shared" si="11"/>
        <v/>
      </c>
      <c r="U393" s="76" t="str">
        <f t="shared" si="12"/>
        <v/>
      </c>
      <c r="V393" s="76" t="str">
        <f t="shared" si="13"/>
        <v/>
      </c>
      <c r="W393" s="76" t="str">
        <f t="shared" si="14"/>
        <v/>
      </c>
      <c r="X393" s="76" t="str">
        <f t="shared" si="15"/>
        <v/>
      </c>
      <c r="Y393" s="76" t="str">
        <f t="shared" si="16"/>
        <v/>
      </c>
      <c r="Z393" s="76" t="str">
        <f t="shared" si="17"/>
        <v/>
      </c>
      <c r="AA393" s="76" t="str">
        <f t="shared" si="18"/>
        <v/>
      </c>
      <c r="AB393" s="76" t="str">
        <f t="shared" si="19"/>
        <v/>
      </c>
      <c r="AC393" s="76" t="str">
        <f t="shared" si="20"/>
        <v/>
      </c>
      <c r="AD393" s="76" t="str">
        <f t="shared" si="21"/>
        <v/>
      </c>
      <c r="AE393" s="76" t="str">
        <f t="shared" si="22"/>
        <v/>
      </c>
      <c r="AF393" s="76" t="str">
        <f t="shared" si="23"/>
        <v/>
      </c>
      <c r="AG393" s="76" t="str">
        <f t="shared" si="24"/>
        <v/>
      </c>
      <c r="AH393" s="76" t="str">
        <f t="shared" si="25"/>
        <v/>
      </c>
      <c r="AI393" s="76" t="str">
        <f t="shared" si="26"/>
        <v/>
      </c>
      <c r="AJ393" s="76" t="str">
        <f t="shared" si="27"/>
        <v/>
      </c>
      <c r="AK393" s="76" t="str">
        <f t="shared" si="28"/>
        <v/>
      </c>
      <c r="AL393" s="76" t="str">
        <f t="shared" si="29"/>
        <v/>
      </c>
      <c r="AM393" s="76" t="str">
        <f t="shared" si="30"/>
        <v/>
      </c>
      <c r="AN393" s="76" t="str">
        <f t="shared" si="31"/>
        <v/>
      </c>
      <c r="AO393" s="76" t="str">
        <f t="shared" si="32"/>
        <v/>
      </c>
      <c r="AP393" s="76" t="str">
        <f t="shared" si="33"/>
        <v/>
      </c>
    </row>
    <row r="394" ht="15.75" customHeight="1">
      <c r="A394" s="76" t="str">
        <f>IF('Manual Entry'!A366="","",'Manual Entry'!A366)</f>
        <v/>
      </c>
      <c r="B394" s="76" t="str">
        <f t="shared" si="3"/>
        <v/>
      </c>
      <c r="C394" s="76" t="str">
        <f t="shared" si="4"/>
        <v/>
      </c>
      <c r="D394" s="76" t="str">
        <f>'Manual Entry'!D366</f>
        <v/>
      </c>
      <c r="E394" s="76" t="str">
        <f>'Manual Entry'!B366</f>
        <v/>
      </c>
      <c r="F394" s="76" t="str">
        <f>'Manual Entry'!F366</f>
        <v/>
      </c>
      <c r="G394" s="76" t="str">
        <f>'Manual Entry'!G366</f>
        <v/>
      </c>
      <c r="H394" s="76" t="str">
        <f>'Manual Entry'!H366</f>
        <v/>
      </c>
      <c r="I394" s="78" t="str">
        <f>'Manual Entry'!I366</f>
        <v/>
      </c>
      <c r="J394" s="78" t="str">
        <f>'Manual Entry'!J366</f>
        <v/>
      </c>
      <c r="K394" s="78" t="str">
        <f>'Manual Entry'!K366</f>
        <v/>
      </c>
      <c r="L394" s="78" t="str">
        <f>'Manual Entry'!L366</f>
        <v/>
      </c>
      <c r="M394" s="78" t="str">
        <f>'Manual Entry'!M366</f>
        <v/>
      </c>
      <c r="N394" s="78" t="str">
        <f>'Manual Entry'!N366</f>
        <v/>
      </c>
      <c r="O394" s="76">
        <f t="shared" si="6"/>
        <v>0</v>
      </c>
      <c r="P394" s="76">
        <f t="shared" si="7"/>
        <v>0</v>
      </c>
      <c r="Q394" s="76">
        <f t="shared" si="8"/>
        <v>0</v>
      </c>
      <c r="R394" s="76">
        <f t="shared" si="9"/>
        <v>0</v>
      </c>
      <c r="S394" s="76" t="str">
        <f t="shared" si="10"/>
        <v/>
      </c>
      <c r="T394" s="76" t="str">
        <f t="shared" si="11"/>
        <v/>
      </c>
      <c r="U394" s="76" t="str">
        <f t="shared" si="12"/>
        <v/>
      </c>
      <c r="V394" s="76" t="str">
        <f t="shared" si="13"/>
        <v/>
      </c>
      <c r="W394" s="76" t="str">
        <f t="shared" si="14"/>
        <v/>
      </c>
      <c r="X394" s="76" t="str">
        <f t="shared" si="15"/>
        <v/>
      </c>
      <c r="Y394" s="76" t="str">
        <f t="shared" si="16"/>
        <v/>
      </c>
      <c r="Z394" s="76" t="str">
        <f t="shared" si="17"/>
        <v/>
      </c>
      <c r="AA394" s="76" t="str">
        <f t="shared" si="18"/>
        <v/>
      </c>
      <c r="AB394" s="76" t="str">
        <f t="shared" si="19"/>
        <v/>
      </c>
      <c r="AC394" s="76" t="str">
        <f t="shared" si="20"/>
        <v/>
      </c>
      <c r="AD394" s="76" t="str">
        <f t="shared" si="21"/>
        <v/>
      </c>
      <c r="AE394" s="76" t="str">
        <f t="shared" si="22"/>
        <v/>
      </c>
      <c r="AF394" s="76" t="str">
        <f t="shared" si="23"/>
        <v/>
      </c>
      <c r="AG394" s="76" t="str">
        <f t="shared" si="24"/>
        <v/>
      </c>
      <c r="AH394" s="76" t="str">
        <f t="shared" si="25"/>
        <v/>
      </c>
      <c r="AI394" s="76" t="str">
        <f t="shared" si="26"/>
        <v/>
      </c>
      <c r="AJ394" s="76" t="str">
        <f t="shared" si="27"/>
        <v/>
      </c>
      <c r="AK394" s="76" t="str">
        <f t="shared" si="28"/>
        <v/>
      </c>
      <c r="AL394" s="76" t="str">
        <f t="shared" si="29"/>
        <v/>
      </c>
      <c r="AM394" s="76" t="str">
        <f t="shared" si="30"/>
        <v/>
      </c>
      <c r="AN394" s="76" t="str">
        <f t="shared" si="31"/>
        <v/>
      </c>
      <c r="AO394" s="76" t="str">
        <f t="shared" si="32"/>
        <v/>
      </c>
      <c r="AP394" s="76" t="str">
        <f t="shared" si="33"/>
        <v/>
      </c>
    </row>
    <row r="395" ht="15.75" customHeight="1">
      <c r="A395" s="76" t="str">
        <f>IF('Manual Entry'!A367="","",'Manual Entry'!A367)</f>
        <v/>
      </c>
      <c r="B395" s="76" t="str">
        <f t="shared" si="3"/>
        <v/>
      </c>
      <c r="C395" s="76" t="str">
        <f t="shared" si="4"/>
        <v/>
      </c>
      <c r="D395" s="76" t="str">
        <f>'Manual Entry'!D367</f>
        <v/>
      </c>
      <c r="E395" s="76" t="str">
        <f>'Manual Entry'!B367</f>
        <v/>
      </c>
      <c r="F395" s="76" t="str">
        <f>'Manual Entry'!F367</f>
        <v/>
      </c>
      <c r="G395" s="76" t="str">
        <f>'Manual Entry'!G367</f>
        <v/>
      </c>
      <c r="H395" s="76" t="str">
        <f>'Manual Entry'!H367</f>
        <v/>
      </c>
      <c r="I395" s="78" t="str">
        <f>'Manual Entry'!I367</f>
        <v/>
      </c>
      <c r="J395" s="78" t="str">
        <f>'Manual Entry'!J367</f>
        <v/>
      </c>
      <c r="K395" s="78" t="str">
        <f>'Manual Entry'!K367</f>
        <v/>
      </c>
      <c r="L395" s="78" t="str">
        <f>'Manual Entry'!L367</f>
        <v/>
      </c>
      <c r="M395" s="78" t="str">
        <f>'Manual Entry'!M367</f>
        <v/>
      </c>
      <c r="N395" s="78" t="str">
        <f>'Manual Entry'!N367</f>
        <v/>
      </c>
      <c r="O395" s="76">
        <f t="shared" si="6"/>
        <v>0</v>
      </c>
      <c r="P395" s="76">
        <f t="shared" si="7"/>
        <v>0</v>
      </c>
      <c r="Q395" s="76">
        <f t="shared" si="8"/>
        <v>0</v>
      </c>
      <c r="R395" s="76">
        <f t="shared" si="9"/>
        <v>0</v>
      </c>
      <c r="S395" s="76" t="str">
        <f t="shared" si="10"/>
        <v/>
      </c>
      <c r="T395" s="76" t="str">
        <f t="shared" si="11"/>
        <v/>
      </c>
      <c r="U395" s="76" t="str">
        <f t="shared" si="12"/>
        <v/>
      </c>
      <c r="V395" s="76" t="str">
        <f t="shared" si="13"/>
        <v/>
      </c>
      <c r="W395" s="76" t="str">
        <f t="shared" si="14"/>
        <v/>
      </c>
      <c r="X395" s="76" t="str">
        <f t="shared" si="15"/>
        <v/>
      </c>
      <c r="Y395" s="76" t="str">
        <f t="shared" si="16"/>
        <v/>
      </c>
      <c r="Z395" s="76" t="str">
        <f t="shared" si="17"/>
        <v/>
      </c>
      <c r="AA395" s="76" t="str">
        <f t="shared" si="18"/>
        <v/>
      </c>
      <c r="AB395" s="76" t="str">
        <f t="shared" si="19"/>
        <v/>
      </c>
      <c r="AC395" s="76" t="str">
        <f t="shared" si="20"/>
        <v/>
      </c>
      <c r="AD395" s="76" t="str">
        <f t="shared" si="21"/>
        <v/>
      </c>
      <c r="AE395" s="76" t="str">
        <f t="shared" si="22"/>
        <v/>
      </c>
      <c r="AF395" s="76" t="str">
        <f t="shared" si="23"/>
        <v/>
      </c>
      <c r="AG395" s="76" t="str">
        <f t="shared" si="24"/>
        <v/>
      </c>
      <c r="AH395" s="76" t="str">
        <f t="shared" si="25"/>
        <v/>
      </c>
      <c r="AI395" s="76" t="str">
        <f t="shared" si="26"/>
        <v/>
      </c>
      <c r="AJ395" s="76" t="str">
        <f t="shared" si="27"/>
        <v/>
      </c>
      <c r="AK395" s="76" t="str">
        <f t="shared" si="28"/>
        <v/>
      </c>
      <c r="AL395" s="76" t="str">
        <f t="shared" si="29"/>
        <v/>
      </c>
      <c r="AM395" s="76" t="str">
        <f t="shared" si="30"/>
        <v/>
      </c>
      <c r="AN395" s="76" t="str">
        <f t="shared" si="31"/>
        <v/>
      </c>
      <c r="AO395" s="76" t="str">
        <f t="shared" si="32"/>
        <v/>
      </c>
      <c r="AP395" s="76" t="str">
        <f t="shared" si="33"/>
        <v/>
      </c>
    </row>
    <row r="396" ht="15.75" customHeight="1">
      <c r="A396" s="76" t="str">
        <f>IF('Manual Entry'!A368="","",'Manual Entry'!A368)</f>
        <v/>
      </c>
      <c r="B396" s="76" t="str">
        <f t="shared" si="3"/>
        <v/>
      </c>
      <c r="C396" s="76" t="str">
        <f t="shared" si="4"/>
        <v/>
      </c>
      <c r="D396" s="76" t="str">
        <f>'Manual Entry'!D368</f>
        <v/>
      </c>
      <c r="E396" s="76" t="str">
        <f>'Manual Entry'!B368</f>
        <v/>
      </c>
      <c r="F396" s="76" t="str">
        <f>'Manual Entry'!F368</f>
        <v/>
      </c>
      <c r="G396" s="76" t="str">
        <f>'Manual Entry'!G368</f>
        <v/>
      </c>
      <c r="H396" s="76" t="str">
        <f>'Manual Entry'!H368</f>
        <v/>
      </c>
      <c r="I396" s="78" t="str">
        <f>'Manual Entry'!I368</f>
        <v/>
      </c>
      <c r="J396" s="78" t="str">
        <f>'Manual Entry'!J368</f>
        <v/>
      </c>
      <c r="K396" s="78" t="str">
        <f>'Manual Entry'!K368</f>
        <v/>
      </c>
      <c r="L396" s="78" t="str">
        <f>'Manual Entry'!L368</f>
        <v/>
      </c>
      <c r="M396" s="78" t="str">
        <f>'Manual Entry'!M368</f>
        <v/>
      </c>
      <c r="N396" s="78" t="str">
        <f>'Manual Entry'!N368</f>
        <v/>
      </c>
      <c r="O396" s="76">
        <f t="shared" si="6"/>
        <v>0</v>
      </c>
      <c r="P396" s="76">
        <f t="shared" si="7"/>
        <v>0</v>
      </c>
      <c r="Q396" s="76">
        <f t="shared" si="8"/>
        <v>0</v>
      </c>
      <c r="R396" s="76">
        <f t="shared" si="9"/>
        <v>0</v>
      </c>
      <c r="S396" s="76" t="str">
        <f t="shared" si="10"/>
        <v/>
      </c>
      <c r="T396" s="76" t="str">
        <f t="shared" si="11"/>
        <v/>
      </c>
      <c r="U396" s="76" t="str">
        <f t="shared" si="12"/>
        <v/>
      </c>
      <c r="V396" s="76" t="str">
        <f t="shared" si="13"/>
        <v/>
      </c>
      <c r="W396" s="76" t="str">
        <f t="shared" si="14"/>
        <v/>
      </c>
      <c r="X396" s="76" t="str">
        <f t="shared" si="15"/>
        <v/>
      </c>
      <c r="Y396" s="76" t="str">
        <f t="shared" si="16"/>
        <v/>
      </c>
      <c r="Z396" s="76" t="str">
        <f t="shared" si="17"/>
        <v/>
      </c>
      <c r="AA396" s="76" t="str">
        <f t="shared" si="18"/>
        <v/>
      </c>
      <c r="AB396" s="76" t="str">
        <f t="shared" si="19"/>
        <v/>
      </c>
      <c r="AC396" s="76" t="str">
        <f t="shared" si="20"/>
        <v/>
      </c>
      <c r="AD396" s="76" t="str">
        <f t="shared" si="21"/>
        <v/>
      </c>
      <c r="AE396" s="76" t="str">
        <f t="shared" si="22"/>
        <v/>
      </c>
      <c r="AF396" s="76" t="str">
        <f t="shared" si="23"/>
        <v/>
      </c>
      <c r="AG396" s="76" t="str">
        <f t="shared" si="24"/>
        <v/>
      </c>
      <c r="AH396" s="76" t="str">
        <f t="shared" si="25"/>
        <v/>
      </c>
      <c r="AI396" s="76" t="str">
        <f t="shared" si="26"/>
        <v/>
      </c>
      <c r="AJ396" s="76" t="str">
        <f t="shared" si="27"/>
        <v/>
      </c>
      <c r="AK396" s="76" t="str">
        <f t="shared" si="28"/>
        <v/>
      </c>
      <c r="AL396" s="76" t="str">
        <f t="shared" si="29"/>
        <v/>
      </c>
      <c r="AM396" s="76" t="str">
        <f t="shared" si="30"/>
        <v/>
      </c>
      <c r="AN396" s="76" t="str">
        <f t="shared" si="31"/>
        <v/>
      </c>
      <c r="AO396" s="76" t="str">
        <f t="shared" si="32"/>
        <v/>
      </c>
      <c r="AP396" s="76" t="str">
        <f t="shared" si="33"/>
        <v/>
      </c>
    </row>
    <row r="397" ht="15.75" customHeight="1">
      <c r="A397" s="76" t="str">
        <f>IF('Manual Entry'!A369="","",'Manual Entry'!A369)</f>
        <v/>
      </c>
      <c r="B397" s="76" t="str">
        <f t="shared" si="3"/>
        <v/>
      </c>
      <c r="C397" s="76" t="str">
        <f t="shared" si="4"/>
        <v/>
      </c>
      <c r="D397" s="76" t="str">
        <f>'Manual Entry'!D369</f>
        <v/>
      </c>
      <c r="E397" s="76" t="str">
        <f>'Manual Entry'!B369</f>
        <v/>
      </c>
      <c r="F397" s="76" t="str">
        <f>'Manual Entry'!F369</f>
        <v/>
      </c>
      <c r="G397" s="76" t="str">
        <f>'Manual Entry'!G369</f>
        <v/>
      </c>
      <c r="H397" s="76" t="str">
        <f>'Manual Entry'!H369</f>
        <v/>
      </c>
      <c r="I397" s="78" t="str">
        <f>'Manual Entry'!I369</f>
        <v/>
      </c>
      <c r="J397" s="78" t="str">
        <f>'Manual Entry'!J369</f>
        <v/>
      </c>
      <c r="K397" s="78" t="str">
        <f>'Manual Entry'!K369</f>
        <v/>
      </c>
      <c r="L397" s="78" t="str">
        <f>'Manual Entry'!L369</f>
        <v/>
      </c>
      <c r="M397" s="78" t="str">
        <f>'Manual Entry'!M369</f>
        <v/>
      </c>
      <c r="N397" s="78" t="str">
        <f>'Manual Entry'!N369</f>
        <v/>
      </c>
      <c r="O397" s="76">
        <f t="shared" si="6"/>
        <v>0</v>
      </c>
      <c r="P397" s="76">
        <f t="shared" si="7"/>
        <v>0</v>
      </c>
      <c r="Q397" s="76">
        <f t="shared" si="8"/>
        <v>0</v>
      </c>
      <c r="R397" s="76">
        <f t="shared" si="9"/>
        <v>0</v>
      </c>
      <c r="S397" s="76" t="str">
        <f t="shared" si="10"/>
        <v/>
      </c>
      <c r="T397" s="76" t="str">
        <f t="shared" si="11"/>
        <v/>
      </c>
      <c r="U397" s="76" t="str">
        <f t="shared" si="12"/>
        <v/>
      </c>
      <c r="V397" s="76" t="str">
        <f t="shared" si="13"/>
        <v/>
      </c>
      <c r="W397" s="76" t="str">
        <f t="shared" si="14"/>
        <v/>
      </c>
      <c r="X397" s="76" t="str">
        <f t="shared" si="15"/>
        <v/>
      </c>
      <c r="Y397" s="76" t="str">
        <f t="shared" si="16"/>
        <v/>
      </c>
      <c r="Z397" s="76" t="str">
        <f t="shared" si="17"/>
        <v/>
      </c>
      <c r="AA397" s="76" t="str">
        <f t="shared" si="18"/>
        <v/>
      </c>
      <c r="AB397" s="76" t="str">
        <f t="shared" si="19"/>
        <v/>
      </c>
      <c r="AC397" s="76" t="str">
        <f t="shared" si="20"/>
        <v/>
      </c>
      <c r="AD397" s="76" t="str">
        <f t="shared" si="21"/>
        <v/>
      </c>
      <c r="AE397" s="76" t="str">
        <f t="shared" si="22"/>
        <v/>
      </c>
      <c r="AF397" s="76" t="str">
        <f t="shared" si="23"/>
        <v/>
      </c>
      <c r="AG397" s="76" t="str">
        <f t="shared" si="24"/>
        <v/>
      </c>
      <c r="AH397" s="76" t="str">
        <f t="shared" si="25"/>
        <v/>
      </c>
      <c r="AI397" s="76" t="str">
        <f t="shared" si="26"/>
        <v/>
      </c>
      <c r="AJ397" s="76" t="str">
        <f t="shared" si="27"/>
        <v/>
      </c>
      <c r="AK397" s="76" t="str">
        <f t="shared" si="28"/>
        <v/>
      </c>
      <c r="AL397" s="76" t="str">
        <f t="shared" si="29"/>
        <v/>
      </c>
      <c r="AM397" s="76" t="str">
        <f t="shared" si="30"/>
        <v/>
      </c>
      <c r="AN397" s="76" t="str">
        <f t="shared" si="31"/>
        <v/>
      </c>
      <c r="AO397" s="76" t="str">
        <f t="shared" si="32"/>
        <v/>
      </c>
      <c r="AP397" s="76" t="str">
        <f t="shared" si="33"/>
        <v/>
      </c>
    </row>
    <row r="398" ht="15.75" customHeight="1">
      <c r="A398" s="76" t="str">
        <f>IF('Manual Entry'!A370="","",'Manual Entry'!A370)</f>
        <v/>
      </c>
      <c r="B398" s="76" t="str">
        <f t="shared" si="3"/>
        <v/>
      </c>
      <c r="C398" s="76" t="str">
        <f t="shared" si="4"/>
        <v/>
      </c>
      <c r="D398" s="76" t="str">
        <f>'Manual Entry'!D370</f>
        <v/>
      </c>
      <c r="E398" s="76" t="str">
        <f>'Manual Entry'!B370</f>
        <v/>
      </c>
      <c r="F398" s="76" t="str">
        <f>'Manual Entry'!F370</f>
        <v/>
      </c>
      <c r="G398" s="76" t="str">
        <f>'Manual Entry'!G370</f>
        <v/>
      </c>
      <c r="H398" s="76" t="str">
        <f>'Manual Entry'!H370</f>
        <v/>
      </c>
      <c r="I398" s="78" t="str">
        <f>'Manual Entry'!I370</f>
        <v/>
      </c>
      <c r="J398" s="78" t="str">
        <f>'Manual Entry'!J370</f>
        <v/>
      </c>
      <c r="K398" s="78" t="str">
        <f>'Manual Entry'!K370</f>
        <v/>
      </c>
      <c r="L398" s="78" t="str">
        <f>'Manual Entry'!L370</f>
        <v/>
      </c>
      <c r="M398" s="78" t="str">
        <f>'Manual Entry'!M370</f>
        <v/>
      </c>
      <c r="N398" s="78" t="str">
        <f>'Manual Entry'!N370</f>
        <v/>
      </c>
      <c r="O398" s="76">
        <f t="shared" si="6"/>
        <v>0</v>
      </c>
      <c r="P398" s="76">
        <f t="shared" si="7"/>
        <v>0</v>
      </c>
      <c r="Q398" s="76">
        <f t="shared" si="8"/>
        <v>0</v>
      </c>
      <c r="R398" s="76">
        <f t="shared" si="9"/>
        <v>0</v>
      </c>
      <c r="S398" s="76" t="str">
        <f t="shared" si="10"/>
        <v/>
      </c>
      <c r="T398" s="76" t="str">
        <f t="shared" si="11"/>
        <v/>
      </c>
      <c r="U398" s="76" t="str">
        <f t="shared" si="12"/>
        <v/>
      </c>
      <c r="V398" s="76" t="str">
        <f t="shared" si="13"/>
        <v/>
      </c>
      <c r="W398" s="76" t="str">
        <f t="shared" si="14"/>
        <v/>
      </c>
      <c r="X398" s="76" t="str">
        <f t="shared" si="15"/>
        <v/>
      </c>
      <c r="Y398" s="76" t="str">
        <f t="shared" si="16"/>
        <v/>
      </c>
      <c r="Z398" s="76" t="str">
        <f t="shared" si="17"/>
        <v/>
      </c>
      <c r="AA398" s="76" t="str">
        <f t="shared" si="18"/>
        <v/>
      </c>
      <c r="AB398" s="76" t="str">
        <f t="shared" si="19"/>
        <v/>
      </c>
      <c r="AC398" s="76" t="str">
        <f t="shared" si="20"/>
        <v/>
      </c>
      <c r="AD398" s="76" t="str">
        <f t="shared" si="21"/>
        <v/>
      </c>
      <c r="AE398" s="76" t="str">
        <f t="shared" si="22"/>
        <v/>
      </c>
      <c r="AF398" s="76" t="str">
        <f t="shared" si="23"/>
        <v/>
      </c>
      <c r="AG398" s="76" t="str">
        <f t="shared" si="24"/>
        <v/>
      </c>
      <c r="AH398" s="76" t="str">
        <f t="shared" si="25"/>
        <v/>
      </c>
      <c r="AI398" s="76" t="str">
        <f t="shared" si="26"/>
        <v/>
      </c>
      <c r="AJ398" s="76" t="str">
        <f t="shared" si="27"/>
        <v/>
      </c>
      <c r="AK398" s="76" t="str">
        <f t="shared" si="28"/>
        <v/>
      </c>
      <c r="AL398" s="76" t="str">
        <f t="shared" si="29"/>
        <v/>
      </c>
      <c r="AM398" s="76" t="str">
        <f t="shared" si="30"/>
        <v/>
      </c>
      <c r="AN398" s="76" t="str">
        <f t="shared" si="31"/>
        <v/>
      </c>
      <c r="AO398" s="76" t="str">
        <f t="shared" si="32"/>
        <v/>
      </c>
      <c r="AP398" s="76" t="str">
        <f t="shared" si="33"/>
        <v/>
      </c>
    </row>
    <row r="399" ht="15.75" customHeight="1">
      <c r="A399" s="76" t="str">
        <f>IF('Manual Entry'!A371="","",'Manual Entry'!A371)</f>
        <v/>
      </c>
      <c r="B399" s="76" t="str">
        <f t="shared" si="3"/>
        <v/>
      </c>
      <c r="C399" s="76" t="str">
        <f t="shared" si="4"/>
        <v/>
      </c>
      <c r="D399" s="76" t="str">
        <f>'Manual Entry'!D371</f>
        <v/>
      </c>
      <c r="E399" s="76" t="str">
        <f>'Manual Entry'!B371</f>
        <v/>
      </c>
      <c r="F399" s="76" t="str">
        <f>'Manual Entry'!F371</f>
        <v/>
      </c>
      <c r="G399" s="76" t="str">
        <f>'Manual Entry'!G371</f>
        <v/>
      </c>
      <c r="H399" s="76" t="str">
        <f>'Manual Entry'!H371</f>
        <v/>
      </c>
      <c r="I399" s="78" t="str">
        <f>'Manual Entry'!I371</f>
        <v/>
      </c>
      <c r="J399" s="78" t="str">
        <f>'Manual Entry'!J371</f>
        <v/>
      </c>
      <c r="K399" s="78" t="str">
        <f>'Manual Entry'!K371</f>
        <v/>
      </c>
      <c r="L399" s="78" t="str">
        <f>'Manual Entry'!L371</f>
        <v/>
      </c>
      <c r="M399" s="78" t="str">
        <f>'Manual Entry'!M371</f>
        <v/>
      </c>
      <c r="N399" s="78" t="str">
        <f>'Manual Entry'!N371</f>
        <v/>
      </c>
      <c r="O399" s="76">
        <f t="shared" si="6"/>
        <v>0</v>
      </c>
      <c r="P399" s="76">
        <f t="shared" si="7"/>
        <v>0</v>
      </c>
      <c r="Q399" s="76">
        <f t="shared" si="8"/>
        <v>0</v>
      </c>
      <c r="R399" s="76">
        <f t="shared" si="9"/>
        <v>0</v>
      </c>
      <c r="S399" s="76" t="str">
        <f t="shared" si="10"/>
        <v/>
      </c>
      <c r="T399" s="76" t="str">
        <f t="shared" si="11"/>
        <v/>
      </c>
      <c r="U399" s="76" t="str">
        <f t="shared" si="12"/>
        <v/>
      </c>
      <c r="V399" s="76" t="str">
        <f t="shared" si="13"/>
        <v/>
      </c>
      <c r="W399" s="76" t="str">
        <f t="shared" si="14"/>
        <v/>
      </c>
      <c r="X399" s="76" t="str">
        <f t="shared" si="15"/>
        <v/>
      </c>
      <c r="Y399" s="76" t="str">
        <f t="shared" si="16"/>
        <v/>
      </c>
      <c r="Z399" s="76" t="str">
        <f t="shared" si="17"/>
        <v/>
      </c>
      <c r="AA399" s="76" t="str">
        <f t="shared" si="18"/>
        <v/>
      </c>
      <c r="AB399" s="76" t="str">
        <f t="shared" si="19"/>
        <v/>
      </c>
      <c r="AC399" s="76" t="str">
        <f t="shared" si="20"/>
        <v/>
      </c>
      <c r="AD399" s="76" t="str">
        <f t="shared" si="21"/>
        <v/>
      </c>
      <c r="AE399" s="76" t="str">
        <f t="shared" si="22"/>
        <v/>
      </c>
      <c r="AF399" s="76" t="str">
        <f t="shared" si="23"/>
        <v/>
      </c>
      <c r="AG399" s="76" t="str">
        <f t="shared" si="24"/>
        <v/>
      </c>
      <c r="AH399" s="76" t="str">
        <f t="shared" si="25"/>
        <v/>
      </c>
      <c r="AI399" s="76" t="str">
        <f t="shared" si="26"/>
        <v/>
      </c>
      <c r="AJ399" s="76" t="str">
        <f t="shared" si="27"/>
        <v/>
      </c>
      <c r="AK399" s="76" t="str">
        <f t="shared" si="28"/>
        <v/>
      </c>
      <c r="AL399" s="76" t="str">
        <f t="shared" si="29"/>
        <v/>
      </c>
      <c r="AM399" s="76" t="str">
        <f t="shared" si="30"/>
        <v/>
      </c>
      <c r="AN399" s="76" t="str">
        <f t="shared" si="31"/>
        <v/>
      </c>
      <c r="AO399" s="76" t="str">
        <f t="shared" si="32"/>
        <v/>
      </c>
      <c r="AP399" s="76" t="str">
        <f t="shared" si="33"/>
        <v/>
      </c>
    </row>
    <row r="400" ht="15.75" customHeight="1">
      <c r="A400" s="76" t="str">
        <f>IF('Manual Entry'!A372="","",'Manual Entry'!A372)</f>
        <v/>
      </c>
      <c r="B400" s="76" t="str">
        <f t="shared" si="3"/>
        <v/>
      </c>
      <c r="C400" s="76" t="str">
        <f t="shared" si="4"/>
        <v/>
      </c>
      <c r="D400" s="76" t="str">
        <f>'Manual Entry'!D372</f>
        <v/>
      </c>
      <c r="E400" s="76" t="str">
        <f>'Manual Entry'!B372</f>
        <v/>
      </c>
      <c r="F400" s="76" t="str">
        <f>'Manual Entry'!F372</f>
        <v/>
      </c>
      <c r="G400" s="76" t="str">
        <f>'Manual Entry'!G372</f>
        <v/>
      </c>
      <c r="H400" s="76" t="str">
        <f>'Manual Entry'!H372</f>
        <v/>
      </c>
      <c r="I400" s="78" t="str">
        <f>'Manual Entry'!I372</f>
        <v/>
      </c>
      <c r="J400" s="78" t="str">
        <f>'Manual Entry'!J372</f>
        <v/>
      </c>
      <c r="K400" s="78" t="str">
        <f>'Manual Entry'!K372</f>
        <v/>
      </c>
      <c r="L400" s="78" t="str">
        <f>'Manual Entry'!L372</f>
        <v/>
      </c>
      <c r="M400" s="78" t="str">
        <f>'Manual Entry'!M372</f>
        <v/>
      </c>
      <c r="N400" s="78" t="str">
        <f>'Manual Entry'!N372</f>
        <v/>
      </c>
      <c r="O400" s="76">
        <f t="shared" si="6"/>
        <v>0</v>
      </c>
      <c r="P400" s="76">
        <f t="shared" si="7"/>
        <v>0</v>
      </c>
      <c r="Q400" s="76">
        <f t="shared" si="8"/>
        <v>0</v>
      </c>
      <c r="R400" s="76">
        <f t="shared" si="9"/>
        <v>0</v>
      </c>
      <c r="S400" s="76" t="str">
        <f t="shared" si="10"/>
        <v/>
      </c>
      <c r="T400" s="76" t="str">
        <f t="shared" si="11"/>
        <v/>
      </c>
      <c r="U400" s="76" t="str">
        <f t="shared" si="12"/>
        <v/>
      </c>
      <c r="V400" s="76" t="str">
        <f t="shared" si="13"/>
        <v/>
      </c>
      <c r="W400" s="76" t="str">
        <f t="shared" si="14"/>
        <v/>
      </c>
      <c r="X400" s="76" t="str">
        <f t="shared" si="15"/>
        <v/>
      </c>
      <c r="Y400" s="76" t="str">
        <f t="shared" si="16"/>
        <v/>
      </c>
      <c r="Z400" s="76" t="str">
        <f t="shared" si="17"/>
        <v/>
      </c>
      <c r="AA400" s="76" t="str">
        <f t="shared" si="18"/>
        <v/>
      </c>
      <c r="AB400" s="76" t="str">
        <f t="shared" si="19"/>
        <v/>
      </c>
      <c r="AC400" s="76" t="str">
        <f t="shared" si="20"/>
        <v/>
      </c>
      <c r="AD400" s="76" t="str">
        <f t="shared" si="21"/>
        <v/>
      </c>
      <c r="AE400" s="76" t="str">
        <f t="shared" si="22"/>
        <v/>
      </c>
      <c r="AF400" s="76" t="str">
        <f t="shared" si="23"/>
        <v/>
      </c>
      <c r="AG400" s="76" t="str">
        <f t="shared" si="24"/>
        <v/>
      </c>
      <c r="AH400" s="76" t="str">
        <f t="shared" si="25"/>
        <v/>
      </c>
      <c r="AI400" s="76" t="str">
        <f t="shared" si="26"/>
        <v/>
      </c>
      <c r="AJ400" s="76" t="str">
        <f t="shared" si="27"/>
        <v/>
      </c>
      <c r="AK400" s="76" t="str">
        <f t="shared" si="28"/>
        <v/>
      </c>
      <c r="AL400" s="76" t="str">
        <f t="shared" si="29"/>
        <v/>
      </c>
      <c r="AM400" s="76" t="str">
        <f t="shared" si="30"/>
        <v/>
      </c>
      <c r="AN400" s="76" t="str">
        <f t="shared" si="31"/>
        <v/>
      </c>
      <c r="AO400" s="76" t="str">
        <f t="shared" si="32"/>
        <v/>
      </c>
      <c r="AP400" s="76" t="str">
        <f t="shared" si="33"/>
        <v/>
      </c>
    </row>
    <row r="401" ht="15.75" customHeight="1">
      <c r="A401" s="76" t="str">
        <f>IF('Manual Entry'!A373="","",'Manual Entry'!A373)</f>
        <v/>
      </c>
      <c r="B401" s="76" t="str">
        <f t="shared" si="3"/>
        <v/>
      </c>
      <c r="C401" s="76" t="str">
        <f t="shared" si="4"/>
        <v/>
      </c>
      <c r="D401" s="76" t="str">
        <f>'Manual Entry'!D373</f>
        <v/>
      </c>
      <c r="E401" s="76" t="str">
        <f>'Manual Entry'!B373</f>
        <v/>
      </c>
      <c r="F401" s="76" t="str">
        <f>'Manual Entry'!F373</f>
        <v/>
      </c>
      <c r="G401" s="76" t="str">
        <f>'Manual Entry'!G373</f>
        <v/>
      </c>
      <c r="H401" s="76" t="str">
        <f>'Manual Entry'!H373</f>
        <v/>
      </c>
      <c r="I401" s="78" t="str">
        <f>'Manual Entry'!I373</f>
        <v/>
      </c>
      <c r="J401" s="78" t="str">
        <f>'Manual Entry'!J373</f>
        <v/>
      </c>
      <c r="K401" s="78" t="str">
        <f>'Manual Entry'!K373</f>
        <v/>
      </c>
      <c r="L401" s="78" t="str">
        <f>'Manual Entry'!L373</f>
        <v/>
      </c>
      <c r="M401" s="78" t="str">
        <f>'Manual Entry'!M373</f>
        <v/>
      </c>
      <c r="N401" s="78" t="str">
        <f>'Manual Entry'!N373</f>
        <v/>
      </c>
      <c r="O401" s="76">
        <f t="shared" si="6"/>
        <v>0</v>
      </c>
      <c r="P401" s="76">
        <f t="shared" si="7"/>
        <v>0</v>
      </c>
      <c r="Q401" s="76">
        <f t="shared" si="8"/>
        <v>0</v>
      </c>
      <c r="R401" s="76">
        <f t="shared" si="9"/>
        <v>0</v>
      </c>
      <c r="S401" s="76" t="str">
        <f t="shared" si="10"/>
        <v/>
      </c>
      <c r="T401" s="76" t="str">
        <f t="shared" si="11"/>
        <v/>
      </c>
      <c r="U401" s="76" t="str">
        <f t="shared" si="12"/>
        <v/>
      </c>
      <c r="V401" s="76" t="str">
        <f t="shared" si="13"/>
        <v/>
      </c>
      <c r="W401" s="76" t="str">
        <f t="shared" si="14"/>
        <v/>
      </c>
      <c r="X401" s="76" t="str">
        <f t="shared" si="15"/>
        <v/>
      </c>
      <c r="Y401" s="76" t="str">
        <f t="shared" si="16"/>
        <v/>
      </c>
      <c r="Z401" s="76" t="str">
        <f t="shared" si="17"/>
        <v/>
      </c>
      <c r="AA401" s="76" t="str">
        <f t="shared" si="18"/>
        <v/>
      </c>
      <c r="AB401" s="76" t="str">
        <f t="shared" si="19"/>
        <v/>
      </c>
      <c r="AC401" s="76" t="str">
        <f t="shared" si="20"/>
        <v/>
      </c>
      <c r="AD401" s="76" t="str">
        <f t="shared" si="21"/>
        <v/>
      </c>
      <c r="AE401" s="76" t="str">
        <f t="shared" si="22"/>
        <v/>
      </c>
      <c r="AF401" s="76" t="str">
        <f t="shared" si="23"/>
        <v/>
      </c>
      <c r="AG401" s="76" t="str">
        <f t="shared" si="24"/>
        <v/>
      </c>
      <c r="AH401" s="76" t="str">
        <f t="shared" si="25"/>
        <v/>
      </c>
      <c r="AI401" s="76" t="str">
        <f t="shared" si="26"/>
        <v/>
      </c>
      <c r="AJ401" s="76" t="str">
        <f t="shared" si="27"/>
        <v/>
      </c>
      <c r="AK401" s="76" t="str">
        <f t="shared" si="28"/>
        <v/>
      </c>
      <c r="AL401" s="76" t="str">
        <f t="shared" si="29"/>
        <v/>
      </c>
      <c r="AM401" s="76" t="str">
        <f t="shared" si="30"/>
        <v/>
      </c>
      <c r="AN401" s="76" t="str">
        <f t="shared" si="31"/>
        <v/>
      </c>
      <c r="AO401" s="76" t="str">
        <f t="shared" si="32"/>
        <v/>
      </c>
      <c r="AP401" s="76" t="str">
        <f t="shared" si="33"/>
        <v/>
      </c>
    </row>
    <row r="402" ht="15.75" customHeight="1">
      <c r="A402" s="76" t="str">
        <f>IF('Manual Entry'!A374="","",'Manual Entry'!A374)</f>
        <v/>
      </c>
      <c r="B402" s="76" t="str">
        <f t="shared" si="3"/>
        <v/>
      </c>
      <c r="C402" s="76" t="str">
        <f t="shared" si="4"/>
        <v/>
      </c>
      <c r="D402" s="76" t="str">
        <f>'Manual Entry'!D374</f>
        <v/>
      </c>
      <c r="E402" s="76" t="str">
        <f>'Manual Entry'!B374</f>
        <v/>
      </c>
      <c r="F402" s="76" t="str">
        <f>'Manual Entry'!F374</f>
        <v/>
      </c>
      <c r="G402" s="76" t="str">
        <f>'Manual Entry'!G374</f>
        <v/>
      </c>
      <c r="H402" s="76" t="str">
        <f>'Manual Entry'!H374</f>
        <v/>
      </c>
      <c r="I402" s="78" t="str">
        <f>'Manual Entry'!I374</f>
        <v/>
      </c>
      <c r="J402" s="78" t="str">
        <f>'Manual Entry'!J374</f>
        <v/>
      </c>
      <c r="K402" s="78" t="str">
        <f>'Manual Entry'!K374</f>
        <v/>
      </c>
      <c r="L402" s="78" t="str">
        <f>'Manual Entry'!L374</f>
        <v/>
      </c>
      <c r="M402" s="78" t="str">
        <f>'Manual Entry'!M374</f>
        <v/>
      </c>
      <c r="N402" s="78" t="str">
        <f>'Manual Entry'!N374</f>
        <v/>
      </c>
      <c r="O402" s="76">
        <f t="shared" si="6"/>
        <v>0</v>
      </c>
      <c r="P402" s="76">
        <f t="shared" si="7"/>
        <v>0</v>
      </c>
      <c r="Q402" s="76">
        <f t="shared" si="8"/>
        <v>0</v>
      </c>
      <c r="R402" s="76">
        <f t="shared" si="9"/>
        <v>0</v>
      </c>
      <c r="S402" s="76" t="str">
        <f t="shared" si="10"/>
        <v/>
      </c>
      <c r="T402" s="76" t="str">
        <f t="shared" si="11"/>
        <v/>
      </c>
      <c r="U402" s="76" t="str">
        <f t="shared" si="12"/>
        <v/>
      </c>
      <c r="V402" s="76" t="str">
        <f t="shared" si="13"/>
        <v/>
      </c>
      <c r="W402" s="76" t="str">
        <f t="shared" si="14"/>
        <v/>
      </c>
      <c r="X402" s="76" t="str">
        <f t="shared" si="15"/>
        <v/>
      </c>
      <c r="Y402" s="76" t="str">
        <f t="shared" si="16"/>
        <v/>
      </c>
      <c r="Z402" s="76" t="str">
        <f t="shared" si="17"/>
        <v/>
      </c>
      <c r="AA402" s="76" t="str">
        <f t="shared" si="18"/>
        <v/>
      </c>
      <c r="AB402" s="76" t="str">
        <f t="shared" si="19"/>
        <v/>
      </c>
      <c r="AC402" s="76" t="str">
        <f t="shared" si="20"/>
        <v/>
      </c>
      <c r="AD402" s="76" t="str">
        <f t="shared" si="21"/>
        <v/>
      </c>
      <c r="AE402" s="76" t="str">
        <f t="shared" si="22"/>
        <v/>
      </c>
      <c r="AF402" s="76" t="str">
        <f t="shared" si="23"/>
        <v/>
      </c>
      <c r="AG402" s="76" t="str">
        <f t="shared" si="24"/>
        <v/>
      </c>
      <c r="AH402" s="76" t="str">
        <f t="shared" si="25"/>
        <v/>
      </c>
      <c r="AI402" s="76" t="str">
        <f t="shared" si="26"/>
        <v/>
      </c>
      <c r="AJ402" s="76" t="str">
        <f t="shared" si="27"/>
        <v/>
      </c>
      <c r="AK402" s="76" t="str">
        <f t="shared" si="28"/>
        <v/>
      </c>
      <c r="AL402" s="76" t="str">
        <f t="shared" si="29"/>
        <v/>
      </c>
      <c r="AM402" s="76" t="str">
        <f t="shared" si="30"/>
        <v/>
      </c>
      <c r="AN402" s="76" t="str">
        <f t="shared" si="31"/>
        <v/>
      </c>
      <c r="AO402" s="76" t="str">
        <f t="shared" si="32"/>
        <v/>
      </c>
      <c r="AP402" s="76" t="str">
        <f t="shared" si="33"/>
        <v/>
      </c>
    </row>
    <row r="403" ht="15.75" customHeight="1">
      <c r="A403" s="76" t="str">
        <f>IF('Manual Entry'!A375="","",'Manual Entry'!A375)</f>
        <v/>
      </c>
      <c r="B403" s="76" t="str">
        <f t="shared" si="3"/>
        <v/>
      </c>
      <c r="C403" s="76" t="str">
        <f t="shared" si="4"/>
        <v/>
      </c>
      <c r="D403" s="76" t="str">
        <f>'Manual Entry'!D375</f>
        <v/>
      </c>
      <c r="E403" s="76" t="str">
        <f>'Manual Entry'!B375</f>
        <v/>
      </c>
      <c r="F403" s="76" t="str">
        <f>'Manual Entry'!F375</f>
        <v/>
      </c>
      <c r="G403" s="76" t="str">
        <f>'Manual Entry'!G375</f>
        <v/>
      </c>
      <c r="H403" s="76" t="str">
        <f>'Manual Entry'!H375</f>
        <v/>
      </c>
      <c r="I403" s="78" t="str">
        <f>'Manual Entry'!I375</f>
        <v/>
      </c>
      <c r="J403" s="78" t="str">
        <f>'Manual Entry'!J375</f>
        <v/>
      </c>
      <c r="K403" s="78" t="str">
        <f>'Manual Entry'!K375</f>
        <v/>
      </c>
      <c r="L403" s="78" t="str">
        <f>'Manual Entry'!L375</f>
        <v/>
      </c>
      <c r="M403" s="78" t="str">
        <f>'Manual Entry'!M375</f>
        <v/>
      </c>
      <c r="N403" s="78" t="str">
        <f>'Manual Entry'!N375</f>
        <v/>
      </c>
      <c r="O403" s="76">
        <f t="shared" si="6"/>
        <v>0</v>
      </c>
      <c r="P403" s="76">
        <f t="shared" si="7"/>
        <v>0</v>
      </c>
      <c r="Q403" s="76">
        <f t="shared" si="8"/>
        <v>0</v>
      </c>
      <c r="R403" s="76">
        <f t="shared" si="9"/>
        <v>0</v>
      </c>
      <c r="S403" s="76" t="str">
        <f t="shared" si="10"/>
        <v/>
      </c>
      <c r="T403" s="76" t="str">
        <f t="shared" si="11"/>
        <v/>
      </c>
      <c r="U403" s="76" t="str">
        <f t="shared" si="12"/>
        <v/>
      </c>
      <c r="V403" s="76" t="str">
        <f t="shared" si="13"/>
        <v/>
      </c>
      <c r="W403" s="76" t="str">
        <f t="shared" si="14"/>
        <v/>
      </c>
      <c r="X403" s="76" t="str">
        <f t="shared" si="15"/>
        <v/>
      </c>
      <c r="Y403" s="76" t="str">
        <f t="shared" si="16"/>
        <v/>
      </c>
      <c r="Z403" s="76" t="str">
        <f t="shared" si="17"/>
        <v/>
      </c>
      <c r="AA403" s="76" t="str">
        <f t="shared" si="18"/>
        <v/>
      </c>
      <c r="AB403" s="76" t="str">
        <f t="shared" si="19"/>
        <v/>
      </c>
      <c r="AC403" s="76" t="str">
        <f t="shared" si="20"/>
        <v/>
      </c>
      <c r="AD403" s="76" t="str">
        <f t="shared" si="21"/>
        <v/>
      </c>
      <c r="AE403" s="76" t="str">
        <f t="shared" si="22"/>
        <v/>
      </c>
      <c r="AF403" s="76" t="str">
        <f t="shared" si="23"/>
        <v/>
      </c>
      <c r="AG403" s="76" t="str">
        <f t="shared" si="24"/>
        <v/>
      </c>
      <c r="AH403" s="76" t="str">
        <f t="shared" si="25"/>
        <v/>
      </c>
      <c r="AI403" s="76" t="str">
        <f t="shared" si="26"/>
        <v/>
      </c>
      <c r="AJ403" s="76" t="str">
        <f t="shared" si="27"/>
        <v/>
      </c>
      <c r="AK403" s="76" t="str">
        <f t="shared" si="28"/>
        <v/>
      </c>
      <c r="AL403" s="76" t="str">
        <f t="shared" si="29"/>
        <v/>
      </c>
      <c r="AM403" s="76" t="str">
        <f t="shared" si="30"/>
        <v/>
      </c>
      <c r="AN403" s="76" t="str">
        <f t="shared" si="31"/>
        <v/>
      </c>
      <c r="AO403" s="76" t="str">
        <f t="shared" si="32"/>
        <v/>
      </c>
      <c r="AP403" s="76" t="str">
        <f t="shared" si="33"/>
        <v/>
      </c>
    </row>
    <row r="404" ht="15.75" customHeight="1">
      <c r="A404" s="76" t="str">
        <f>IF('Manual Entry'!A376="","",'Manual Entry'!A376)</f>
        <v/>
      </c>
      <c r="B404" s="76" t="str">
        <f t="shared" si="3"/>
        <v/>
      </c>
      <c r="C404" s="76" t="str">
        <f t="shared" si="4"/>
        <v/>
      </c>
      <c r="D404" s="76" t="str">
        <f>'Manual Entry'!D376</f>
        <v/>
      </c>
      <c r="E404" s="76" t="str">
        <f>'Manual Entry'!B376</f>
        <v/>
      </c>
      <c r="F404" s="76" t="str">
        <f>'Manual Entry'!F376</f>
        <v/>
      </c>
      <c r="G404" s="76" t="str">
        <f>'Manual Entry'!G376</f>
        <v/>
      </c>
      <c r="H404" s="76" t="str">
        <f>'Manual Entry'!H376</f>
        <v/>
      </c>
      <c r="I404" s="78" t="str">
        <f>'Manual Entry'!I376</f>
        <v/>
      </c>
      <c r="J404" s="78" t="str">
        <f>'Manual Entry'!J376</f>
        <v/>
      </c>
      <c r="K404" s="78" t="str">
        <f>'Manual Entry'!K376</f>
        <v/>
      </c>
      <c r="L404" s="78" t="str">
        <f>'Manual Entry'!L376</f>
        <v/>
      </c>
      <c r="M404" s="78" t="str">
        <f>'Manual Entry'!M376</f>
        <v/>
      </c>
      <c r="N404" s="78" t="str">
        <f>'Manual Entry'!N376</f>
        <v/>
      </c>
      <c r="O404" s="76">
        <f t="shared" si="6"/>
        <v>0</v>
      </c>
      <c r="P404" s="76">
        <f t="shared" si="7"/>
        <v>0</v>
      </c>
      <c r="Q404" s="76">
        <f t="shared" si="8"/>
        <v>0</v>
      </c>
      <c r="R404" s="76">
        <f t="shared" si="9"/>
        <v>0</v>
      </c>
      <c r="S404" s="76" t="str">
        <f t="shared" si="10"/>
        <v/>
      </c>
      <c r="T404" s="76" t="str">
        <f t="shared" si="11"/>
        <v/>
      </c>
      <c r="U404" s="76" t="str">
        <f t="shared" si="12"/>
        <v/>
      </c>
      <c r="V404" s="76" t="str">
        <f t="shared" si="13"/>
        <v/>
      </c>
      <c r="W404" s="76" t="str">
        <f t="shared" si="14"/>
        <v/>
      </c>
      <c r="X404" s="76" t="str">
        <f t="shared" si="15"/>
        <v/>
      </c>
      <c r="Y404" s="76" t="str">
        <f t="shared" si="16"/>
        <v/>
      </c>
      <c r="Z404" s="76" t="str">
        <f t="shared" si="17"/>
        <v/>
      </c>
      <c r="AA404" s="76" t="str">
        <f t="shared" si="18"/>
        <v/>
      </c>
      <c r="AB404" s="76" t="str">
        <f t="shared" si="19"/>
        <v/>
      </c>
      <c r="AC404" s="76" t="str">
        <f t="shared" si="20"/>
        <v/>
      </c>
      <c r="AD404" s="76" t="str">
        <f t="shared" si="21"/>
        <v/>
      </c>
      <c r="AE404" s="76" t="str">
        <f t="shared" si="22"/>
        <v/>
      </c>
      <c r="AF404" s="76" t="str">
        <f t="shared" si="23"/>
        <v/>
      </c>
      <c r="AG404" s="76" t="str">
        <f t="shared" si="24"/>
        <v/>
      </c>
      <c r="AH404" s="76" t="str">
        <f t="shared" si="25"/>
        <v/>
      </c>
      <c r="AI404" s="76" t="str">
        <f t="shared" si="26"/>
        <v/>
      </c>
      <c r="AJ404" s="76" t="str">
        <f t="shared" si="27"/>
        <v/>
      </c>
      <c r="AK404" s="76" t="str">
        <f t="shared" si="28"/>
        <v/>
      </c>
      <c r="AL404" s="76" t="str">
        <f t="shared" si="29"/>
        <v/>
      </c>
      <c r="AM404" s="76" t="str">
        <f t="shared" si="30"/>
        <v/>
      </c>
      <c r="AN404" s="76" t="str">
        <f t="shared" si="31"/>
        <v/>
      </c>
      <c r="AO404" s="76" t="str">
        <f t="shared" si="32"/>
        <v/>
      </c>
      <c r="AP404" s="76" t="str">
        <f t="shared" si="33"/>
        <v/>
      </c>
    </row>
    <row r="405" ht="15.75" customHeight="1">
      <c r="A405" s="76" t="str">
        <f>IF('Manual Entry'!A377="","",'Manual Entry'!A377)</f>
        <v/>
      </c>
      <c r="B405" s="76" t="str">
        <f t="shared" si="3"/>
        <v/>
      </c>
      <c r="C405" s="76" t="str">
        <f t="shared" si="4"/>
        <v/>
      </c>
      <c r="D405" s="76" t="str">
        <f>'Manual Entry'!D377</f>
        <v/>
      </c>
      <c r="E405" s="76" t="str">
        <f>'Manual Entry'!B377</f>
        <v/>
      </c>
      <c r="F405" s="76" t="str">
        <f>'Manual Entry'!F377</f>
        <v/>
      </c>
      <c r="G405" s="76" t="str">
        <f>'Manual Entry'!G377</f>
        <v/>
      </c>
      <c r="H405" s="76" t="str">
        <f>'Manual Entry'!H377</f>
        <v/>
      </c>
      <c r="I405" s="78" t="str">
        <f>'Manual Entry'!I377</f>
        <v/>
      </c>
      <c r="J405" s="78" t="str">
        <f>'Manual Entry'!J377</f>
        <v/>
      </c>
      <c r="K405" s="78" t="str">
        <f>'Manual Entry'!K377</f>
        <v/>
      </c>
      <c r="L405" s="78" t="str">
        <f>'Manual Entry'!L377</f>
        <v/>
      </c>
      <c r="M405" s="78" t="str">
        <f>'Manual Entry'!M377</f>
        <v/>
      </c>
      <c r="N405" s="78" t="str">
        <f>'Manual Entry'!N377</f>
        <v/>
      </c>
      <c r="O405" s="76">
        <f t="shared" si="6"/>
        <v>0</v>
      </c>
      <c r="P405" s="76">
        <f t="shared" si="7"/>
        <v>0</v>
      </c>
      <c r="Q405" s="76">
        <f t="shared" si="8"/>
        <v>0</v>
      </c>
      <c r="R405" s="76">
        <f t="shared" si="9"/>
        <v>0</v>
      </c>
      <c r="S405" s="76" t="str">
        <f t="shared" si="10"/>
        <v/>
      </c>
      <c r="T405" s="76" t="str">
        <f t="shared" si="11"/>
        <v/>
      </c>
      <c r="U405" s="76" t="str">
        <f t="shared" si="12"/>
        <v/>
      </c>
      <c r="V405" s="76" t="str">
        <f t="shared" si="13"/>
        <v/>
      </c>
      <c r="W405" s="76" t="str">
        <f t="shared" si="14"/>
        <v/>
      </c>
      <c r="X405" s="76" t="str">
        <f t="shared" si="15"/>
        <v/>
      </c>
      <c r="Y405" s="76" t="str">
        <f t="shared" si="16"/>
        <v/>
      </c>
      <c r="Z405" s="76" t="str">
        <f t="shared" si="17"/>
        <v/>
      </c>
      <c r="AA405" s="76" t="str">
        <f t="shared" si="18"/>
        <v/>
      </c>
      <c r="AB405" s="76" t="str">
        <f t="shared" si="19"/>
        <v/>
      </c>
      <c r="AC405" s="76" t="str">
        <f t="shared" si="20"/>
        <v/>
      </c>
      <c r="AD405" s="76" t="str">
        <f t="shared" si="21"/>
        <v/>
      </c>
      <c r="AE405" s="76" t="str">
        <f t="shared" si="22"/>
        <v/>
      </c>
      <c r="AF405" s="76" t="str">
        <f t="shared" si="23"/>
        <v/>
      </c>
      <c r="AG405" s="76" t="str">
        <f t="shared" si="24"/>
        <v/>
      </c>
      <c r="AH405" s="76" t="str">
        <f t="shared" si="25"/>
        <v/>
      </c>
      <c r="AI405" s="76" t="str">
        <f t="shared" si="26"/>
        <v/>
      </c>
      <c r="AJ405" s="76" t="str">
        <f t="shared" si="27"/>
        <v/>
      </c>
      <c r="AK405" s="76" t="str">
        <f t="shared" si="28"/>
        <v/>
      </c>
      <c r="AL405" s="76" t="str">
        <f t="shared" si="29"/>
        <v/>
      </c>
      <c r="AM405" s="76" t="str">
        <f t="shared" si="30"/>
        <v/>
      </c>
      <c r="AN405" s="76" t="str">
        <f t="shared" si="31"/>
        <v/>
      </c>
      <c r="AO405" s="76" t="str">
        <f t="shared" si="32"/>
        <v/>
      </c>
      <c r="AP405" s="76" t="str">
        <f t="shared" si="33"/>
        <v/>
      </c>
    </row>
    <row r="406" ht="15.75" customHeight="1">
      <c r="A406" s="76" t="str">
        <f>IF('Manual Entry'!A378="","",'Manual Entry'!A378)</f>
        <v/>
      </c>
      <c r="B406" s="76" t="str">
        <f t="shared" si="3"/>
        <v/>
      </c>
      <c r="C406" s="76" t="str">
        <f t="shared" si="4"/>
        <v/>
      </c>
      <c r="D406" s="76" t="str">
        <f>'Manual Entry'!D378</f>
        <v/>
      </c>
      <c r="E406" s="76" t="str">
        <f>'Manual Entry'!B378</f>
        <v/>
      </c>
      <c r="F406" s="76" t="str">
        <f>'Manual Entry'!F378</f>
        <v/>
      </c>
      <c r="G406" s="76" t="str">
        <f>'Manual Entry'!G378</f>
        <v/>
      </c>
      <c r="H406" s="76" t="str">
        <f>'Manual Entry'!H378</f>
        <v/>
      </c>
      <c r="I406" s="78" t="str">
        <f>'Manual Entry'!I378</f>
        <v/>
      </c>
      <c r="J406" s="78" t="str">
        <f>'Manual Entry'!J378</f>
        <v/>
      </c>
      <c r="K406" s="78" t="str">
        <f>'Manual Entry'!K378</f>
        <v/>
      </c>
      <c r="L406" s="78" t="str">
        <f>'Manual Entry'!L378</f>
        <v/>
      </c>
      <c r="M406" s="78" t="str">
        <f>'Manual Entry'!M378</f>
        <v/>
      </c>
      <c r="N406" s="78" t="str">
        <f>'Manual Entry'!N378</f>
        <v/>
      </c>
      <c r="O406" s="76">
        <f t="shared" si="6"/>
        <v>0</v>
      </c>
      <c r="P406" s="76">
        <f t="shared" si="7"/>
        <v>0</v>
      </c>
      <c r="Q406" s="76">
        <f t="shared" si="8"/>
        <v>0</v>
      </c>
      <c r="R406" s="76">
        <f t="shared" si="9"/>
        <v>0</v>
      </c>
      <c r="S406" s="76" t="str">
        <f t="shared" si="10"/>
        <v/>
      </c>
      <c r="T406" s="76" t="str">
        <f t="shared" si="11"/>
        <v/>
      </c>
      <c r="U406" s="76" t="str">
        <f t="shared" si="12"/>
        <v/>
      </c>
      <c r="V406" s="76" t="str">
        <f t="shared" si="13"/>
        <v/>
      </c>
      <c r="W406" s="76" t="str">
        <f t="shared" si="14"/>
        <v/>
      </c>
      <c r="X406" s="76" t="str">
        <f t="shared" si="15"/>
        <v/>
      </c>
      <c r="Y406" s="76" t="str">
        <f t="shared" si="16"/>
        <v/>
      </c>
      <c r="Z406" s="76" t="str">
        <f t="shared" si="17"/>
        <v/>
      </c>
      <c r="AA406" s="76" t="str">
        <f t="shared" si="18"/>
        <v/>
      </c>
      <c r="AB406" s="76" t="str">
        <f t="shared" si="19"/>
        <v/>
      </c>
      <c r="AC406" s="76" t="str">
        <f t="shared" si="20"/>
        <v/>
      </c>
      <c r="AD406" s="76" t="str">
        <f t="shared" si="21"/>
        <v/>
      </c>
      <c r="AE406" s="76" t="str">
        <f t="shared" si="22"/>
        <v/>
      </c>
      <c r="AF406" s="76" t="str">
        <f t="shared" si="23"/>
        <v/>
      </c>
      <c r="AG406" s="76" t="str">
        <f t="shared" si="24"/>
        <v/>
      </c>
      <c r="AH406" s="76" t="str">
        <f t="shared" si="25"/>
        <v/>
      </c>
      <c r="AI406" s="76" t="str">
        <f t="shared" si="26"/>
        <v/>
      </c>
      <c r="AJ406" s="76" t="str">
        <f t="shared" si="27"/>
        <v/>
      </c>
      <c r="AK406" s="76" t="str">
        <f t="shared" si="28"/>
        <v/>
      </c>
      <c r="AL406" s="76" t="str">
        <f t="shared" si="29"/>
        <v/>
      </c>
      <c r="AM406" s="76" t="str">
        <f t="shared" si="30"/>
        <v/>
      </c>
      <c r="AN406" s="76" t="str">
        <f t="shared" si="31"/>
        <v/>
      </c>
      <c r="AO406" s="76" t="str">
        <f t="shared" si="32"/>
        <v/>
      </c>
      <c r="AP406" s="76" t="str">
        <f t="shared" si="33"/>
        <v/>
      </c>
    </row>
    <row r="407" ht="15.75" customHeight="1">
      <c r="A407" s="76" t="str">
        <f>IF('Manual Entry'!A379="","",'Manual Entry'!A379)</f>
        <v/>
      </c>
      <c r="B407" s="76" t="str">
        <f t="shared" si="3"/>
        <v/>
      </c>
      <c r="C407" s="76" t="str">
        <f t="shared" si="4"/>
        <v/>
      </c>
      <c r="D407" s="76" t="str">
        <f>'Manual Entry'!D379</f>
        <v/>
      </c>
      <c r="E407" s="76" t="str">
        <f>'Manual Entry'!B379</f>
        <v/>
      </c>
      <c r="F407" s="76" t="str">
        <f>'Manual Entry'!F379</f>
        <v/>
      </c>
      <c r="G407" s="76" t="str">
        <f>'Manual Entry'!G379</f>
        <v/>
      </c>
      <c r="H407" s="76" t="str">
        <f>'Manual Entry'!H379</f>
        <v/>
      </c>
      <c r="I407" s="78" t="str">
        <f>'Manual Entry'!I379</f>
        <v/>
      </c>
      <c r="J407" s="78" t="str">
        <f>'Manual Entry'!J379</f>
        <v/>
      </c>
      <c r="K407" s="78" t="str">
        <f>'Manual Entry'!K379</f>
        <v/>
      </c>
      <c r="L407" s="78" t="str">
        <f>'Manual Entry'!L379</f>
        <v/>
      </c>
      <c r="M407" s="78" t="str">
        <f>'Manual Entry'!M379</f>
        <v/>
      </c>
      <c r="N407" s="78" t="str">
        <f>'Manual Entry'!N379</f>
        <v/>
      </c>
      <c r="O407" s="76">
        <f t="shared" si="6"/>
        <v>0</v>
      </c>
      <c r="P407" s="76">
        <f t="shared" si="7"/>
        <v>0</v>
      </c>
      <c r="Q407" s="76">
        <f t="shared" si="8"/>
        <v>0</v>
      </c>
      <c r="R407" s="76">
        <f t="shared" si="9"/>
        <v>0</v>
      </c>
      <c r="S407" s="76" t="str">
        <f t="shared" si="10"/>
        <v/>
      </c>
      <c r="T407" s="76" t="str">
        <f t="shared" si="11"/>
        <v/>
      </c>
      <c r="U407" s="76" t="str">
        <f t="shared" si="12"/>
        <v/>
      </c>
      <c r="V407" s="76" t="str">
        <f t="shared" si="13"/>
        <v/>
      </c>
      <c r="W407" s="76" t="str">
        <f t="shared" si="14"/>
        <v/>
      </c>
      <c r="X407" s="76" t="str">
        <f t="shared" si="15"/>
        <v/>
      </c>
      <c r="Y407" s="76" t="str">
        <f t="shared" si="16"/>
        <v/>
      </c>
      <c r="Z407" s="76" t="str">
        <f t="shared" si="17"/>
        <v/>
      </c>
      <c r="AA407" s="76" t="str">
        <f t="shared" si="18"/>
        <v/>
      </c>
      <c r="AB407" s="76" t="str">
        <f t="shared" si="19"/>
        <v/>
      </c>
      <c r="AC407" s="76" t="str">
        <f t="shared" si="20"/>
        <v/>
      </c>
      <c r="AD407" s="76" t="str">
        <f t="shared" si="21"/>
        <v/>
      </c>
      <c r="AE407" s="76" t="str">
        <f t="shared" si="22"/>
        <v/>
      </c>
      <c r="AF407" s="76" t="str">
        <f t="shared" si="23"/>
        <v/>
      </c>
      <c r="AG407" s="76" t="str">
        <f t="shared" si="24"/>
        <v/>
      </c>
      <c r="AH407" s="76" t="str">
        <f t="shared" si="25"/>
        <v/>
      </c>
      <c r="AI407" s="76" t="str">
        <f t="shared" si="26"/>
        <v/>
      </c>
      <c r="AJ407" s="76" t="str">
        <f t="shared" si="27"/>
        <v/>
      </c>
      <c r="AK407" s="76" t="str">
        <f t="shared" si="28"/>
        <v/>
      </c>
      <c r="AL407" s="76" t="str">
        <f t="shared" si="29"/>
        <v/>
      </c>
      <c r="AM407" s="76" t="str">
        <f t="shared" si="30"/>
        <v/>
      </c>
      <c r="AN407" s="76" t="str">
        <f t="shared" si="31"/>
        <v/>
      </c>
      <c r="AO407" s="76" t="str">
        <f t="shared" si="32"/>
        <v/>
      </c>
      <c r="AP407" s="76" t="str">
        <f t="shared" si="33"/>
        <v/>
      </c>
    </row>
    <row r="408" ht="15.75" customHeight="1">
      <c r="A408" s="76" t="str">
        <f>IF('Manual Entry'!A380="","",'Manual Entry'!A380)</f>
        <v/>
      </c>
      <c r="B408" s="76" t="str">
        <f t="shared" si="3"/>
        <v/>
      </c>
      <c r="C408" s="76" t="str">
        <f t="shared" si="4"/>
        <v/>
      </c>
      <c r="D408" s="76" t="str">
        <f>'Manual Entry'!D380</f>
        <v/>
      </c>
      <c r="E408" s="76" t="str">
        <f>'Manual Entry'!B380</f>
        <v/>
      </c>
      <c r="F408" s="76" t="str">
        <f>'Manual Entry'!F380</f>
        <v/>
      </c>
      <c r="G408" s="76" t="str">
        <f>'Manual Entry'!G380</f>
        <v/>
      </c>
      <c r="H408" s="76" t="str">
        <f>'Manual Entry'!H380</f>
        <v/>
      </c>
      <c r="I408" s="78" t="str">
        <f>'Manual Entry'!I380</f>
        <v/>
      </c>
      <c r="J408" s="78" t="str">
        <f>'Manual Entry'!J380</f>
        <v/>
      </c>
      <c r="K408" s="78" t="str">
        <f>'Manual Entry'!K380</f>
        <v/>
      </c>
      <c r="L408" s="78" t="str">
        <f>'Manual Entry'!L380</f>
        <v/>
      </c>
      <c r="M408" s="78" t="str">
        <f>'Manual Entry'!M380</f>
        <v/>
      </c>
      <c r="N408" s="78" t="str">
        <f>'Manual Entry'!N380</f>
        <v/>
      </c>
      <c r="O408" s="76">
        <f t="shared" si="6"/>
        <v>0</v>
      </c>
      <c r="P408" s="76">
        <f t="shared" si="7"/>
        <v>0</v>
      </c>
      <c r="Q408" s="76">
        <f t="shared" si="8"/>
        <v>0</v>
      </c>
      <c r="R408" s="76">
        <f t="shared" si="9"/>
        <v>0</v>
      </c>
      <c r="S408" s="76" t="str">
        <f t="shared" si="10"/>
        <v/>
      </c>
      <c r="T408" s="76" t="str">
        <f t="shared" si="11"/>
        <v/>
      </c>
      <c r="U408" s="76" t="str">
        <f t="shared" si="12"/>
        <v/>
      </c>
      <c r="V408" s="76" t="str">
        <f t="shared" si="13"/>
        <v/>
      </c>
      <c r="W408" s="76" t="str">
        <f t="shared" si="14"/>
        <v/>
      </c>
      <c r="X408" s="76" t="str">
        <f t="shared" si="15"/>
        <v/>
      </c>
      <c r="Y408" s="76" t="str">
        <f t="shared" si="16"/>
        <v/>
      </c>
      <c r="Z408" s="76" t="str">
        <f t="shared" si="17"/>
        <v/>
      </c>
      <c r="AA408" s="76" t="str">
        <f t="shared" si="18"/>
        <v/>
      </c>
      <c r="AB408" s="76" t="str">
        <f t="shared" si="19"/>
        <v/>
      </c>
      <c r="AC408" s="76" t="str">
        <f t="shared" si="20"/>
        <v/>
      </c>
      <c r="AD408" s="76" t="str">
        <f t="shared" si="21"/>
        <v/>
      </c>
      <c r="AE408" s="76" t="str">
        <f t="shared" si="22"/>
        <v/>
      </c>
      <c r="AF408" s="76" t="str">
        <f t="shared" si="23"/>
        <v/>
      </c>
      <c r="AG408" s="76" t="str">
        <f t="shared" si="24"/>
        <v/>
      </c>
      <c r="AH408" s="76" t="str">
        <f t="shared" si="25"/>
        <v/>
      </c>
      <c r="AI408" s="76" t="str">
        <f t="shared" si="26"/>
        <v/>
      </c>
      <c r="AJ408" s="76" t="str">
        <f t="shared" si="27"/>
        <v/>
      </c>
      <c r="AK408" s="76" t="str">
        <f t="shared" si="28"/>
        <v/>
      </c>
      <c r="AL408" s="76" t="str">
        <f t="shared" si="29"/>
        <v/>
      </c>
      <c r="AM408" s="76" t="str">
        <f t="shared" si="30"/>
        <v/>
      </c>
      <c r="AN408" s="76" t="str">
        <f t="shared" si="31"/>
        <v/>
      </c>
      <c r="AO408" s="76" t="str">
        <f t="shared" si="32"/>
        <v/>
      </c>
      <c r="AP408" s="76" t="str">
        <f t="shared" si="33"/>
        <v/>
      </c>
    </row>
    <row r="409" ht="15.75" customHeight="1">
      <c r="A409" s="76" t="str">
        <f>IF('Manual Entry'!A381="","",'Manual Entry'!A381)</f>
        <v/>
      </c>
      <c r="B409" s="76" t="str">
        <f t="shared" si="3"/>
        <v/>
      </c>
      <c r="C409" s="76" t="str">
        <f t="shared" si="4"/>
        <v/>
      </c>
      <c r="D409" s="76" t="str">
        <f>'Manual Entry'!D381</f>
        <v/>
      </c>
      <c r="E409" s="76" t="str">
        <f>'Manual Entry'!B381</f>
        <v/>
      </c>
      <c r="F409" s="76" t="str">
        <f>'Manual Entry'!F381</f>
        <v/>
      </c>
      <c r="G409" s="76" t="str">
        <f>'Manual Entry'!G381</f>
        <v/>
      </c>
      <c r="H409" s="76" t="str">
        <f>'Manual Entry'!H381</f>
        <v/>
      </c>
      <c r="I409" s="78" t="str">
        <f>'Manual Entry'!I381</f>
        <v/>
      </c>
      <c r="J409" s="78" t="str">
        <f>'Manual Entry'!J381</f>
        <v/>
      </c>
      <c r="K409" s="78" t="str">
        <f>'Manual Entry'!K381</f>
        <v/>
      </c>
      <c r="L409" s="78" t="str">
        <f>'Manual Entry'!L381</f>
        <v/>
      </c>
      <c r="M409" s="78" t="str">
        <f>'Manual Entry'!M381</f>
        <v/>
      </c>
      <c r="N409" s="78" t="str">
        <f>'Manual Entry'!N381</f>
        <v/>
      </c>
      <c r="O409" s="76">
        <f t="shared" si="6"/>
        <v>0</v>
      </c>
      <c r="P409" s="76">
        <f t="shared" si="7"/>
        <v>0</v>
      </c>
      <c r="Q409" s="76">
        <f t="shared" si="8"/>
        <v>0</v>
      </c>
      <c r="R409" s="76">
        <f t="shared" si="9"/>
        <v>0</v>
      </c>
      <c r="S409" s="76" t="str">
        <f t="shared" si="10"/>
        <v/>
      </c>
      <c r="T409" s="76" t="str">
        <f t="shared" si="11"/>
        <v/>
      </c>
      <c r="U409" s="76" t="str">
        <f t="shared" si="12"/>
        <v/>
      </c>
      <c r="V409" s="76" t="str">
        <f t="shared" si="13"/>
        <v/>
      </c>
      <c r="W409" s="76" t="str">
        <f t="shared" si="14"/>
        <v/>
      </c>
      <c r="X409" s="76" t="str">
        <f t="shared" si="15"/>
        <v/>
      </c>
      <c r="Y409" s="76" t="str">
        <f t="shared" si="16"/>
        <v/>
      </c>
      <c r="Z409" s="76" t="str">
        <f t="shared" si="17"/>
        <v/>
      </c>
      <c r="AA409" s="76" t="str">
        <f t="shared" si="18"/>
        <v/>
      </c>
      <c r="AB409" s="76" t="str">
        <f t="shared" si="19"/>
        <v/>
      </c>
      <c r="AC409" s="76" t="str">
        <f t="shared" si="20"/>
        <v/>
      </c>
      <c r="AD409" s="76" t="str">
        <f t="shared" si="21"/>
        <v/>
      </c>
      <c r="AE409" s="76" t="str">
        <f t="shared" si="22"/>
        <v/>
      </c>
      <c r="AF409" s="76" t="str">
        <f t="shared" si="23"/>
        <v/>
      </c>
      <c r="AG409" s="76" t="str">
        <f t="shared" si="24"/>
        <v/>
      </c>
      <c r="AH409" s="76" t="str">
        <f t="shared" si="25"/>
        <v/>
      </c>
      <c r="AI409" s="76" t="str">
        <f t="shared" si="26"/>
        <v/>
      </c>
      <c r="AJ409" s="76" t="str">
        <f t="shared" si="27"/>
        <v/>
      </c>
      <c r="AK409" s="76" t="str">
        <f t="shared" si="28"/>
        <v/>
      </c>
      <c r="AL409" s="76" t="str">
        <f t="shared" si="29"/>
        <v/>
      </c>
      <c r="AM409" s="76" t="str">
        <f t="shared" si="30"/>
        <v/>
      </c>
      <c r="AN409" s="76" t="str">
        <f t="shared" si="31"/>
        <v/>
      </c>
      <c r="AO409" s="76" t="str">
        <f t="shared" si="32"/>
        <v/>
      </c>
      <c r="AP409" s="76" t="str">
        <f t="shared" si="33"/>
        <v/>
      </c>
    </row>
    <row r="410" ht="15.75" customHeight="1">
      <c r="A410" s="76" t="str">
        <f>IF('Manual Entry'!A382="","",'Manual Entry'!A382)</f>
        <v/>
      </c>
      <c r="B410" s="76" t="str">
        <f t="shared" si="3"/>
        <v/>
      </c>
      <c r="C410" s="76" t="str">
        <f t="shared" si="4"/>
        <v/>
      </c>
      <c r="D410" s="76" t="str">
        <f>'Manual Entry'!D382</f>
        <v/>
      </c>
      <c r="E410" s="76" t="str">
        <f>'Manual Entry'!B382</f>
        <v/>
      </c>
      <c r="F410" s="76" t="str">
        <f>'Manual Entry'!F382</f>
        <v/>
      </c>
      <c r="G410" s="76" t="str">
        <f>'Manual Entry'!G382</f>
        <v/>
      </c>
      <c r="H410" s="76" t="str">
        <f>'Manual Entry'!H382</f>
        <v/>
      </c>
      <c r="I410" s="78" t="str">
        <f>'Manual Entry'!I382</f>
        <v/>
      </c>
      <c r="J410" s="78" t="str">
        <f>'Manual Entry'!J382</f>
        <v/>
      </c>
      <c r="K410" s="78" t="str">
        <f>'Manual Entry'!K382</f>
        <v/>
      </c>
      <c r="L410" s="78" t="str">
        <f>'Manual Entry'!L382</f>
        <v/>
      </c>
      <c r="M410" s="78" t="str">
        <f>'Manual Entry'!M382</f>
        <v/>
      </c>
      <c r="N410" s="78" t="str">
        <f>'Manual Entry'!N382</f>
        <v/>
      </c>
      <c r="O410" s="76">
        <f t="shared" si="6"/>
        <v>0</v>
      </c>
      <c r="P410" s="76">
        <f t="shared" si="7"/>
        <v>0</v>
      </c>
      <c r="Q410" s="76">
        <f t="shared" si="8"/>
        <v>0</v>
      </c>
      <c r="R410" s="76">
        <f t="shared" si="9"/>
        <v>0</v>
      </c>
      <c r="S410" s="76" t="str">
        <f t="shared" si="10"/>
        <v/>
      </c>
      <c r="T410" s="76" t="str">
        <f t="shared" si="11"/>
        <v/>
      </c>
      <c r="U410" s="76" t="str">
        <f t="shared" si="12"/>
        <v/>
      </c>
      <c r="V410" s="76" t="str">
        <f t="shared" si="13"/>
        <v/>
      </c>
      <c r="W410" s="76" t="str">
        <f t="shared" si="14"/>
        <v/>
      </c>
      <c r="X410" s="76" t="str">
        <f t="shared" si="15"/>
        <v/>
      </c>
      <c r="Y410" s="76" t="str">
        <f t="shared" si="16"/>
        <v/>
      </c>
      <c r="Z410" s="76" t="str">
        <f t="shared" si="17"/>
        <v/>
      </c>
      <c r="AA410" s="76" t="str">
        <f t="shared" si="18"/>
        <v/>
      </c>
      <c r="AB410" s="76" t="str">
        <f t="shared" si="19"/>
        <v/>
      </c>
      <c r="AC410" s="76" t="str">
        <f t="shared" si="20"/>
        <v/>
      </c>
      <c r="AD410" s="76" t="str">
        <f t="shared" si="21"/>
        <v/>
      </c>
      <c r="AE410" s="76" t="str">
        <f t="shared" si="22"/>
        <v/>
      </c>
      <c r="AF410" s="76" t="str">
        <f t="shared" si="23"/>
        <v/>
      </c>
      <c r="AG410" s="76" t="str">
        <f t="shared" si="24"/>
        <v/>
      </c>
      <c r="AH410" s="76" t="str">
        <f t="shared" si="25"/>
        <v/>
      </c>
      <c r="AI410" s="76" t="str">
        <f t="shared" si="26"/>
        <v/>
      </c>
      <c r="AJ410" s="76" t="str">
        <f t="shared" si="27"/>
        <v/>
      </c>
      <c r="AK410" s="76" t="str">
        <f t="shared" si="28"/>
        <v/>
      </c>
      <c r="AL410" s="76" t="str">
        <f t="shared" si="29"/>
        <v/>
      </c>
      <c r="AM410" s="76" t="str">
        <f t="shared" si="30"/>
        <v/>
      </c>
      <c r="AN410" s="76" t="str">
        <f t="shared" si="31"/>
        <v/>
      </c>
      <c r="AO410" s="76" t="str">
        <f t="shared" si="32"/>
        <v/>
      </c>
      <c r="AP410" s="76" t="str">
        <f t="shared" si="33"/>
        <v/>
      </c>
    </row>
    <row r="411" ht="15.75" customHeight="1">
      <c r="A411" s="76" t="str">
        <f>IF('Manual Entry'!A383="","",'Manual Entry'!A383)</f>
        <v/>
      </c>
      <c r="B411" s="76" t="str">
        <f t="shared" si="3"/>
        <v/>
      </c>
      <c r="C411" s="76" t="str">
        <f t="shared" si="4"/>
        <v/>
      </c>
      <c r="D411" s="76" t="str">
        <f>'Manual Entry'!D383</f>
        <v/>
      </c>
      <c r="E411" s="76" t="str">
        <f>'Manual Entry'!B383</f>
        <v/>
      </c>
      <c r="F411" s="76" t="str">
        <f>'Manual Entry'!F383</f>
        <v/>
      </c>
      <c r="G411" s="76" t="str">
        <f>'Manual Entry'!G383</f>
        <v/>
      </c>
      <c r="H411" s="76" t="str">
        <f>'Manual Entry'!H383</f>
        <v/>
      </c>
      <c r="I411" s="78" t="str">
        <f>'Manual Entry'!I383</f>
        <v/>
      </c>
      <c r="J411" s="78" t="str">
        <f>'Manual Entry'!J383</f>
        <v/>
      </c>
      <c r="K411" s="78" t="str">
        <f>'Manual Entry'!K383</f>
        <v/>
      </c>
      <c r="L411" s="78" t="str">
        <f>'Manual Entry'!L383</f>
        <v/>
      </c>
      <c r="M411" s="78" t="str">
        <f>'Manual Entry'!M383</f>
        <v/>
      </c>
      <c r="N411" s="78" t="str">
        <f>'Manual Entry'!N383</f>
        <v/>
      </c>
      <c r="O411" s="76">
        <f t="shared" si="6"/>
        <v>0</v>
      </c>
      <c r="P411" s="76">
        <f t="shared" si="7"/>
        <v>0</v>
      </c>
      <c r="Q411" s="76">
        <f t="shared" si="8"/>
        <v>0</v>
      </c>
      <c r="R411" s="76">
        <f t="shared" si="9"/>
        <v>0</v>
      </c>
      <c r="S411" s="76" t="str">
        <f t="shared" si="10"/>
        <v/>
      </c>
      <c r="T411" s="76" t="str">
        <f t="shared" si="11"/>
        <v/>
      </c>
      <c r="U411" s="76" t="str">
        <f t="shared" si="12"/>
        <v/>
      </c>
      <c r="V411" s="76" t="str">
        <f t="shared" si="13"/>
        <v/>
      </c>
      <c r="W411" s="76" t="str">
        <f t="shared" si="14"/>
        <v/>
      </c>
      <c r="X411" s="76" t="str">
        <f t="shared" si="15"/>
        <v/>
      </c>
      <c r="Y411" s="76" t="str">
        <f t="shared" si="16"/>
        <v/>
      </c>
      <c r="Z411" s="76" t="str">
        <f t="shared" si="17"/>
        <v/>
      </c>
      <c r="AA411" s="76" t="str">
        <f t="shared" si="18"/>
        <v/>
      </c>
      <c r="AB411" s="76" t="str">
        <f t="shared" si="19"/>
        <v/>
      </c>
      <c r="AC411" s="76" t="str">
        <f t="shared" si="20"/>
        <v/>
      </c>
      <c r="AD411" s="76" t="str">
        <f t="shared" si="21"/>
        <v/>
      </c>
      <c r="AE411" s="76" t="str">
        <f t="shared" si="22"/>
        <v/>
      </c>
      <c r="AF411" s="76" t="str">
        <f t="shared" si="23"/>
        <v/>
      </c>
      <c r="AG411" s="76" t="str">
        <f t="shared" si="24"/>
        <v/>
      </c>
      <c r="AH411" s="76" t="str">
        <f t="shared" si="25"/>
        <v/>
      </c>
      <c r="AI411" s="76" t="str">
        <f t="shared" si="26"/>
        <v/>
      </c>
      <c r="AJ411" s="76" t="str">
        <f t="shared" si="27"/>
        <v/>
      </c>
      <c r="AK411" s="76" t="str">
        <f t="shared" si="28"/>
        <v/>
      </c>
      <c r="AL411" s="76" t="str">
        <f t="shared" si="29"/>
        <v/>
      </c>
      <c r="AM411" s="76" t="str">
        <f t="shared" si="30"/>
        <v/>
      </c>
      <c r="AN411" s="76" t="str">
        <f t="shared" si="31"/>
        <v/>
      </c>
      <c r="AO411" s="76" t="str">
        <f t="shared" si="32"/>
        <v/>
      </c>
      <c r="AP411" s="76" t="str">
        <f t="shared" si="33"/>
        <v/>
      </c>
    </row>
    <row r="412" ht="15.75" customHeight="1">
      <c r="A412" s="76" t="str">
        <f>IF('Manual Entry'!A384="","",'Manual Entry'!A384)</f>
        <v/>
      </c>
      <c r="B412" s="76" t="str">
        <f t="shared" si="3"/>
        <v/>
      </c>
      <c r="C412" s="76" t="str">
        <f t="shared" si="4"/>
        <v/>
      </c>
      <c r="D412" s="76" t="str">
        <f>'Manual Entry'!D384</f>
        <v/>
      </c>
      <c r="E412" s="76" t="str">
        <f>'Manual Entry'!B384</f>
        <v/>
      </c>
      <c r="F412" s="76" t="str">
        <f>'Manual Entry'!F384</f>
        <v/>
      </c>
      <c r="G412" s="76" t="str">
        <f>'Manual Entry'!G384</f>
        <v/>
      </c>
      <c r="H412" s="76" t="str">
        <f>'Manual Entry'!H384</f>
        <v/>
      </c>
      <c r="I412" s="78" t="str">
        <f>'Manual Entry'!I384</f>
        <v/>
      </c>
      <c r="J412" s="78" t="str">
        <f>'Manual Entry'!J384</f>
        <v/>
      </c>
      <c r="K412" s="78" t="str">
        <f>'Manual Entry'!K384</f>
        <v/>
      </c>
      <c r="L412" s="78" t="str">
        <f>'Manual Entry'!L384</f>
        <v/>
      </c>
      <c r="M412" s="78" t="str">
        <f>'Manual Entry'!M384</f>
        <v/>
      </c>
      <c r="N412" s="78" t="str">
        <f>'Manual Entry'!N384</f>
        <v/>
      </c>
      <c r="O412" s="76">
        <f t="shared" si="6"/>
        <v>0</v>
      </c>
      <c r="P412" s="76">
        <f t="shared" si="7"/>
        <v>0</v>
      </c>
      <c r="Q412" s="76">
        <f t="shared" si="8"/>
        <v>0</v>
      </c>
      <c r="R412" s="76">
        <f t="shared" si="9"/>
        <v>0</v>
      </c>
      <c r="S412" s="76" t="str">
        <f t="shared" si="10"/>
        <v/>
      </c>
      <c r="T412" s="76" t="str">
        <f t="shared" si="11"/>
        <v/>
      </c>
      <c r="U412" s="76" t="str">
        <f t="shared" si="12"/>
        <v/>
      </c>
      <c r="V412" s="76" t="str">
        <f t="shared" si="13"/>
        <v/>
      </c>
      <c r="W412" s="76" t="str">
        <f t="shared" si="14"/>
        <v/>
      </c>
      <c r="X412" s="76" t="str">
        <f t="shared" si="15"/>
        <v/>
      </c>
      <c r="Y412" s="76" t="str">
        <f t="shared" si="16"/>
        <v/>
      </c>
      <c r="Z412" s="76" t="str">
        <f t="shared" si="17"/>
        <v/>
      </c>
      <c r="AA412" s="76" t="str">
        <f t="shared" si="18"/>
        <v/>
      </c>
      <c r="AB412" s="76" t="str">
        <f t="shared" si="19"/>
        <v/>
      </c>
      <c r="AC412" s="76" t="str">
        <f t="shared" si="20"/>
        <v/>
      </c>
      <c r="AD412" s="76" t="str">
        <f t="shared" si="21"/>
        <v/>
      </c>
      <c r="AE412" s="76" t="str">
        <f t="shared" si="22"/>
        <v/>
      </c>
      <c r="AF412" s="76" t="str">
        <f t="shared" si="23"/>
        <v/>
      </c>
      <c r="AG412" s="76" t="str">
        <f t="shared" si="24"/>
        <v/>
      </c>
      <c r="AH412" s="76" t="str">
        <f t="shared" si="25"/>
        <v/>
      </c>
      <c r="AI412" s="76" t="str">
        <f t="shared" si="26"/>
        <v/>
      </c>
      <c r="AJ412" s="76" t="str">
        <f t="shared" si="27"/>
        <v/>
      </c>
      <c r="AK412" s="76" t="str">
        <f t="shared" si="28"/>
        <v/>
      </c>
      <c r="AL412" s="76" t="str">
        <f t="shared" si="29"/>
        <v/>
      </c>
      <c r="AM412" s="76" t="str">
        <f t="shared" si="30"/>
        <v/>
      </c>
      <c r="AN412" s="76" t="str">
        <f t="shared" si="31"/>
        <v/>
      </c>
      <c r="AO412" s="76" t="str">
        <f t="shared" si="32"/>
        <v/>
      </c>
      <c r="AP412" s="76" t="str">
        <f t="shared" si="33"/>
        <v/>
      </c>
    </row>
    <row r="413" ht="15.75" customHeight="1">
      <c r="A413" s="76" t="str">
        <f>IF('Manual Entry'!A385="","",'Manual Entry'!A385)</f>
        <v/>
      </c>
      <c r="B413" s="76" t="str">
        <f t="shared" si="3"/>
        <v/>
      </c>
      <c r="C413" s="76" t="str">
        <f t="shared" si="4"/>
        <v/>
      </c>
      <c r="D413" s="76" t="str">
        <f>'Manual Entry'!D385</f>
        <v/>
      </c>
      <c r="E413" s="76" t="str">
        <f>'Manual Entry'!B385</f>
        <v/>
      </c>
      <c r="F413" s="76" t="str">
        <f>'Manual Entry'!F385</f>
        <v/>
      </c>
      <c r="G413" s="76" t="str">
        <f>'Manual Entry'!G385</f>
        <v/>
      </c>
      <c r="H413" s="76" t="str">
        <f>'Manual Entry'!H385</f>
        <v/>
      </c>
      <c r="I413" s="78" t="str">
        <f>'Manual Entry'!I385</f>
        <v/>
      </c>
      <c r="J413" s="78" t="str">
        <f>'Manual Entry'!J385</f>
        <v/>
      </c>
      <c r="K413" s="78" t="str">
        <f>'Manual Entry'!K385</f>
        <v/>
      </c>
      <c r="L413" s="78" t="str">
        <f>'Manual Entry'!L385</f>
        <v/>
      </c>
      <c r="M413" s="78" t="str">
        <f>'Manual Entry'!M385</f>
        <v/>
      </c>
      <c r="N413" s="78" t="str">
        <f>'Manual Entry'!N385</f>
        <v/>
      </c>
      <c r="O413" s="76">
        <f t="shared" si="6"/>
        <v>0</v>
      </c>
      <c r="P413" s="76">
        <f t="shared" si="7"/>
        <v>0</v>
      </c>
      <c r="Q413" s="76">
        <f t="shared" si="8"/>
        <v>0</v>
      </c>
      <c r="R413" s="76">
        <f t="shared" si="9"/>
        <v>0</v>
      </c>
      <c r="S413" s="76" t="str">
        <f t="shared" si="10"/>
        <v/>
      </c>
      <c r="T413" s="76" t="str">
        <f t="shared" si="11"/>
        <v/>
      </c>
      <c r="U413" s="76" t="str">
        <f t="shared" si="12"/>
        <v/>
      </c>
      <c r="V413" s="76" t="str">
        <f t="shared" si="13"/>
        <v/>
      </c>
      <c r="W413" s="76" t="str">
        <f t="shared" si="14"/>
        <v/>
      </c>
      <c r="X413" s="76" t="str">
        <f t="shared" si="15"/>
        <v/>
      </c>
      <c r="Y413" s="76" t="str">
        <f t="shared" si="16"/>
        <v/>
      </c>
      <c r="Z413" s="76" t="str">
        <f t="shared" si="17"/>
        <v/>
      </c>
      <c r="AA413" s="76" t="str">
        <f t="shared" si="18"/>
        <v/>
      </c>
      <c r="AB413" s="76" t="str">
        <f t="shared" si="19"/>
        <v/>
      </c>
      <c r="AC413" s="76" t="str">
        <f t="shared" si="20"/>
        <v/>
      </c>
      <c r="AD413" s="76" t="str">
        <f t="shared" si="21"/>
        <v/>
      </c>
      <c r="AE413" s="76" t="str">
        <f t="shared" si="22"/>
        <v/>
      </c>
      <c r="AF413" s="76" t="str">
        <f t="shared" si="23"/>
        <v/>
      </c>
      <c r="AG413" s="76" t="str">
        <f t="shared" si="24"/>
        <v/>
      </c>
      <c r="AH413" s="76" t="str">
        <f t="shared" si="25"/>
        <v/>
      </c>
      <c r="AI413" s="76" t="str">
        <f t="shared" si="26"/>
        <v/>
      </c>
      <c r="AJ413" s="76" t="str">
        <f t="shared" si="27"/>
        <v/>
      </c>
      <c r="AK413" s="76" t="str">
        <f t="shared" si="28"/>
        <v/>
      </c>
      <c r="AL413" s="76" t="str">
        <f t="shared" si="29"/>
        <v/>
      </c>
      <c r="AM413" s="76" t="str">
        <f t="shared" si="30"/>
        <v/>
      </c>
      <c r="AN413" s="76" t="str">
        <f t="shared" si="31"/>
        <v/>
      </c>
      <c r="AO413" s="76" t="str">
        <f t="shared" si="32"/>
        <v/>
      </c>
      <c r="AP413" s="76" t="str">
        <f t="shared" si="33"/>
        <v/>
      </c>
    </row>
    <row r="414" ht="15.75" customHeight="1">
      <c r="A414" s="76" t="str">
        <f>IF('Manual Entry'!A386="","",'Manual Entry'!A386)</f>
        <v/>
      </c>
      <c r="B414" s="76" t="str">
        <f t="shared" si="3"/>
        <v/>
      </c>
      <c r="C414" s="76" t="str">
        <f t="shared" si="4"/>
        <v/>
      </c>
      <c r="D414" s="76" t="str">
        <f>'Manual Entry'!D386</f>
        <v/>
      </c>
      <c r="E414" s="76" t="str">
        <f>'Manual Entry'!B386</f>
        <v/>
      </c>
      <c r="F414" s="76" t="str">
        <f>'Manual Entry'!F386</f>
        <v/>
      </c>
      <c r="G414" s="76" t="str">
        <f>'Manual Entry'!G386</f>
        <v/>
      </c>
      <c r="H414" s="76" t="str">
        <f>'Manual Entry'!H386</f>
        <v/>
      </c>
      <c r="I414" s="78" t="str">
        <f>'Manual Entry'!I386</f>
        <v/>
      </c>
      <c r="J414" s="78" t="str">
        <f>'Manual Entry'!J386</f>
        <v/>
      </c>
      <c r="K414" s="78" t="str">
        <f>'Manual Entry'!K386</f>
        <v/>
      </c>
      <c r="L414" s="78" t="str">
        <f>'Manual Entry'!L386</f>
        <v/>
      </c>
      <c r="M414" s="78" t="str">
        <f>'Manual Entry'!M386</f>
        <v/>
      </c>
      <c r="N414" s="78" t="str">
        <f>'Manual Entry'!N386</f>
        <v/>
      </c>
      <c r="O414" s="76">
        <f t="shared" si="6"/>
        <v>0</v>
      </c>
      <c r="P414" s="76">
        <f t="shared" si="7"/>
        <v>0</v>
      </c>
      <c r="Q414" s="76">
        <f t="shared" si="8"/>
        <v>0</v>
      </c>
      <c r="R414" s="76">
        <f t="shared" si="9"/>
        <v>0</v>
      </c>
      <c r="S414" s="76" t="str">
        <f t="shared" si="10"/>
        <v/>
      </c>
      <c r="T414" s="76" t="str">
        <f t="shared" si="11"/>
        <v/>
      </c>
      <c r="U414" s="76" t="str">
        <f t="shared" si="12"/>
        <v/>
      </c>
      <c r="V414" s="76" t="str">
        <f t="shared" si="13"/>
        <v/>
      </c>
      <c r="W414" s="76" t="str">
        <f t="shared" si="14"/>
        <v/>
      </c>
      <c r="X414" s="76" t="str">
        <f t="shared" si="15"/>
        <v/>
      </c>
      <c r="Y414" s="76" t="str">
        <f t="shared" si="16"/>
        <v/>
      </c>
      <c r="Z414" s="76" t="str">
        <f t="shared" si="17"/>
        <v/>
      </c>
      <c r="AA414" s="76" t="str">
        <f t="shared" si="18"/>
        <v/>
      </c>
      <c r="AB414" s="76" t="str">
        <f t="shared" si="19"/>
        <v/>
      </c>
      <c r="AC414" s="76" t="str">
        <f t="shared" si="20"/>
        <v/>
      </c>
      <c r="AD414" s="76" t="str">
        <f t="shared" si="21"/>
        <v/>
      </c>
      <c r="AE414" s="76" t="str">
        <f t="shared" si="22"/>
        <v/>
      </c>
      <c r="AF414" s="76" t="str">
        <f t="shared" si="23"/>
        <v/>
      </c>
      <c r="AG414" s="76" t="str">
        <f t="shared" si="24"/>
        <v/>
      </c>
      <c r="AH414" s="76" t="str">
        <f t="shared" si="25"/>
        <v/>
      </c>
      <c r="AI414" s="76" t="str">
        <f t="shared" si="26"/>
        <v/>
      </c>
      <c r="AJ414" s="76" t="str">
        <f t="shared" si="27"/>
        <v/>
      </c>
      <c r="AK414" s="76" t="str">
        <f t="shared" si="28"/>
        <v/>
      </c>
      <c r="AL414" s="76" t="str">
        <f t="shared" si="29"/>
        <v/>
      </c>
      <c r="AM414" s="76" t="str">
        <f t="shared" si="30"/>
        <v/>
      </c>
      <c r="AN414" s="76" t="str">
        <f t="shared" si="31"/>
        <v/>
      </c>
      <c r="AO414" s="76" t="str">
        <f t="shared" si="32"/>
        <v/>
      </c>
      <c r="AP414" s="76" t="str">
        <f t="shared" si="33"/>
        <v/>
      </c>
    </row>
    <row r="415" ht="15.75" customHeight="1">
      <c r="A415" s="76" t="str">
        <f>IF('Manual Entry'!A387="","",'Manual Entry'!A387)</f>
        <v/>
      </c>
      <c r="B415" s="76" t="str">
        <f t="shared" si="3"/>
        <v/>
      </c>
      <c r="C415" s="76" t="str">
        <f t="shared" si="4"/>
        <v/>
      </c>
      <c r="D415" s="76" t="str">
        <f>'Manual Entry'!D387</f>
        <v/>
      </c>
      <c r="E415" s="76" t="str">
        <f>'Manual Entry'!B387</f>
        <v/>
      </c>
      <c r="F415" s="76" t="str">
        <f>'Manual Entry'!F387</f>
        <v/>
      </c>
      <c r="G415" s="76" t="str">
        <f>'Manual Entry'!G387</f>
        <v/>
      </c>
      <c r="H415" s="76" t="str">
        <f>'Manual Entry'!H387</f>
        <v/>
      </c>
      <c r="I415" s="78" t="str">
        <f>'Manual Entry'!I387</f>
        <v/>
      </c>
      <c r="J415" s="78" t="str">
        <f>'Manual Entry'!J387</f>
        <v/>
      </c>
      <c r="K415" s="78" t="str">
        <f>'Manual Entry'!K387</f>
        <v/>
      </c>
      <c r="L415" s="78" t="str">
        <f>'Manual Entry'!L387</f>
        <v/>
      </c>
      <c r="M415" s="78" t="str">
        <f>'Manual Entry'!M387</f>
        <v/>
      </c>
      <c r="N415" s="78" t="str">
        <f>'Manual Entry'!N387</f>
        <v/>
      </c>
      <c r="O415" s="76">
        <f t="shared" si="6"/>
        <v>0</v>
      </c>
      <c r="P415" s="76">
        <f t="shared" si="7"/>
        <v>0</v>
      </c>
      <c r="Q415" s="76">
        <f t="shared" si="8"/>
        <v>0</v>
      </c>
      <c r="R415" s="76">
        <f t="shared" si="9"/>
        <v>0</v>
      </c>
      <c r="S415" s="76" t="str">
        <f t="shared" si="10"/>
        <v/>
      </c>
      <c r="T415" s="76" t="str">
        <f t="shared" si="11"/>
        <v/>
      </c>
      <c r="U415" s="76" t="str">
        <f t="shared" si="12"/>
        <v/>
      </c>
      <c r="V415" s="76" t="str">
        <f t="shared" si="13"/>
        <v/>
      </c>
      <c r="W415" s="76" t="str">
        <f t="shared" si="14"/>
        <v/>
      </c>
      <c r="X415" s="76" t="str">
        <f t="shared" si="15"/>
        <v/>
      </c>
      <c r="Y415" s="76" t="str">
        <f t="shared" si="16"/>
        <v/>
      </c>
      <c r="Z415" s="76" t="str">
        <f t="shared" si="17"/>
        <v/>
      </c>
      <c r="AA415" s="76" t="str">
        <f t="shared" si="18"/>
        <v/>
      </c>
      <c r="AB415" s="76" t="str">
        <f t="shared" si="19"/>
        <v/>
      </c>
      <c r="AC415" s="76" t="str">
        <f t="shared" si="20"/>
        <v/>
      </c>
      <c r="AD415" s="76" t="str">
        <f t="shared" si="21"/>
        <v/>
      </c>
      <c r="AE415" s="76" t="str">
        <f t="shared" si="22"/>
        <v/>
      </c>
      <c r="AF415" s="76" t="str">
        <f t="shared" si="23"/>
        <v/>
      </c>
      <c r="AG415" s="76" t="str">
        <f t="shared" si="24"/>
        <v/>
      </c>
      <c r="AH415" s="76" t="str">
        <f t="shared" si="25"/>
        <v/>
      </c>
      <c r="AI415" s="76" t="str">
        <f t="shared" si="26"/>
        <v/>
      </c>
      <c r="AJ415" s="76" t="str">
        <f t="shared" si="27"/>
        <v/>
      </c>
      <c r="AK415" s="76" t="str">
        <f t="shared" si="28"/>
        <v/>
      </c>
      <c r="AL415" s="76" t="str">
        <f t="shared" si="29"/>
        <v/>
      </c>
      <c r="AM415" s="76" t="str">
        <f t="shared" si="30"/>
        <v/>
      </c>
      <c r="AN415" s="76" t="str">
        <f t="shared" si="31"/>
        <v/>
      </c>
      <c r="AO415" s="76" t="str">
        <f t="shared" si="32"/>
        <v/>
      </c>
      <c r="AP415" s="76" t="str">
        <f t="shared" si="33"/>
        <v/>
      </c>
    </row>
    <row r="416" ht="15.75" customHeight="1">
      <c r="A416" s="76" t="str">
        <f>IF('Manual Entry'!A388="","",'Manual Entry'!A388)</f>
        <v/>
      </c>
      <c r="B416" s="76" t="str">
        <f t="shared" si="3"/>
        <v/>
      </c>
      <c r="C416" s="76" t="str">
        <f t="shared" si="4"/>
        <v/>
      </c>
      <c r="D416" s="76" t="str">
        <f>'Manual Entry'!D388</f>
        <v/>
      </c>
      <c r="E416" s="76" t="str">
        <f>'Manual Entry'!B388</f>
        <v/>
      </c>
      <c r="F416" s="76" t="str">
        <f>'Manual Entry'!F388</f>
        <v/>
      </c>
      <c r="G416" s="76" t="str">
        <f>'Manual Entry'!G388</f>
        <v/>
      </c>
      <c r="H416" s="76" t="str">
        <f>'Manual Entry'!H388</f>
        <v/>
      </c>
      <c r="I416" s="78" t="str">
        <f>'Manual Entry'!I388</f>
        <v/>
      </c>
      <c r="J416" s="78" t="str">
        <f>'Manual Entry'!J388</f>
        <v/>
      </c>
      <c r="K416" s="78" t="str">
        <f>'Manual Entry'!K388</f>
        <v/>
      </c>
      <c r="L416" s="78" t="str">
        <f>'Manual Entry'!L388</f>
        <v/>
      </c>
      <c r="M416" s="78" t="str">
        <f>'Manual Entry'!M388</f>
        <v/>
      </c>
      <c r="N416" s="78" t="str">
        <f>'Manual Entry'!N388</f>
        <v/>
      </c>
      <c r="O416" s="76">
        <f t="shared" si="6"/>
        <v>0</v>
      </c>
      <c r="P416" s="76">
        <f t="shared" si="7"/>
        <v>0</v>
      </c>
      <c r="Q416" s="76">
        <f t="shared" si="8"/>
        <v>0</v>
      </c>
      <c r="R416" s="76">
        <f t="shared" si="9"/>
        <v>0</v>
      </c>
      <c r="S416" s="76" t="str">
        <f t="shared" si="10"/>
        <v/>
      </c>
      <c r="T416" s="76" t="str">
        <f t="shared" si="11"/>
        <v/>
      </c>
      <c r="U416" s="76" t="str">
        <f t="shared" si="12"/>
        <v/>
      </c>
      <c r="V416" s="76" t="str">
        <f t="shared" si="13"/>
        <v/>
      </c>
      <c r="W416" s="76" t="str">
        <f t="shared" si="14"/>
        <v/>
      </c>
      <c r="X416" s="76" t="str">
        <f t="shared" si="15"/>
        <v/>
      </c>
      <c r="Y416" s="76" t="str">
        <f t="shared" si="16"/>
        <v/>
      </c>
      <c r="Z416" s="76" t="str">
        <f t="shared" si="17"/>
        <v/>
      </c>
      <c r="AA416" s="76" t="str">
        <f t="shared" si="18"/>
        <v/>
      </c>
      <c r="AB416" s="76" t="str">
        <f t="shared" si="19"/>
        <v/>
      </c>
      <c r="AC416" s="76" t="str">
        <f t="shared" si="20"/>
        <v/>
      </c>
      <c r="AD416" s="76" t="str">
        <f t="shared" si="21"/>
        <v/>
      </c>
      <c r="AE416" s="76" t="str">
        <f t="shared" si="22"/>
        <v/>
      </c>
      <c r="AF416" s="76" t="str">
        <f t="shared" si="23"/>
        <v/>
      </c>
      <c r="AG416" s="76" t="str">
        <f t="shared" si="24"/>
        <v/>
      </c>
      <c r="AH416" s="76" t="str">
        <f t="shared" si="25"/>
        <v/>
      </c>
      <c r="AI416" s="76" t="str">
        <f t="shared" si="26"/>
        <v/>
      </c>
      <c r="AJ416" s="76" t="str">
        <f t="shared" si="27"/>
        <v/>
      </c>
      <c r="AK416" s="76" t="str">
        <f t="shared" si="28"/>
        <v/>
      </c>
      <c r="AL416" s="76" t="str">
        <f t="shared" si="29"/>
        <v/>
      </c>
      <c r="AM416" s="76" t="str">
        <f t="shared" si="30"/>
        <v/>
      </c>
      <c r="AN416" s="76" t="str">
        <f t="shared" si="31"/>
        <v/>
      </c>
      <c r="AO416" s="76" t="str">
        <f t="shared" si="32"/>
        <v/>
      </c>
      <c r="AP416" s="76" t="str">
        <f t="shared" si="33"/>
        <v/>
      </c>
    </row>
    <row r="417" ht="15.75" customHeight="1">
      <c r="A417" s="76" t="str">
        <f>IF('Manual Entry'!A389="","",'Manual Entry'!A389)</f>
        <v/>
      </c>
      <c r="B417" s="76" t="str">
        <f t="shared" si="3"/>
        <v/>
      </c>
      <c r="C417" s="76" t="str">
        <f t="shared" si="4"/>
        <v/>
      </c>
      <c r="D417" s="76" t="str">
        <f>'Manual Entry'!D389</f>
        <v/>
      </c>
      <c r="E417" s="76" t="str">
        <f>'Manual Entry'!B389</f>
        <v/>
      </c>
      <c r="F417" s="76" t="str">
        <f>'Manual Entry'!F389</f>
        <v/>
      </c>
      <c r="G417" s="76" t="str">
        <f>'Manual Entry'!G389</f>
        <v/>
      </c>
      <c r="H417" s="76" t="str">
        <f>'Manual Entry'!H389</f>
        <v/>
      </c>
      <c r="I417" s="78" t="str">
        <f>'Manual Entry'!I389</f>
        <v/>
      </c>
      <c r="J417" s="78" t="str">
        <f>'Manual Entry'!J389</f>
        <v/>
      </c>
      <c r="K417" s="78" t="str">
        <f>'Manual Entry'!K389</f>
        <v/>
      </c>
      <c r="L417" s="78" t="str">
        <f>'Manual Entry'!L389</f>
        <v/>
      </c>
      <c r="M417" s="78" t="str">
        <f>'Manual Entry'!M389</f>
        <v/>
      </c>
      <c r="N417" s="78" t="str">
        <f>'Manual Entry'!N389</f>
        <v/>
      </c>
      <c r="O417" s="76">
        <f t="shared" si="6"/>
        <v>0</v>
      </c>
      <c r="P417" s="76">
        <f t="shared" si="7"/>
        <v>0</v>
      </c>
      <c r="Q417" s="76">
        <f t="shared" si="8"/>
        <v>0</v>
      </c>
      <c r="R417" s="76">
        <f t="shared" si="9"/>
        <v>0</v>
      </c>
      <c r="S417" s="76" t="str">
        <f t="shared" si="10"/>
        <v/>
      </c>
      <c r="T417" s="76" t="str">
        <f t="shared" si="11"/>
        <v/>
      </c>
      <c r="U417" s="76" t="str">
        <f t="shared" si="12"/>
        <v/>
      </c>
      <c r="V417" s="76" t="str">
        <f t="shared" si="13"/>
        <v/>
      </c>
      <c r="W417" s="76" t="str">
        <f t="shared" si="14"/>
        <v/>
      </c>
      <c r="X417" s="76" t="str">
        <f t="shared" si="15"/>
        <v/>
      </c>
      <c r="Y417" s="76" t="str">
        <f t="shared" si="16"/>
        <v/>
      </c>
      <c r="Z417" s="76" t="str">
        <f t="shared" si="17"/>
        <v/>
      </c>
      <c r="AA417" s="76" t="str">
        <f t="shared" si="18"/>
        <v/>
      </c>
      <c r="AB417" s="76" t="str">
        <f t="shared" si="19"/>
        <v/>
      </c>
      <c r="AC417" s="76" t="str">
        <f t="shared" si="20"/>
        <v/>
      </c>
      <c r="AD417" s="76" t="str">
        <f t="shared" si="21"/>
        <v/>
      </c>
      <c r="AE417" s="76" t="str">
        <f t="shared" si="22"/>
        <v/>
      </c>
      <c r="AF417" s="76" t="str">
        <f t="shared" si="23"/>
        <v/>
      </c>
      <c r="AG417" s="76" t="str">
        <f t="shared" si="24"/>
        <v/>
      </c>
      <c r="AH417" s="76" t="str">
        <f t="shared" si="25"/>
        <v/>
      </c>
      <c r="AI417" s="76" t="str">
        <f t="shared" si="26"/>
        <v/>
      </c>
      <c r="AJ417" s="76" t="str">
        <f t="shared" si="27"/>
        <v/>
      </c>
      <c r="AK417" s="76" t="str">
        <f t="shared" si="28"/>
        <v/>
      </c>
      <c r="AL417" s="76" t="str">
        <f t="shared" si="29"/>
        <v/>
      </c>
      <c r="AM417" s="76" t="str">
        <f t="shared" si="30"/>
        <v/>
      </c>
      <c r="AN417" s="76" t="str">
        <f t="shared" si="31"/>
        <v/>
      </c>
      <c r="AO417" s="76" t="str">
        <f t="shared" si="32"/>
        <v/>
      </c>
      <c r="AP417" s="76" t="str">
        <f t="shared" si="33"/>
        <v/>
      </c>
    </row>
    <row r="418" ht="15.75" customHeight="1">
      <c r="A418" s="76" t="str">
        <f>IF('Manual Entry'!A390="","",'Manual Entry'!A390)</f>
        <v/>
      </c>
      <c r="B418" s="76" t="str">
        <f t="shared" si="3"/>
        <v/>
      </c>
      <c r="C418" s="76" t="str">
        <f t="shared" si="4"/>
        <v/>
      </c>
      <c r="D418" s="76" t="str">
        <f>'Manual Entry'!D390</f>
        <v/>
      </c>
      <c r="E418" s="76" t="str">
        <f>'Manual Entry'!B390</f>
        <v/>
      </c>
      <c r="F418" s="76" t="str">
        <f>'Manual Entry'!F390</f>
        <v/>
      </c>
      <c r="G418" s="76" t="str">
        <f>'Manual Entry'!G390</f>
        <v/>
      </c>
      <c r="H418" s="76" t="str">
        <f>'Manual Entry'!H390</f>
        <v/>
      </c>
      <c r="I418" s="78" t="str">
        <f>'Manual Entry'!I390</f>
        <v/>
      </c>
      <c r="J418" s="78" t="str">
        <f>'Manual Entry'!J390</f>
        <v/>
      </c>
      <c r="K418" s="78" t="str">
        <f>'Manual Entry'!K390</f>
        <v/>
      </c>
      <c r="L418" s="78" t="str">
        <f>'Manual Entry'!L390</f>
        <v/>
      </c>
      <c r="M418" s="78" t="str">
        <f>'Manual Entry'!M390</f>
        <v/>
      </c>
      <c r="N418" s="78" t="str">
        <f>'Manual Entry'!N390</f>
        <v/>
      </c>
      <c r="O418" s="76">
        <f t="shared" si="6"/>
        <v>0</v>
      </c>
      <c r="P418" s="76">
        <f t="shared" si="7"/>
        <v>0</v>
      </c>
      <c r="Q418" s="76">
        <f t="shared" si="8"/>
        <v>0</v>
      </c>
      <c r="R418" s="76">
        <f t="shared" si="9"/>
        <v>0</v>
      </c>
      <c r="S418" s="76" t="str">
        <f t="shared" si="10"/>
        <v/>
      </c>
      <c r="T418" s="76" t="str">
        <f t="shared" si="11"/>
        <v/>
      </c>
      <c r="U418" s="76" t="str">
        <f t="shared" si="12"/>
        <v/>
      </c>
      <c r="V418" s="76" t="str">
        <f t="shared" si="13"/>
        <v/>
      </c>
      <c r="W418" s="76" t="str">
        <f t="shared" si="14"/>
        <v/>
      </c>
      <c r="X418" s="76" t="str">
        <f t="shared" si="15"/>
        <v/>
      </c>
      <c r="Y418" s="76" t="str">
        <f t="shared" si="16"/>
        <v/>
      </c>
      <c r="Z418" s="76" t="str">
        <f t="shared" si="17"/>
        <v/>
      </c>
      <c r="AA418" s="76" t="str">
        <f t="shared" si="18"/>
        <v/>
      </c>
      <c r="AB418" s="76" t="str">
        <f t="shared" si="19"/>
        <v/>
      </c>
      <c r="AC418" s="76" t="str">
        <f t="shared" si="20"/>
        <v/>
      </c>
      <c r="AD418" s="76" t="str">
        <f t="shared" si="21"/>
        <v/>
      </c>
      <c r="AE418" s="76" t="str">
        <f t="shared" si="22"/>
        <v/>
      </c>
      <c r="AF418" s="76" t="str">
        <f t="shared" si="23"/>
        <v/>
      </c>
      <c r="AG418" s="76" t="str">
        <f t="shared" si="24"/>
        <v/>
      </c>
      <c r="AH418" s="76" t="str">
        <f t="shared" si="25"/>
        <v/>
      </c>
      <c r="AI418" s="76" t="str">
        <f t="shared" si="26"/>
        <v/>
      </c>
      <c r="AJ418" s="76" t="str">
        <f t="shared" si="27"/>
        <v/>
      </c>
      <c r="AK418" s="76" t="str">
        <f t="shared" si="28"/>
        <v/>
      </c>
      <c r="AL418" s="76" t="str">
        <f t="shared" si="29"/>
        <v/>
      </c>
      <c r="AM418" s="76" t="str">
        <f t="shared" si="30"/>
        <v/>
      </c>
      <c r="AN418" s="76" t="str">
        <f t="shared" si="31"/>
        <v/>
      </c>
      <c r="AO418" s="76" t="str">
        <f t="shared" si="32"/>
        <v/>
      </c>
      <c r="AP418" s="76" t="str">
        <f t="shared" si="33"/>
        <v/>
      </c>
    </row>
    <row r="419" ht="15.75" customHeight="1">
      <c r="A419" s="76" t="str">
        <f>IF('Manual Entry'!A391="","",'Manual Entry'!A391)</f>
        <v/>
      </c>
      <c r="B419" s="76" t="str">
        <f t="shared" si="3"/>
        <v/>
      </c>
      <c r="C419" s="76" t="str">
        <f t="shared" si="4"/>
        <v/>
      </c>
      <c r="D419" s="76" t="str">
        <f>'Manual Entry'!D391</f>
        <v/>
      </c>
      <c r="E419" s="76" t="str">
        <f>'Manual Entry'!B391</f>
        <v/>
      </c>
      <c r="F419" s="76" t="str">
        <f>'Manual Entry'!F391</f>
        <v/>
      </c>
      <c r="G419" s="76" t="str">
        <f>'Manual Entry'!G391</f>
        <v/>
      </c>
      <c r="H419" s="76" t="str">
        <f>'Manual Entry'!H391</f>
        <v/>
      </c>
      <c r="I419" s="78" t="str">
        <f>'Manual Entry'!I391</f>
        <v/>
      </c>
      <c r="J419" s="78" t="str">
        <f>'Manual Entry'!J391</f>
        <v/>
      </c>
      <c r="K419" s="78" t="str">
        <f>'Manual Entry'!K391</f>
        <v/>
      </c>
      <c r="L419" s="78" t="str">
        <f>'Manual Entry'!L391</f>
        <v/>
      </c>
      <c r="M419" s="78" t="str">
        <f>'Manual Entry'!M391</f>
        <v/>
      </c>
      <c r="N419" s="78" t="str">
        <f>'Manual Entry'!N391</f>
        <v/>
      </c>
      <c r="O419" s="76">
        <f t="shared" si="6"/>
        <v>0</v>
      </c>
      <c r="P419" s="76">
        <f t="shared" si="7"/>
        <v>0</v>
      </c>
      <c r="Q419" s="76">
        <f t="shared" si="8"/>
        <v>0</v>
      </c>
      <c r="R419" s="76">
        <f t="shared" si="9"/>
        <v>0</v>
      </c>
      <c r="S419" s="76" t="str">
        <f t="shared" si="10"/>
        <v/>
      </c>
      <c r="T419" s="76" t="str">
        <f t="shared" si="11"/>
        <v/>
      </c>
      <c r="U419" s="76" t="str">
        <f t="shared" si="12"/>
        <v/>
      </c>
      <c r="V419" s="76" t="str">
        <f t="shared" si="13"/>
        <v/>
      </c>
      <c r="W419" s="76" t="str">
        <f t="shared" si="14"/>
        <v/>
      </c>
      <c r="X419" s="76" t="str">
        <f t="shared" si="15"/>
        <v/>
      </c>
      <c r="Y419" s="76" t="str">
        <f t="shared" si="16"/>
        <v/>
      </c>
      <c r="Z419" s="76" t="str">
        <f t="shared" si="17"/>
        <v/>
      </c>
      <c r="AA419" s="76" t="str">
        <f t="shared" si="18"/>
        <v/>
      </c>
      <c r="AB419" s="76" t="str">
        <f t="shared" si="19"/>
        <v/>
      </c>
      <c r="AC419" s="76" t="str">
        <f t="shared" si="20"/>
        <v/>
      </c>
      <c r="AD419" s="76" t="str">
        <f t="shared" si="21"/>
        <v/>
      </c>
      <c r="AE419" s="76" t="str">
        <f t="shared" si="22"/>
        <v/>
      </c>
      <c r="AF419" s="76" t="str">
        <f t="shared" si="23"/>
        <v/>
      </c>
      <c r="AG419" s="76" t="str">
        <f t="shared" si="24"/>
        <v/>
      </c>
      <c r="AH419" s="76" t="str">
        <f t="shared" si="25"/>
        <v/>
      </c>
      <c r="AI419" s="76" t="str">
        <f t="shared" si="26"/>
        <v/>
      </c>
      <c r="AJ419" s="76" t="str">
        <f t="shared" si="27"/>
        <v/>
      </c>
      <c r="AK419" s="76" t="str">
        <f t="shared" si="28"/>
        <v/>
      </c>
      <c r="AL419" s="76" t="str">
        <f t="shared" si="29"/>
        <v/>
      </c>
      <c r="AM419" s="76" t="str">
        <f t="shared" si="30"/>
        <v/>
      </c>
      <c r="AN419" s="76" t="str">
        <f t="shared" si="31"/>
        <v/>
      </c>
      <c r="AO419" s="76" t="str">
        <f t="shared" si="32"/>
        <v/>
      </c>
      <c r="AP419" s="76" t="str">
        <f t="shared" si="33"/>
        <v/>
      </c>
    </row>
    <row r="420" ht="15.75" customHeight="1">
      <c r="A420" s="76" t="str">
        <f>IF('Manual Entry'!A392="","",'Manual Entry'!A392)</f>
        <v/>
      </c>
      <c r="B420" s="76" t="str">
        <f t="shared" si="3"/>
        <v/>
      </c>
      <c r="C420" s="76" t="str">
        <f t="shared" si="4"/>
        <v/>
      </c>
      <c r="D420" s="76" t="str">
        <f>'Manual Entry'!D392</f>
        <v/>
      </c>
      <c r="E420" s="76" t="str">
        <f>'Manual Entry'!B392</f>
        <v/>
      </c>
      <c r="F420" s="76" t="str">
        <f>'Manual Entry'!F392</f>
        <v/>
      </c>
      <c r="G420" s="76" t="str">
        <f>'Manual Entry'!G392</f>
        <v/>
      </c>
      <c r="H420" s="76" t="str">
        <f>'Manual Entry'!H392</f>
        <v/>
      </c>
      <c r="I420" s="78" t="str">
        <f>'Manual Entry'!I392</f>
        <v/>
      </c>
      <c r="J420" s="78" t="str">
        <f>'Manual Entry'!J392</f>
        <v/>
      </c>
      <c r="K420" s="78" t="str">
        <f>'Manual Entry'!K392</f>
        <v/>
      </c>
      <c r="L420" s="78" t="str">
        <f>'Manual Entry'!L392</f>
        <v/>
      </c>
      <c r="M420" s="78" t="str">
        <f>'Manual Entry'!M392</f>
        <v/>
      </c>
      <c r="N420" s="78" t="str">
        <f>'Manual Entry'!N392</f>
        <v/>
      </c>
      <c r="O420" s="76">
        <f t="shared" si="6"/>
        <v>0</v>
      </c>
      <c r="P420" s="76">
        <f t="shared" si="7"/>
        <v>0</v>
      </c>
      <c r="Q420" s="76">
        <f t="shared" si="8"/>
        <v>0</v>
      </c>
      <c r="R420" s="76">
        <f t="shared" si="9"/>
        <v>0</v>
      </c>
      <c r="S420" s="76" t="str">
        <f t="shared" si="10"/>
        <v/>
      </c>
      <c r="T420" s="76" t="str">
        <f t="shared" si="11"/>
        <v/>
      </c>
      <c r="U420" s="76" t="str">
        <f t="shared" si="12"/>
        <v/>
      </c>
      <c r="V420" s="76" t="str">
        <f t="shared" si="13"/>
        <v/>
      </c>
      <c r="W420" s="76" t="str">
        <f t="shared" si="14"/>
        <v/>
      </c>
      <c r="X420" s="76" t="str">
        <f t="shared" si="15"/>
        <v/>
      </c>
      <c r="Y420" s="76" t="str">
        <f t="shared" si="16"/>
        <v/>
      </c>
      <c r="Z420" s="76" t="str">
        <f t="shared" si="17"/>
        <v/>
      </c>
      <c r="AA420" s="76" t="str">
        <f t="shared" si="18"/>
        <v/>
      </c>
      <c r="AB420" s="76" t="str">
        <f t="shared" si="19"/>
        <v/>
      </c>
      <c r="AC420" s="76" t="str">
        <f t="shared" si="20"/>
        <v/>
      </c>
      <c r="AD420" s="76" t="str">
        <f t="shared" si="21"/>
        <v/>
      </c>
      <c r="AE420" s="76" t="str">
        <f t="shared" si="22"/>
        <v/>
      </c>
      <c r="AF420" s="76" t="str">
        <f t="shared" si="23"/>
        <v/>
      </c>
      <c r="AG420" s="76" t="str">
        <f t="shared" si="24"/>
        <v/>
      </c>
      <c r="AH420" s="76" t="str">
        <f t="shared" si="25"/>
        <v/>
      </c>
      <c r="AI420" s="76" t="str">
        <f t="shared" si="26"/>
        <v/>
      </c>
      <c r="AJ420" s="76" t="str">
        <f t="shared" si="27"/>
        <v/>
      </c>
      <c r="AK420" s="76" t="str">
        <f t="shared" si="28"/>
        <v/>
      </c>
      <c r="AL420" s="76" t="str">
        <f t="shared" si="29"/>
        <v/>
      </c>
      <c r="AM420" s="76" t="str">
        <f t="shared" si="30"/>
        <v/>
      </c>
      <c r="AN420" s="76" t="str">
        <f t="shared" si="31"/>
        <v/>
      </c>
      <c r="AO420" s="76" t="str">
        <f t="shared" si="32"/>
        <v/>
      </c>
      <c r="AP420" s="76" t="str">
        <f t="shared" si="33"/>
        <v/>
      </c>
    </row>
    <row r="421" ht="15.75" customHeight="1">
      <c r="A421" s="76" t="str">
        <f>IF('Manual Entry'!A393="","",'Manual Entry'!A393)</f>
        <v/>
      </c>
      <c r="B421" s="76" t="str">
        <f t="shared" si="3"/>
        <v/>
      </c>
      <c r="C421" s="76" t="str">
        <f t="shared" si="4"/>
        <v/>
      </c>
      <c r="D421" s="76" t="str">
        <f>'Manual Entry'!D393</f>
        <v/>
      </c>
      <c r="E421" s="76" t="str">
        <f>'Manual Entry'!B393</f>
        <v/>
      </c>
      <c r="F421" s="76" t="str">
        <f>'Manual Entry'!F393</f>
        <v/>
      </c>
      <c r="G421" s="76" t="str">
        <f>'Manual Entry'!G393</f>
        <v/>
      </c>
      <c r="H421" s="76" t="str">
        <f>'Manual Entry'!H393</f>
        <v/>
      </c>
      <c r="I421" s="78" t="str">
        <f>'Manual Entry'!I393</f>
        <v/>
      </c>
      <c r="J421" s="78" t="str">
        <f>'Manual Entry'!J393</f>
        <v/>
      </c>
      <c r="K421" s="78" t="str">
        <f>'Manual Entry'!K393</f>
        <v/>
      </c>
      <c r="L421" s="78" t="str">
        <f>'Manual Entry'!L393</f>
        <v/>
      </c>
      <c r="M421" s="78" t="str">
        <f>'Manual Entry'!M393</f>
        <v/>
      </c>
      <c r="N421" s="78" t="str">
        <f>'Manual Entry'!N393</f>
        <v/>
      </c>
      <c r="O421" s="76">
        <f t="shared" si="6"/>
        <v>0</v>
      </c>
      <c r="P421" s="76">
        <f t="shared" si="7"/>
        <v>0</v>
      </c>
      <c r="Q421" s="76">
        <f t="shared" si="8"/>
        <v>0</v>
      </c>
      <c r="R421" s="76">
        <f t="shared" si="9"/>
        <v>0</v>
      </c>
      <c r="S421" s="76" t="str">
        <f t="shared" si="10"/>
        <v/>
      </c>
      <c r="T421" s="76" t="str">
        <f t="shared" si="11"/>
        <v/>
      </c>
      <c r="U421" s="76" t="str">
        <f t="shared" si="12"/>
        <v/>
      </c>
      <c r="V421" s="76" t="str">
        <f t="shared" si="13"/>
        <v/>
      </c>
      <c r="W421" s="76" t="str">
        <f t="shared" si="14"/>
        <v/>
      </c>
      <c r="X421" s="76" t="str">
        <f t="shared" si="15"/>
        <v/>
      </c>
      <c r="Y421" s="76" t="str">
        <f t="shared" si="16"/>
        <v/>
      </c>
      <c r="Z421" s="76" t="str">
        <f t="shared" si="17"/>
        <v/>
      </c>
      <c r="AA421" s="76" t="str">
        <f t="shared" si="18"/>
        <v/>
      </c>
      <c r="AB421" s="76" t="str">
        <f t="shared" si="19"/>
        <v/>
      </c>
      <c r="AC421" s="76" t="str">
        <f t="shared" si="20"/>
        <v/>
      </c>
      <c r="AD421" s="76" t="str">
        <f t="shared" si="21"/>
        <v/>
      </c>
      <c r="AE421" s="76" t="str">
        <f t="shared" si="22"/>
        <v/>
      </c>
      <c r="AF421" s="76" t="str">
        <f t="shared" si="23"/>
        <v/>
      </c>
      <c r="AG421" s="76" t="str">
        <f t="shared" si="24"/>
        <v/>
      </c>
      <c r="AH421" s="76" t="str">
        <f t="shared" si="25"/>
        <v/>
      </c>
      <c r="AI421" s="76" t="str">
        <f t="shared" si="26"/>
        <v/>
      </c>
      <c r="AJ421" s="76" t="str">
        <f t="shared" si="27"/>
        <v/>
      </c>
      <c r="AK421" s="76" t="str">
        <f t="shared" si="28"/>
        <v/>
      </c>
      <c r="AL421" s="76" t="str">
        <f t="shared" si="29"/>
        <v/>
      </c>
      <c r="AM421" s="76" t="str">
        <f t="shared" si="30"/>
        <v/>
      </c>
      <c r="AN421" s="76" t="str">
        <f t="shared" si="31"/>
        <v/>
      </c>
      <c r="AO421" s="76" t="str">
        <f t="shared" si="32"/>
        <v/>
      </c>
      <c r="AP421" s="76" t="str">
        <f t="shared" si="33"/>
        <v/>
      </c>
    </row>
    <row r="422" ht="15.75" customHeight="1">
      <c r="A422" s="76" t="str">
        <f>IF('Manual Entry'!A394="","",'Manual Entry'!A394)</f>
        <v/>
      </c>
      <c r="B422" s="76" t="str">
        <f t="shared" si="3"/>
        <v/>
      </c>
      <c r="C422" s="76" t="str">
        <f t="shared" si="4"/>
        <v/>
      </c>
      <c r="D422" s="76" t="str">
        <f>'Manual Entry'!D394</f>
        <v/>
      </c>
      <c r="E422" s="76" t="str">
        <f>'Manual Entry'!B394</f>
        <v/>
      </c>
      <c r="F422" s="76" t="str">
        <f>'Manual Entry'!F394</f>
        <v/>
      </c>
      <c r="G422" s="76" t="str">
        <f>'Manual Entry'!G394</f>
        <v/>
      </c>
      <c r="H422" s="76" t="str">
        <f>'Manual Entry'!H394</f>
        <v/>
      </c>
      <c r="I422" s="78" t="str">
        <f>'Manual Entry'!I394</f>
        <v/>
      </c>
      <c r="J422" s="78" t="str">
        <f>'Manual Entry'!J394</f>
        <v/>
      </c>
      <c r="K422" s="78" t="str">
        <f>'Manual Entry'!K394</f>
        <v/>
      </c>
      <c r="L422" s="78" t="str">
        <f>'Manual Entry'!L394</f>
        <v/>
      </c>
      <c r="M422" s="78" t="str">
        <f>'Manual Entry'!M394</f>
        <v/>
      </c>
      <c r="N422" s="78" t="str">
        <f>'Manual Entry'!N394</f>
        <v/>
      </c>
      <c r="O422" s="76">
        <f t="shared" si="6"/>
        <v>0</v>
      </c>
      <c r="P422" s="76">
        <f t="shared" si="7"/>
        <v>0</v>
      </c>
      <c r="Q422" s="76">
        <f t="shared" si="8"/>
        <v>0</v>
      </c>
      <c r="R422" s="76">
        <f t="shared" si="9"/>
        <v>0</v>
      </c>
      <c r="S422" s="76" t="str">
        <f t="shared" si="10"/>
        <v/>
      </c>
      <c r="T422" s="76" t="str">
        <f t="shared" si="11"/>
        <v/>
      </c>
      <c r="U422" s="76" t="str">
        <f t="shared" si="12"/>
        <v/>
      </c>
      <c r="V422" s="76" t="str">
        <f t="shared" si="13"/>
        <v/>
      </c>
      <c r="W422" s="76" t="str">
        <f t="shared" si="14"/>
        <v/>
      </c>
      <c r="X422" s="76" t="str">
        <f t="shared" si="15"/>
        <v/>
      </c>
      <c r="Y422" s="76" t="str">
        <f t="shared" si="16"/>
        <v/>
      </c>
      <c r="Z422" s="76" t="str">
        <f t="shared" si="17"/>
        <v/>
      </c>
      <c r="AA422" s="76" t="str">
        <f t="shared" si="18"/>
        <v/>
      </c>
      <c r="AB422" s="76" t="str">
        <f t="shared" si="19"/>
        <v/>
      </c>
      <c r="AC422" s="76" t="str">
        <f t="shared" si="20"/>
        <v/>
      </c>
      <c r="AD422" s="76" t="str">
        <f t="shared" si="21"/>
        <v/>
      </c>
      <c r="AE422" s="76" t="str">
        <f t="shared" si="22"/>
        <v/>
      </c>
      <c r="AF422" s="76" t="str">
        <f t="shared" si="23"/>
        <v/>
      </c>
      <c r="AG422" s="76" t="str">
        <f t="shared" si="24"/>
        <v/>
      </c>
      <c r="AH422" s="76" t="str">
        <f t="shared" si="25"/>
        <v/>
      </c>
      <c r="AI422" s="76" t="str">
        <f t="shared" si="26"/>
        <v/>
      </c>
      <c r="AJ422" s="76" t="str">
        <f t="shared" si="27"/>
        <v/>
      </c>
      <c r="AK422" s="76" t="str">
        <f t="shared" si="28"/>
        <v/>
      </c>
      <c r="AL422" s="76" t="str">
        <f t="shared" si="29"/>
        <v/>
      </c>
      <c r="AM422" s="76" t="str">
        <f t="shared" si="30"/>
        <v/>
      </c>
      <c r="AN422" s="76" t="str">
        <f t="shared" si="31"/>
        <v/>
      </c>
      <c r="AO422" s="76" t="str">
        <f t="shared" si="32"/>
        <v/>
      </c>
      <c r="AP422" s="76" t="str">
        <f t="shared" si="33"/>
        <v/>
      </c>
    </row>
    <row r="423" ht="15.75" customHeight="1">
      <c r="A423" s="76" t="str">
        <f>IF('Manual Entry'!A395="","",'Manual Entry'!A395)</f>
        <v/>
      </c>
      <c r="B423" s="76" t="str">
        <f t="shared" si="3"/>
        <v/>
      </c>
      <c r="C423" s="76" t="str">
        <f t="shared" si="4"/>
        <v/>
      </c>
      <c r="D423" s="76" t="str">
        <f>'Manual Entry'!D395</f>
        <v/>
      </c>
      <c r="E423" s="76" t="str">
        <f>'Manual Entry'!B395</f>
        <v/>
      </c>
      <c r="F423" s="76" t="str">
        <f>'Manual Entry'!F395</f>
        <v/>
      </c>
      <c r="G423" s="76" t="str">
        <f>'Manual Entry'!G395</f>
        <v/>
      </c>
      <c r="H423" s="76" t="str">
        <f>'Manual Entry'!H395</f>
        <v/>
      </c>
      <c r="I423" s="78" t="str">
        <f>'Manual Entry'!I395</f>
        <v/>
      </c>
      <c r="J423" s="78" t="str">
        <f>'Manual Entry'!J395</f>
        <v/>
      </c>
      <c r="K423" s="78" t="str">
        <f>'Manual Entry'!K395</f>
        <v/>
      </c>
      <c r="L423" s="78" t="str">
        <f>'Manual Entry'!L395</f>
        <v/>
      </c>
      <c r="M423" s="78" t="str">
        <f>'Manual Entry'!M395</f>
        <v/>
      </c>
      <c r="N423" s="78" t="str">
        <f>'Manual Entry'!N395</f>
        <v/>
      </c>
      <c r="O423" s="76">
        <f t="shared" si="6"/>
        <v>0</v>
      </c>
      <c r="P423" s="76">
        <f t="shared" si="7"/>
        <v>0</v>
      </c>
      <c r="Q423" s="76">
        <f t="shared" si="8"/>
        <v>0</v>
      </c>
      <c r="R423" s="76">
        <f t="shared" si="9"/>
        <v>0</v>
      </c>
      <c r="S423" s="76" t="str">
        <f t="shared" si="10"/>
        <v/>
      </c>
      <c r="T423" s="76" t="str">
        <f t="shared" si="11"/>
        <v/>
      </c>
      <c r="U423" s="76" t="str">
        <f t="shared" si="12"/>
        <v/>
      </c>
      <c r="V423" s="76" t="str">
        <f t="shared" si="13"/>
        <v/>
      </c>
      <c r="W423" s="76" t="str">
        <f t="shared" si="14"/>
        <v/>
      </c>
      <c r="X423" s="76" t="str">
        <f t="shared" si="15"/>
        <v/>
      </c>
      <c r="Y423" s="76" t="str">
        <f t="shared" si="16"/>
        <v/>
      </c>
      <c r="Z423" s="76" t="str">
        <f t="shared" si="17"/>
        <v/>
      </c>
      <c r="AA423" s="76" t="str">
        <f t="shared" si="18"/>
        <v/>
      </c>
      <c r="AB423" s="76" t="str">
        <f t="shared" si="19"/>
        <v/>
      </c>
      <c r="AC423" s="76" t="str">
        <f t="shared" si="20"/>
        <v/>
      </c>
      <c r="AD423" s="76" t="str">
        <f t="shared" si="21"/>
        <v/>
      </c>
      <c r="AE423" s="76" t="str">
        <f t="shared" si="22"/>
        <v/>
      </c>
      <c r="AF423" s="76" t="str">
        <f t="shared" si="23"/>
        <v/>
      </c>
      <c r="AG423" s="76" t="str">
        <f t="shared" si="24"/>
        <v/>
      </c>
      <c r="AH423" s="76" t="str">
        <f t="shared" si="25"/>
        <v/>
      </c>
      <c r="AI423" s="76" t="str">
        <f t="shared" si="26"/>
        <v/>
      </c>
      <c r="AJ423" s="76" t="str">
        <f t="shared" si="27"/>
        <v/>
      </c>
      <c r="AK423" s="76" t="str">
        <f t="shared" si="28"/>
        <v/>
      </c>
      <c r="AL423" s="76" t="str">
        <f t="shared" si="29"/>
        <v/>
      </c>
      <c r="AM423" s="76" t="str">
        <f t="shared" si="30"/>
        <v/>
      </c>
      <c r="AN423" s="76" t="str">
        <f t="shared" si="31"/>
        <v/>
      </c>
      <c r="AO423" s="76" t="str">
        <f t="shared" si="32"/>
        <v/>
      </c>
      <c r="AP423" s="76" t="str">
        <f t="shared" si="33"/>
        <v/>
      </c>
    </row>
    <row r="424" ht="15.75" customHeight="1">
      <c r="A424" s="76" t="str">
        <f>IF('Manual Entry'!A396="","",'Manual Entry'!A396)</f>
        <v/>
      </c>
      <c r="B424" s="76" t="str">
        <f t="shared" si="3"/>
        <v/>
      </c>
      <c r="C424" s="76" t="str">
        <f t="shared" si="4"/>
        <v/>
      </c>
      <c r="D424" s="76" t="str">
        <f>'Manual Entry'!D396</f>
        <v/>
      </c>
      <c r="E424" s="76" t="str">
        <f>'Manual Entry'!B396</f>
        <v/>
      </c>
      <c r="F424" s="76" t="str">
        <f>'Manual Entry'!F396</f>
        <v/>
      </c>
      <c r="G424" s="76" t="str">
        <f>'Manual Entry'!G396</f>
        <v/>
      </c>
      <c r="H424" s="76" t="str">
        <f>'Manual Entry'!H396</f>
        <v/>
      </c>
      <c r="I424" s="78" t="str">
        <f>'Manual Entry'!I396</f>
        <v/>
      </c>
      <c r="J424" s="78" t="str">
        <f>'Manual Entry'!J396</f>
        <v/>
      </c>
      <c r="K424" s="78" t="str">
        <f>'Manual Entry'!K396</f>
        <v/>
      </c>
      <c r="L424" s="78" t="str">
        <f>'Manual Entry'!L396</f>
        <v/>
      </c>
      <c r="M424" s="78" t="str">
        <f>'Manual Entry'!M396</f>
        <v/>
      </c>
      <c r="N424" s="78" t="str">
        <f>'Manual Entry'!N396</f>
        <v/>
      </c>
      <c r="O424" s="76">
        <f t="shared" si="6"/>
        <v>0</v>
      </c>
      <c r="P424" s="76">
        <f t="shared" si="7"/>
        <v>0</v>
      </c>
      <c r="Q424" s="76">
        <f t="shared" si="8"/>
        <v>0</v>
      </c>
      <c r="R424" s="76">
        <f t="shared" si="9"/>
        <v>0</v>
      </c>
      <c r="S424" s="76" t="str">
        <f t="shared" si="10"/>
        <v/>
      </c>
      <c r="T424" s="76" t="str">
        <f t="shared" si="11"/>
        <v/>
      </c>
      <c r="U424" s="76" t="str">
        <f t="shared" si="12"/>
        <v/>
      </c>
      <c r="V424" s="76" t="str">
        <f t="shared" si="13"/>
        <v/>
      </c>
      <c r="W424" s="76" t="str">
        <f t="shared" si="14"/>
        <v/>
      </c>
      <c r="X424" s="76" t="str">
        <f t="shared" si="15"/>
        <v/>
      </c>
      <c r="Y424" s="76" t="str">
        <f t="shared" si="16"/>
        <v/>
      </c>
      <c r="Z424" s="76" t="str">
        <f t="shared" si="17"/>
        <v/>
      </c>
      <c r="AA424" s="76" t="str">
        <f t="shared" si="18"/>
        <v/>
      </c>
      <c r="AB424" s="76" t="str">
        <f t="shared" si="19"/>
        <v/>
      </c>
      <c r="AC424" s="76" t="str">
        <f t="shared" si="20"/>
        <v/>
      </c>
      <c r="AD424" s="76" t="str">
        <f t="shared" si="21"/>
        <v/>
      </c>
      <c r="AE424" s="76" t="str">
        <f t="shared" si="22"/>
        <v/>
      </c>
      <c r="AF424" s="76" t="str">
        <f t="shared" si="23"/>
        <v/>
      </c>
      <c r="AG424" s="76" t="str">
        <f t="shared" si="24"/>
        <v/>
      </c>
      <c r="AH424" s="76" t="str">
        <f t="shared" si="25"/>
        <v/>
      </c>
      <c r="AI424" s="76" t="str">
        <f t="shared" si="26"/>
        <v/>
      </c>
      <c r="AJ424" s="76" t="str">
        <f t="shared" si="27"/>
        <v/>
      </c>
      <c r="AK424" s="76" t="str">
        <f t="shared" si="28"/>
        <v/>
      </c>
      <c r="AL424" s="76" t="str">
        <f t="shared" si="29"/>
        <v/>
      </c>
      <c r="AM424" s="76" t="str">
        <f t="shared" si="30"/>
        <v/>
      </c>
      <c r="AN424" s="76" t="str">
        <f t="shared" si="31"/>
        <v/>
      </c>
      <c r="AO424" s="76" t="str">
        <f t="shared" si="32"/>
        <v/>
      </c>
      <c r="AP424" s="76" t="str">
        <f t="shared" si="33"/>
        <v/>
      </c>
    </row>
    <row r="425" ht="15.75" customHeight="1">
      <c r="A425" s="76" t="str">
        <f>IF('Manual Entry'!A397="","",'Manual Entry'!A397)</f>
        <v/>
      </c>
      <c r="B425" s="76" t="str">
        <f t="shared" si="3"/>
        <v/>
      </c>
      <c r="C425" s="76" t="str">
        <f t="shared" si="4"/>
        <v/>
      </c>
      <c r="D425" s="76" t="str">
        <f>'Manual Entry'!D397</f>
        <v/>
      </c>
      <c r="E425" s="76" t="str">
        <f>'Manual Entry'!B397</f>
        <v/>
      </c>
      <c r="F425" s="76" t="str">
        <f>'Manual Entry'!F397</f>
        <v/>
      </c>
      <c r="G425" s="76" t="str">
        <f>'Manual Entry'!G397</f>
        <v/>
      </c>
      <c r="H425" s="76" t="str">
        <f>'Manual Entry'!H397</f>
        <v/>
      </c>
      <c r="I425" s="78" t="str">
        <f>'Manual Entry'!I397</f>
        <v/>
      </c>
      <c r="J425" s="78" t="str">
        <f>'Manual Entry'!J397</f>
        <v/>
      </c>
      <c r="K425" s="78" t="str">
        <f>'Manual Entry'!K397</f>
        <v/>
      </c>
      <c r="L425" s="78" t="str">
        <f>'Manual Entry'!L397</f>
        <v/>
      </c>
      <c r="M425" s="78" t="str">
        <f>'Manual Entry'!M397</f>
        <v/>
      </c>
      <c r="N425" s="78" t="str">
        <f>'Manual Entry'!N397</f>
        <v/>
      </c>
      <c r="O425" s="76">
        <f t="shared" si="6"/>
        <v>0</v>
      </c>
      <c r="P425" s="76">
        <f t="shared" si="7"/>
        <v>0</v>
      </c>
      <c r="Q425" s="76">
        <f t="shared" si="8"/>
        <v>0</v>
      </c>
      <c r="R425" s="76">
        <f t="shared" si="9"/>
        <v>0</v>
      </c>
      <c r="S425" s="76" t="str">
        <f t="shared" si="10"/>
        <v/>
      </c>
      <c r="T425" s="76" t="str">
        <f t="shared" si="11"/>
        <v/>
      </c>
      <c r="U425" s="76" t="str">
        <f t="shared" si="12"/>
        <v/>
      </c>
      <c r="V425" s="76" t="str">
        <f t="shared" si="13"/>
        <v/>
      </c>
      <c r="W425" s="76" t="str">
        <f t="shared" si="14"/>
        <v/>
      </c>
      <c r="X425" s="76" t="str">
        <f t="shared" si="15"/>
        <v/>
      </c>
      <c r="Y425" s="76" t="str">
        <f t="shared" si="16"/>
        <v/>
      </c>
      <c r="Z425" s="76" t="str">
        <f t="shared" si="17"/>
        <v/>
      </c>
      <c r="AA425" s="76" t="str">
        <f t="shared" si="18"/>
        <v/>
      </c>
      <c r="AB425" s="76" t="str">
        <f t="shared" si="19"/>
        <v/>
      </c>
      <c r="AC425" s="76" t="str">
        <f t="shared" si="20"/>
        <v/>
      </c>
      <c r="AD425" s="76" t="str">
        <f t="shared" si="21"/>
        <v/>
      </c>
      <c r="AE425" s="76" t="str">
        <f t="shared" si="22"/>
        <v/>
      </c>
      <c r="AF425" s="76" t="str">
        <f t="shared" si="23"/>
        <v/>
      </c>
      <c r="AG425" s="76" t="str">
        <f t="shared" si="24"/>
        <v/>
      </c>
      <c r="AH425" s="76" t="str">
        <f t="shared" si="25"/>
        <v/>
      </c>
      <c r="AI425" s="76" t="str">
        <f t="shared" si="26"/>
        <v/>
      </c>
      <c r="AJ425" s="76" t="str">
        <f t="shared" si="27"/>
        <v/>
      </c>
      <c r="AK425" s="76" t="str">
        <f t="shared" si="28"/>
        <v/>
      </c>
      <c r="AL425" s="76" t="str">
        <f t="shared" si="29"/>
        <v/>
      </c>
      <c r="AM425" s="76" t="str">
        <f t="shared" si="30"/>
        <v/>
      </c>
      <c r="AN425" s="76" t="str">
        <f t="shared" si="31"/>
        <v/>
      </c>
      <c r="AO425" s="76" t="str">
        <f t="shared" si="32"/>
        <v/>
      </c>
      <c r="AP425" s="76" t="str">
        <f t="shared" si="33"/>
        <v/>
      </c>
    </row>
    <row r="426" ht="15.75" customHeight="1">
      <c r="A426" s="76" t="str">
        <f>IF('Manual Entry'!A398="","",'Manual Entry'!A398)</f>
        <v/>
      </c>
      <c r="B426" s="76" t="str">
        <f t="shared" si="3"/>
        <v/>
      </c>
      <c r="C426" s="76" t="str">
        <f t="shared" si="4"/>
        <v/>
      </c>
      <c r="D426" s="76" t="str">
        <f>'Manual Entry'!D398</f>
        <v/>
      </c>
      <c r="E426" s="76" t="str">
        <f>'Manual Entry'!B398</f>
        <v/>
      </c>
      <c r="F426" s="76" t="str">
        <f>'Manual Entry'!F398</f>
        <v/>
      </c>
      <c r="G426" s="76" t="str">
        <f>'Manual Entry'!G398</f>
        <v/>
      </c>
      <c r="H426" s="76" t="str">
        <f>'Manual Entry'!H398</f>
        <v/>
      </c>
      <c r="I426" s="78" t="str">
        <f>'Manual Entry'!I398</f>
        <v/>
      </c>
      <c r="J426" s="78" t="str">
        <f>'Manual Entry'!J398</f>
        <v/>
      </c>
      <c r="K426" s="78" t="str">
        <f>'Manual Entry'!K398</f>
        <v/>
      </c>
      <c r="L426" s="78" t="str">
        <f>'Manual Entry'!L398</f>
        <v/>
      </c>
      <c r="M426" s="78" t="str">
        <f>'Manual Entry'!M398</f>
        <v/>
      </c>
      <c r="N426" s="78" t="str">
        <f>'Manual Entry'!N398</f>
        <v/>
      </c>
      <c r="O426" s="76">
        <f t="shared" si="6"/>
        <v>0</v>
      </c>
      <c r="P426" s="76">
        <f t="shared" si="7"/>
        <v>0</v>
      </c>
      <c r="Q426" s="76">
        <f t="shared" si="8"/>
        <v>0</v>
      </c>
      <c r="R426" s="76">
        <f t="shared" si="9"/>
        <v>0</v>
      </c>
      <c r="S426" s="76" t="str">
        <f t="shared" si="10"/>
        <v/>
      </c>
      <c r="T426" s="76" t="str">
        <f t="shared" si="11"/>
        <v/>
      </c>
      <c r="U426" s="76" t="str">
        <f t="shared" si="12"/>
        <v/>
      </c>
      <c r="V426" s="76" t="str">
        <f t="shared" si="13"/>
        <v/>
      </c>
      <c r="W426" s="76" t="str">
        <f t="shared" si="14"/>
        <v/>
      </c>
      <c r="X426" s="76" t="str">
        <f t="shared" si="15"/>
        <v/>
      </c>
      <c r="Y426" s="76" t="str">
        <f t="shared" si="16"/>
        <v/>
      </c>
      <c r="Z426" s="76" t="str">
        <f t="shared" si="17"/>
        <v/>
      </c>
      <c r="AA426" s="76" t="str">
        <f t="shared" si="18"/>
        <v/>
      </c>
      <c r="AB426" s="76" t="str">
        <f t="shared" si="19"/>
        <v/>
      </c>
      <c r="AC426" s="76" t="str">
        <f t="shared" si="20"/>
        <v/>
      </c>
      <c r="AD426" s="76" t="str">
        <f t="shared" si="21"/>
        <v/>
      </c>
      <c r="AE426" s="76" t="str">
        <f t="shared" si="22"/>
        <v/>
      </c>
      <c r="AF426" s="76" t="str">
        <f t="shared" si="23"/>
        <v/>
      </c>
      <c r="AG426" s="76" t="str">
        <f t="shared" si="24"/>
        <v/>
      </c>
      <c r="AH426" s="76" t="str">
        <f t="shared" si="25"/>
        <v/>
      </c>
      <c r="AI426" s="76" t="str">
        <f t="shared" si="26"/>
        <v/>
      </c>
      <c r="AJ426" s="76" t="str">
        <f t="shared" si="27"/>
        <v/>
      </c>
      <c r="AK426" s="76" t="str">
        <f t="shared" si="28"/>
        <v/>
      </c>
      <c r="AL426" s="76" t="str">
        <f t="shared" si="29"/>
        <v/>
      </c>
      <c r="AM426" s="76" t="str">
        <f t="shared" si="30"/>
        <v/>
      </c>
      <c r="AN426" s="76" t="str">
        <f t="shared" si="31"/>
        <v/>
      </c>
      <c r="AO426" s="76" t="str">
        <f t="shared" si="32"/>
        <v/>
      </c>
      <c r="AP426" s="76" t="str">
        <f t="shared" si="33"/>
        <v/>
      </c>
    </row>
    <row r="427" ht="15.75" customHeight="1">
      <c r="A427" s="76" t="str">
        <f>IF('Manual Entry'!A399="","",'Manual Entry'!A399)</f>
        <v/>
      </c>
      <c r="B427" s="76" t="str">
        <f t="shared" si="3"/>
        <v/>
      </c>
      <c r="C427" s="76" t="str">
        <f t="shared" si="4"/>
        <v/>
      </c>
      <c r="D427" s="76" t="str">
        <f>'Manual Entry'!D399</f>
        <v/>
      </c>
      <c r="E427" s="76" t="str">
        <f>'Manual Entry'!B399</f>
        <v/>
      </c>
      <c r="F427" s="76" t="str">
        <f>'Manual Entry'!F399</f>
        <v/>
      </c>
      <c r="G427" s="76" t="str">
        <f>'Manual Entry'!G399</f>
        <v/>
      </c>
      <c r="H427" s="76" t="str">
        <f>'Manual Entry'!H399</f>
        <v/>
      </c>
      <c r="I427" s="78" t="str">
        <f>'Manual Entry'!I399</f>
        <v/>
      </c>
      <c r="J427" s="78" t="str">
        <f>'Manual Entry'!J399</f>
        <v/>
      </c>
      <c r="K427" s="78" t="str">
        <f>'Manual Entry'!K399</f>
        <v/>
      </c>
      <c r="L427" s="78" t="str">
        <f>'Manual Entry'!L399</f>
        <v/>
      </c>
      <c r="M427" s="78" t="str">
        <f>'Manual Entry'!M399</f>
        <v/>
      </c>
      <c r="N427" s="78" t="str">
        <f>'Manual Entry'!N399</f>
        <v/>
      </c>
      <c r="O427" s="76">
        <f t="shared" si="6"/>
        <v>0</v>
      </c>
      <c r="P427" s="76">
        <f t="shared" si="7"/>
        <v>0</v>
      </c>
      <c r="Q427" s="76">
        <f t="shared" si="8"/>
        <v>0</v>
      </c>
      <c r="R427" s="76">
        <f t="shared" si="9"/>
        <v>0</v>
      </c>
      <c r="S427" s="76" t="str">
        <f t="shared" si="10"/>
        <v/>
      </c>
      <c r="T427" s="76" t="str">
        <f t="shared" si="11"/>
        <v/>
      </c>
      <c r="U427" s="76" t="str">
        <f t="shared" si="12"/>
        <v/>
      </c>
      <c r="V427" s="76" t="str">
        <f t="shared" si="13"/>
        <v/>
      </c>
      <c r="W427" s="76" t="str">
        <f t="shared" si="14"/>
        <v/>
      </c>
      <c r="X427" s="76" t="str">
        <f t="shared" si="15"/>
        <v/>
      </c>
      <c r="Y427" s="76" t="str">
        <f t="shared" si="16"/>
        <v/>
      </c>
      <c r="Z427" s="76" t="str">
        <f t="shared" si="17"/>
        <v/>
      </c>
      <c r="AA427" s="76" t="str">
        <f t="shared" si="18"/>
        <v/>
      </c>
      <c r="AB427" s="76" t="str">
        <f t="shared" si="19"/>
        <v/>
      </c>
      <c r="AC427" s="76" t="str">
        <f t="shared" si="20"/>
        <v/>
      </c>
      <c r="AD427" s="76" t="str">
        <f t="shared" si="21"/>
        <v/>
      </c>
      <c r="AE427" s="76" t="str">
        <f t="shared" si="22"/>
        <v/>
      </c>
      <c r="AF427" s="76" t="str">
        <f t="shared" si="23"/>
        <v/>
      </c>
      <c r="AG427" s="76" t="str">
        <f t="shared" si="24"/>
        <v/>
      </c>
      <c r="AH427" s="76" t="str">
        <f t="shared" si="25"/>
        <v/>
      </c>
      <c r="AI427" s="76" t="str">
        <f t="shared" si="26"/>
        <v/>
      </c>
      <c r="AJ427" s="76" t="str">
        <f t="shared" si="27"/>
        <v/>
      </c>
      <c r="AK427" s="76" t="str">
        <f t="shared" si="28"/>
        <v/>
      </c>
      <c r="AL427" s="76" t="str">
        <f t="shared" si="29"/>
        <v/>
      </c>
      <c r="AM427" s="76" t="str">
        <f t="shared" si="30"/>
        <v/>
      </c>
      <c r="AN427" s="76" t="str">
        <f t="shared" si="31"/>
        <v/>
      </c>
      <c r="AO427" s="76" t="str">
        <f t="shared" si="32"/>
        <v/>
      </c>
      <c r="AP427" s="76" t="str">
        <f t="shared" si="33"/>
        <v/>
      </c>
    </row>
    <row r="428" ht="15.75" customHeight="1">
      <c r="A428" s="76" t="str">
        <f>IF('Manual Entry'!A400="","",'Manual Entry'!A400)</f>
        <v/>
      </c>
      <c r="B428" s="76" t="str">
        <f t="shared" si="3"/>
        <v/>
      </c>
      <c r="C428" s="76" t="str">
        <f t="shared" si="4"/>
        <v/>
      </c>
      <c r="D428" s="76" t="str">
        <f>'Manual Entry'!D400</f>
        <v/>
      </c>
      <c r="E428" s="76" t="str">
        <f>'Manual Entry'!B400</f>
        <v/>
      </c>
      <c r="F428" s="76" t="str">
        <f>'Manual Entry'!F400</f>
        <v/>
      </c>
      <c r="G428" s="76" t="str">
        <f>'Manual Entry'!G400</f>
        <v/>
      </c>
      <c r="H428" s="76" t="str">
        <f>'Manual Entry'!H400</f>
        <v/>
      </c>
      <c r="I428" s="78" t="str">
        <f>'Manual Entry'!I400</f>
        <v/>
      </c>
      <c r="J428" s="78" t="str">
        <f>'Manual Entry'!J400</f>
        <v/>
      </c>
      <c r="K428" s="78" t="str">
        <f>'Manual Entry'!K400</f>
        <v/>
      </c>
      <c r="L428" s="78" t="str">
        <f>'Manual Entry'!L400</f>
        <v/>
      </c>
      <c r="M428" s="78" t="str">
        <f>'Manual Entry'!M400</f>
        <v/>
      </c>
      <c r="N428" s="78" t="str">
        <f>'Manual Entry'!N400</f>
        <v/>
      </c>
      <c r="O428" s="76">
        <f t="shared" si="6"/>
        <v>0</v>
      </c>
      <c r="P428" s="76">
        <f t="shared" si="7"/>
        <v>0</v>
      </c>
      <c r="Q428" s="76">
        <f t="shared" si="8"/>
        <v>0</v>
      </c>
      <c r="R428" s="76">
        <f t="shared" si="9"/>
        <v>0</v>
      </c>
      <c r="S428" s="76" t="str">
        <f t="shared" si="10"/>
        <v/>
      </c>
      <c r="T428" s="76" t="str">
        <f t="shared" si="11"/>
        <v/>
      </c>
      <c r="U428" s="76" t="str">
        <f t="shared" si="12"/>
        <v/>
      </c>
      <c r="V428" s="76" t="str">
        <f t="shared" si="13"/>
        <v/>
      </c>
      <c r="W428" s="76" t="str">
        <f t="shared" si="14"/>
        <v/>
      </c>
      <c r="X428" s="76" t="str">
        <f t="shared" si="15"/>
        <v/>
      </c>
      <c r="Y428" s="76" t="str">
        <f t="shared" si="16"/>
        <v/>
      </c>
      <c r="Z428" s="76" t="str">
        <f t="shared" si="17"/>
        <v/>
      </c>
      <c r="AA428" s="76" t="str">
        <f t="shared" si="18"/>
        <v/>
      </c>
      <c r="AB428" s="76" t="str">
        <f t="shared" si="19"/>
        <v/>
      </c>
      <c r="AC428" s="76" t="str">
        <f t="shared" si="20"/>
        <v/>
      </c>
      <c r="AD428" s="76" t="str">
        <f t="shared" si="21"/>
        <v/>
      </c>
      <c r="AE428" s="76" t="str">
        <f t="shared" si="22"/>
        <v/>
      </c>
      <c r="AF428" s="76" t="str">
        <f t="shared" si="23"/>
        <v/>
      </c>
      <c r="AG428" s="76" t="str">
        <f t="shared" si="24"/>
        <v/>
      </c>
      <c r="AH428" s="76" t="str">
        <f t="shared" si="25"/>
        <v/>
      </c>
      <c r="AI428" s="76" t="str">
        <f t="shared" si="26"/>
        <v/>
      </c>
      <c r="AJ428" s="76" t="str">
        <f t="shared" si="27"/>
        <v/>
      </c>
      <c r="AK428" s="76" t="str">
        <f t="shared" si="28"/>
        <v/>
      </c>
      <c r="AL428" s="76" t="str">
        <f t="shared" si="29"/>
        <v/>
      </c>
      <c r="AM428" s="76" t="str">
        <f t="shared" si="30"/>
        <v/>
      </c>
      <c r="AN428" s="76" t="str">
        <f t="shared" si="31"/>
        <v/>
      </c>
      <c r="AO428" s="76" t="str">
        <f t="shared" si="32"/>
        <v/>
      </c>
      <c r="AP428" s="76" t="str">
        <f t="shared" si="33"/>
        <v/>
      </c>
    </row>
    <row r="429" ht="15.75" customHeight="1">
      <c r="A429" s="76" t="str">
        <f>IF('Manual Entry'!A401="","",'Manual Entry'!A401)</f>
        <v/>
      </c>
      <c r="B429" s="76" t="str">
        <f t="shared" si="3"/>
        <v/>
      </c>
      <c r="C429" s="76" t="str">
        <f t="shared" si="4"/>
        <v/>
      </c>
      <c r="D429" s="76" t="str">
        <f>'Manual Entry'!D401</f>
        <v/>
      </c>
      <c r="E429" s="76" t="str">
        <f>'Manual Entry'!B401</f>
        <v/>
      </c>
      <c r="F429" s="76" t="str">
        <f>'Manual Entry'!F401</f>
        <v/>
      </c>
      <c r="G429" s="76" t="str">
        <f>'Manual Entry'!G401</f>
        <v/>
      </c>
      <c r="H429" s="76" t="str">
        <f>'Manual Entry'!H401</f>
        <v/>
      </c>
      <c r="I429" s="78" t="str">
        <f>'Manual Entry'!I401</f>
        <v/>
      </c>
      <c r="J429" s="78" t="str">
        <f>'Manual Entry'!J401</f>
        <v/>
      </c>
      <c r="K429" s="78" t="str">
        <f>'Manual Entry'!K401</f>
        <v/>
      </c>
      <c r="L429" s="78" t="str">
        <f>'Manual Entry'!L401</f>
        <v/>
      </c>
      <c r="M429" s="78" t="str">
        <f>'Manual Entry'!M401</f>
        <v/>
      </c>
      <c r="N429" s="78" t="str">
        <f>'Manual Entry'!N401</f>
        <v/>
      </c>
      <c r="O429" s="76">
        <f t="shared" si="6"/>
        <v>0</v>
      </c>
      <c r="P429" s="76">
        <f t="shared" si="7"/>
        <v>0</v>
      </c>
      <c r="Q429" s="76">
        <f t="shared" si="8"/>
        <v>0</v>
      </c>
      <c r="R429" s="76">
        <f t="shared" si="9"/>
        <v>0</v>
      </c>
      <c r="S429" s="76" t="str">
        <f t="shared" si="10"/>
        <v/>
      </c>
      <c r="T429" s="76" t="str">
        <f t="shared" si="11"/>
        <v/>
      </c>
      <c r="U429" s="76" t="str">
        <f t="shared" si="12"/>
        <v/>
      </c>
      <c r="V429" s="76" t="str">
        <f t="shared" si="13"/>
        <v/>
      </c>
      <c r="W429" s="76" t="str">
        <f t="shared" si="14"/>
        <v/>
      </c>
      <c r="X429" s="76" t="str">
        <f t="shared" si="15"/>
        <v/>
      </c>
      <c r="Y429" s="76" t="str">
        <f t="shared" si="16"/>
        <v/>
      </c>
      <c r="Z429" s="76" t="str">
        <f t="shared" si="17"/>
        <v/>
      </c>
      <c r="AA429" s="76" t="str">
        <f t="shared" si="18"/>
        <v/>
      </c>
      <c r="AB429" s="76" t="str">
        <f t="shared" si="19"/>
        <v/>
      </c>
      <c r="AC429" s="76" t="str">
        <f t="shared" si="20"/>
        <v/>
      </c>
      <c r="AD429" s="76" t="str">
        <f t="shared" si="21"/>
        <v/>
      </c>
      <c r="AE429" s="76" t="str">
        <f t="shared" si="22"/>
        <v/>
      </c>
      <c r="AF429" s="76" t="str">
        <f t="shared" si="23"/>
        <v/>
      </c>
      <c r="AG429" s="76" t="str">
        <f t="shared" si="24"/>
        <v/>
      </c>
      <c r="AH429" s="76" t="str">
        <f t="shared" si="25"/>
        <v/>
      </c>
      <c r="AI429" s="76" t="str">
        <f t="shared" si="26"/>
        <v/>
      </c>
      <c r="AJ429" s="76" t="str">
        <f t="shared" si="27"/>
        <v/>
      </c>
      <c r="AK429" s="76" t="str">
        <f t="shared" si="28"/>
        <v/>
      </c>
      <c r="AL429" s="76" t="str">
        <f t="shared" si="29"/>
        <v/>
      </c>
      <c r="AM429" s="76" t="str">
        <f t="shared" si="30"/>
        <v/>
      </c>
      <c r="AN429" s="76" t="str">
        <f t="shared" si="31"/>
        <v/>
      </c>
      <c r="AO429" s="76" t="str">
        <f t="shared" si="32"/>
        <v/>
      </c>
      <c r="AP429" s="76" t="str">
        <f t="shared" si="33"/>
        <v/>
      </c>
    </row>
    <row r="430" ht="15.75" customHeight="1">
      <c r="A430" s="76" t="str">
        <f>IF('Manual Entry'!A402="","",'Manual Entry'!A402)</f>
        <v/>
      </c>
      <c r="B430" s="76" t="str">
        <f t="shared" si="3"/>
        <v/>
      </c>
      <c r="C430" s="76" t="str">
        <f t="shared" si="4"/>
        <v/>
      </c>
      <c r="D430" s="76" t="str">
        <f>'Manual Entry'!D402</f>
        <v/>
      </c>
      <c r="E430" s="76" t="str">
        <f>'Manual Entry'!B402</f>
        <v/>
      </c>
      <c r="F430" s="76" t="str">
        <f>'Manual Entry'!F402</f>
        <v/>
      </c>
      <c r="G430" s="76" t="str">
        <f>'Manual Entry'!G402</f>
        <v/>
      </c>
      <c r="H430" s="76" t="str">
        <f>'Manual Entry'!H402</f>
        <v/>
      </c>
      <c r="I430" s="78" t="str">
        <f>'Manual Entry'!I402</f>
        <v/>
      </c>
      <c r="J430" s="78" t="str">
        <f>'Manual Entry'!J402</f>
        <v/>
      </c>
      <c r="K430" s="78" t="str">
        <f>'Manual Entry'!K402</f>
        <v/>
      </c>
      <c r="L430" s="78" t="str">
        <f>'Manual Entry'!L402</f>
        <v/>
      </c>
      <c r="M430" s="78" t="str">
        <f>'Manual Entry'!M402</f>
        <v/>
      </c>
      <c r="N430" s="78" t="str">
        <f>'Manual Entry'!N402</f>
        <v/>
      </c>
      <c r="O430" s="76">
        <f t="shared" si="6"/>
        <v>0</v>
      </c>
      <c r="P430" s="76">
        <f t="shared" si="7"/>
        <v>0</v>
      </c>
      <c r="Q430" s="76">
        <f t="shared" si="8"/>
        <v>0</v>
      </c>
      <c r="R430" s="76">
        <f t="shared" si="9"/>
        <v>0</v>
      </c>
      <c r="S430" s="76" t="str">
        <f t="shared" si="10"/>
        <v/>
      </c>
      <c r="T430" s="76" t="str">
        <f t="shared" si="11"/>
        <v/>
      </c>
      <c r="U430" s="76" t="str">
        <f t="shared" si="12"/>
        <v/>
      </c>
      <c r="V430" s="76" t="str">
        <f t="shared" si="13"/>
        <v/>
      </c>
      <c r="W430" s="76" t="str">
        <f t="shared" si="14"/>
        <v/>
      </c>
      <c r="X430" s="76" t="str">
        <f t="shared" si="15"/>
        <v/>
      </c>
      <c r="Y430" s="76" t="str">
        <f t="shared" si="16"/>
        <v/>
      </c>
      <c r="Z430" s="76" t="str">
        <f t="shared" si="17"/>
        <v/>
      </c>
      <c r="AA430" s="76" t="str">
        <f t="shared" si="18"/>
        <v/>
      </c>
      <c r="AB430" s="76" t="str">
        <f t="shared" si="19"/>
        <v/>
      </c>
      <c r="AC430" s="76" t="str">
        <f t="shared" si="20"/>
        <v/>
      </c>
      <c r="AD430" s="76" t="str">
        <f t="shared" si="21"/>
        <v/>
      </c>
      <c r="AE430" s="76" t="str">
        <f t="shared" si="22"/>
        <v/>
      </c>
      <c r="AF430" s="76" t="str">
        <f t="shared" si="23"/>
        <v/>
      </c>
      <c r="AG430" s="76" t="str">
        <f t="shared" si="24"/>
        <v/>
      </c>
      <c r="AH430" s="76" t="str">
        <f t="shared" si="25"/>
        <v/>
      </c>
      <c r="AI430" s="76" t="str">
        <f t="shared" si="26"/>
        <v/>
      </c>
      <c r="AJ430" s="76" t="str">
        <f t="shared" si="27"/>
        <v/>
      </c>
      <c r="AK430" s="76" t="str">
        <f t="shared" si="28"/>
        <v/>
      </c>
      <c r="AL430" s="76" t="str">
        <f t="shared" si="29"/>
        <v/>
      </c>
      <c r="AM430" s="76" t="str">
        <f t="shared" si="30"/>
        <v/>
      </c>
      <c r="AN430" s="76" t="str">
        <f t="shared" si="31"/>
        <v/>
      </c>
      <c r="AO430" s="76" t="str">
        <f t="shared" si="32"/>
        <v/>
      </c>
      <c r="AP430" s="76" t="str">
        <f t="shared" si="33"/>
        <v/>
      </c>
    </row>
    <row r="431" ht="15.75" customHeight="1">
      <c r="A431" s="76" t="str">
        <f>IF('Manual Entry'!A403="","",'Manual Entry'!A403)</f>
        <v/>
      </c>
      <c r="B431" s="76" t="str">
        <f t="shared" si="3"/>
        <v/>
      </c>
      <c r="C431" s="76" t="str">
        <f t="shared" si="4"/>
        <v/>
      </c>
      <c r="D431" s="76" t="str">
        <f>'Manual Entry'!D403</f>
        <v/>
      </c>
      <c r="E431" s="76" t="str">
        <f>'Manual Entry'!B403</f>
        <v/>
      </c>
      <c r="F431" s="76" t="str">
        <f>'Manual Entry'!F403</f>
        <v/>
      </c>
      <c r="G431" s="76" t="str">
        <f>'Manual Entry'!G403</f>
        <v/>
      </c>
      <c r="H431" s="76" t="str">
        <f>'Manual Entry'!H403</f>
        <v/>
      </c>
      <c r="I431" s="78" t="str">
        <f>'Manual Entry'!I403</f>
        <v/>
      </c>
      <c r="J431" s="78" t="str">
        <f>'Manual Entry'!J403</f>
        <v/>
      </c>
      <c r="K431" s="78" t="str">
        <f>'Manual Entry'!K403</f>
        <v/>
      </c>
      <c r="L431" s="78" t="str">
        <f>'Manual Entry'!L403</f>
        <v/>
      </c>
      <c r="M431" s="78" t="str">
        <f>'Manual Entry'!M403</f>
        <v/>
      </c>
      <c r="N431" s="78" t="str">
        <f>'Manual Entry'!N403</f>
        <v/>
      </c>
      <c r="O431" s="76">
        <f t="shared" si="6"/>
        <v>0</v>
      </c>
      <c r="P431" s="76">
        <f t="shared" si="7"/>
        <v>0</v>
      </c>
      <c r="Q431" s="76">
        <f t="shared" si="8"/>
        <v>0</v>
      </c>
      <c r="R431" s="76">
        <f t="shared" si="9"/>
        <v>0</v>
      </c>
      <c r="S431" s="76" t="str">
        <f t="shared" si="10"/>
        <v/>
      </c>
      <c r="T431" s="76" t="str">
        <f t="shared" si="11"/>
        <v/>
      </c>
      <c r="U431" s="76" t="str">
        <f t="shared" si="12"/>
        <v/>
      </c>
      <c r="V431" s="76" t="str">
        <f t="shared" si="13"/>
        <v/>
      </c>
      <c r="W431" s="76" t="str">
        <f t="shared" si="14"/>
        <v/>
      </c>
      <c r="X431" s="76" t="str">
        <f t="shared" si="15"/>
        <v/>
      </c>
      <c r="Y431" s="76" t="str">
        <f t="shared" si="16"/>
        <v/>
      </c>
      <c r="Z431" s="76" t="str">
        <f t="shared" si="17"/>
        <v/>
      </c>
      <c r="AA431" s="76" t="str">
        <f t="shared" si="18"/>
        <v/>
      </c>
      <c r="AB431" s="76" t="str">
        <f t="shared" si="19"/>
        <v/>
      </c>
      <c r="AC431" s="76" t="str">
        <f t="shared" si="20"/>
        <v/>
      </c>
      <c r="AD431" s="76" t="str">
        <f t="shared" si="21"/>
        <v/>
      </c>
      <c r="AE431" s="76" t="str">
        <f t="shared" si="22"/>
        <v/>
      </c>
      <c r="AF431" s="76" t="str">
        <f t="shared" si="23"/>
        <v/>
      </c>
      <c r="AG431" s="76" t="str">
        <f t="shared" si="24"/>
        <v/>
      </c>
      <c r="AH431" s="76" t="str">
        <f t="shared" si="25"/>
        <v/>
      </c>
      <c r="AI431" s="76" t="str">
        <f t="shared" si="26"/>
        <v/>
      </c>
      <c r="AJ431" s="76" t="str">
        <f t="shared" si="27"/>
        <v/>
      </c>
      <c r="AK431" s="76" t="str">
        <f t="shared" si="28"/>
        <v/>
      </c>
      <c r="AL431" s="76" t="str">
        <f t="shared" si="29"/>
        <v/>
      </c>
      <c r="AM431" s="76" t="str">
        <f t="shared" si="30"/>
        <v/>
      </c>
      <c r="AN431" s="76" t="str">
        <f t="shared" si="31"/>
        <v/>
      </c>
      <c r="AO431" s="76" t="str">
        <f t="shared" si="32"/>
        <v/>
      </c>
      <c r="AP431" s="76" t="str">
        <f t="shared" si="33"/>
        <v/>
      </c>
    </row>
    <row r="432" ht="15.75" customHeight="1">
      <c r="A432" s="76" t="str">
        <f>IF('Manual Entry'!A404="","",'Manual Entry'!A404)</f>
        <v/>
      </c>
      <c r="B432" s="76" t="str">
        <f t="shared" si="3"/>
        <v/>
      </c>
      <c r="C432" s="76" t="str">
        <f t="shared" si="4"/>
        <v/>
      </c>
      <c r="D432" s="76" t="str">
        <f>'Manual Entry'!D404</f>
        <v/>
      </c>
      <c r="E432" s="76" t="str">
        <f>'Manual Entry'!B404</f>
        <v/>
      </c>
      <c r="F432" s="76" t="str">
        <f>'Manual Entry'!F404</f>
        <v/>
      </c>
      <c r="G432" s="76" t="str">
        <f>'Manual Entry'!G404</f>
        <v/>
      </c>
      <c r="H432" s="76" t="str">
        <f>'Manual Entry'!H404</f>
        <v/>
      </c>
      <c r="I432" s="78" t="str">
        <f>'Manual Entry'!I404</f>
        <v/>
      </c>
      <c r="J432" s="78" t="str">
        <f>'Manual Entry'!J404</f>
        <v/>
      </c>
      <c r="K432" s="78" t="str">
        <f>'Manual Entry'!K404</f>
        <v/>
      </c>
      <c r="L432" s="78" t="str">
        <f>'Manual Entry'!L404</f>
        <v/>
      </c>
      <c r="M432" s="78" t="str">
        <f>'Manual Entry'!M404</f>
        <v/>
      </c>
      <c r="N432" s="78" t="str">
        <f>'Manual Entry'!N404</f>
        <v/>
      </c>
      <c r="O432" s="76">
        <f t="shared" si="6"/>
        <v>0</v>
      </c>
      <c r="P432" s="76">
        <f t="shared" si="7"/>
        <v>0</v>
      </c>
      <c r="Q432" s="76">
        <f t="shared" si="8"/>
        <v>0</v>
      </c>
      <c r="R432" s="76">
        <f t="shared" si="9"/>
        <v>0</v>
      </c>
      <c r="S432" s="76" t="str">
        <f t="shared" si="10"/>
        <v/>
      </c>
      <c r="T432" s="76" t="str">
        <f t="shared" si="11"/>
        <v/>
      </c>
      <c r="U432" s="76" t="str">
        <f t="shared" si="12"/>
        <v/>
      </c>
      <c r="V432" s="76" t="str">
        <f t="shared" si="13"/>
        <v/>
      </c>
      <c r="W432" s="76" t="str">
        <f t="shared" si="14"/>
        <v/>
      </c>
      <c r="X432" s="76" t="str">
        <f t="shared" si="15"/>
        <v/>
      </c>
      <c r="Y432" s="76" t="str">
        <f t="shared" si="16"/>
        <v/>
      </c>
      <c r="Z432" s="76" t="str">
        <f t="shared" si="17"/>
        <v/>
      </c>
      <c r="AA432" s="76" t="str">
        <f t="shared" si="18"/>
        <v/>
      </c>
      <c r="AB432" s="76" t="str">
        <f t="shared" si="19"/>
        <v/>
      </c>
      <c r="AC432" s="76" t="str">
        <f t="shared" si="20"/>
        <v/>
      </c>
      <c r="AD432" s="76" t="str">
        <f t="shared" si="21"/>
        <v/>
      </c>
      <c r="AE432" s="76" t="str">
        <f t="shared" si="22"/>
        <v/>
      </c>
      <c r="AF432" s="76" t="str">
        <f t="shared" si="23"/>
        <v/>
      </c>
      <c r="AG432" s="76" t="str">
        <f t="shared" si="24"/>
        <v/>
      </c>
      <c r="AH432" s="76" t="str">
        <f t="shared" si="25"/>
        <v/>
      </c>
      <c r="AI432" s="76" t="str">
        <f t="shared" si="26"/>
        <v/>
      </c>
      <c r="AJ432" s="76" t="str">
        <f t="shared" si="27"/>
        <v/>
      </c>
      <c r="AK432" s="76" t="str">
        <f t="shared" si="28"/>
        <v/>
      </c>
      <c r="AL432" s="76" t="str">
        <f t="shared" si="29"/>
        <v/>
      </c>
      <c r="AM432" s="76" t="str">
        <f t="shared" si="30"/>
        <v/>
      </c>
      <c r="AN432" s="76" t="str">
        <f t="shared" si="31"/>
        <v/>
      </c>
      <c r="AO432" s="76" t="str">
        <f t="shared" si="32"/>
        <v/>
      </c>
      <c r="AP432" s="76" t="str">
        <f t="shared" si="33"/>
        <v/>
      </c>
    </row>
    <row r="433" ht="15.75" customHeight="1">
      <c r="A433" s="76" t="str">
        <f>IF('Manual Entry'!A405="","",'Manual Entry'!A405)</f>
        <v/>
      </c>
      <c r="B433" s="76" t="str">
        <f t="shared" si="3"/>
        <v/>
      </c>
      <c r="C433" s="76" t="str">
        <f t="shared" si="4"/>
        <v/>
      </c>
      <c r="D433" s="76" t="str">
        <f>'Manual Entry'!D405</f>
        <v/>
      </c>
      <c r="E433" s="76" t="str">
        <f>'Manual Entry'!B405</f>
        <v/>
      </c>
      <c r="F433" s="76" t="str">
        <f>'Manual Entry'!F405</f>
        <v/>
      </c>
      <c r="G433" s="76" t="str">
        <f>'Manual Entry'!G405</f>
        <v/>
      </c>
      <c r="H433" s="76" t="str">
        <f>'Manual Entry'!H405</f>
        <v/>
      </c>
      <c r="I433" s="78" t="str">
        <f>'Manual Entry'!I405</f>
        <v/>
      </c>
      <c r="J433" s="78" t="str">
        <f>'Manual Entry'!J405</f>
        <v/>
      </c>
      <c r="K433" s="78" t="str">
        <f>'Manual Entry'!K405</f>
        <v/>
      </c>
      <c r="L433" s="78" t="str">
        <f>'Manual Entry'!L405</f>
        <v/>
      </c>
      <c r="M433" s="78" t="str">
        <f>'Manual Entry'!M405</f>
        <v/>
      </c>
      <c r="N433" s="78" t="str">
        <f>'Manual Entry'!N405</f>
        <v/>
      </c>
      <c r="O433" s="76">
        <f t="shared" si="6"/>
        <v>0</v>
      </c>
      <c r="P433" s="76">
        <f t="shared" si="7"/>
        <v>0</v>
      </c>
      <c r="Q433" s="76">
        <f t="shared" si="8"/>
        <v>0</v>
      </c>
      <c r="R433" s="76">
        <f t="shared" si="9"/>
        <v>0</v>
      </c>
      <c r="S433" s="76" t="str">
        <f t="shared" si="10"/>
        <v/>
      </c>
      <c r="T433" s="76" t="str">
        <f t="shared" si="11"/>
        <v/>
      </c>
      <c r="U433" s="76" t="str">
        <f t="shared" si="12"/>
        <v/>
      </c>
      <c r="V433" s="76" t="str">
        <f t="shared" si="13"/>
        <v/>
      </c>
      <c r="W433" s="76" t="str">
        <f t="shared" si="14"/>
        <v/>
      </c>
      <c r="X433" s="76" t="str">
        <f t="shared" si="15"/>
        <v/>
      </c>
      <c r="Y433" s="76" t="str">
        <f t="shared" si="16"/>
        <v/>
      </c>
      <c r="Z433" s="76" t="str">
        <f t="shared" si="17"/>
        <v/>
      </c>
      <c r="AA433" s="76" t="str">
        <f t="shared" si="18"/>
        <v/>
      </c>
      <c r="AB433" s="76" t="str">
        <f t="shared" si="19"/>
        <v/>
      </c>
      <c r="AC433" s="76" t="str">
        <f t="shared" si="20"/>
        <v/>
      </c>
      <c r="AD433" s="76" t="str">
        <f t="shared" si="21"/>
        <v/>
      </c>
      <c r="AE433" s="76" t="str">
        <f t="shared" si="22"/>
        <v/>
      </c>
      <c r="AF433" s="76" t="str">
        <f t="shared" si="23"/>
        <v/>
      </c>
      <c r="AG433" s="76" t="str">
        <f t="shared" si="24"/>
        <v/>
      </c>
      <c r="AH433" s="76" t="str">
        <f t="shared" si="25"/>
        <v/>
      </c>
      <c r="AI433" s="76" t="str">
        <f t="shared" si="26"/>
        <v/>
      </c>
      <c r="AJ433" s="76" t="str">
        <f t="shared" si="27"/>
        <v/>
      </c>
      <c r="AK433" s="76" t="str">
        <f t="shared" si="28"/>
        <v/>
      </c>
      <c r="AL433" s="76" t="str">
        <f t="shared" si="29"/>
        <v/>
      </c>
      <c r="AM433" s="76" t="str">
        <f t="shared" si="30"/>
        <v/>
      </c>
      <c r="AN433" s="76" t="str">
        <f t="shared" si="31"/>
        <v/>
      </c>
      <c r="AO433" s="76" t="str">
        <f t="shared" si="32"/>
        <v/>
      </c>
      <c r="AP433" s="76" t="str">
        <f t="shared" si="33"/>
        <v/>
      </c>
    </row>
    <row r="434" ht="15.75" customHeight="1">
      <c r="A434" s="76" t="str">
        <f>IF('Manual Entry'!A406="","",'Manual Entry'!A406)</f>
        <v/>
      </c>
      <c r="B434" s="76" t="str">
        <f t="shared" si="3"/>
        <v/>
      </c>
      <c r="C434" s="76" t="str">
        <f t="shared" si="4"/>
        <v/>
      </c>
      <c r="D434" s="76" t="str">
        <f>'Manual Entry'!D406</f>
        <v/>
      </c>
      <c r="E434" s="76" t="str">
        <f>'Manual Entry'!B406</f>
        <v/>
      </c>
      <c r="F434" s="76" t="str">
        <f>'Manual Entry'!F406</f>
        <v/>
      </c>
      <c r="G434" s="76" t="str">
        <f>'Manual Entry'!G406</f>
        <v/>
      </c>
      <c r="H434" s="76" t="str">
        <f>'Manual Entry'!H406</f>
        <v/>
      </c>
      <c r="I434" s="78" t="str">
        <f>'Manual Entry'!I406</f>
        <v/>
      </c>
      <c r="J434" s="78" t="str">
        <f>'Manual Entry'!J406</f>
        <v/>
      </c>
      <c r="K434" s="78" t="str">
        <f>'Manual Entry'!K406</f>
        <v/>
      </c>
      <c r="L434" s="78" t="str">
        <f>'Manual Entry'!L406</f>
        <v/>
      </c>
      <c r="M434" s="78" t="str">
        <f>'Manual Entry'!M406</f>
        <v/>
      </c>
      <c r="N434" s="78" t="str">
        <f>'Manual Entry'!N406</f>
        <v/>
      </c>
      <c r="O434" s="76">
        <f t="shared" si="6"/>
        <v>0</v>
      </c>
      <c r="P434" s="76">
        <f t="shared" si="7"/>
        <v>0</v>
      </c>
      <c r="Q434" s="76">
        <f t="shared" si="8"/>
        <v>0</v>
      </c>
      <c r="R434" s="76">
        <f t="shared" si="9"/>
        <v>0</v>
      </c>
      <c r="S434" s="76" t="str">
        <f t="shared" si="10"/>
        <v/>
      </c>
      <c r="T434" s="76" t="str">
        <f t="shared" si="11"/>
        <v/>
      </c>
      <c r="U434" s="76" t="str">
        <f t="shared" si="12"/>
        <v/>
      </c>
      <c r="V434" s="76" t="str">
        <f t="shared" si="13"/>
        <v/>
      </c>
      <c r="W434" s="76" t="str">
        <f t="shared" si="14"/>
        <v/>
      </c>
      <c r="X434" s="76" t="str">
        <f t="shared" si="15"/>
        <v/>
      </c>
      <c r="Y434" s="76" t="str">
        <f t="shared" si="16"/>
        <v/>
      </c>
      <c r="Z434" s="76" t="str">
        <f t="shared" si="17"/>
        <v/>
      </c>
      <c r="AA434" s="76" t="str">
        <f t="shared" si="18"/>
        <v/>
      </c>
      <c r="AB434" s="76" t="str">
        <f t="shared" si="19"/>
        <v/>
      </c>
      <c r="AC434" s="76" t="str">
        <f t="shared" si="20"/>
        <v/>
      </c>
      <c r="AD434" s="76" t="str">
        <f t="shared" si="21"/>
        <v/>
      </c>
      <c r="AE434" s="76" t="str">
        <f t="shared" si="22"/>
        <v/>
      </c>
      <c r="AF434" s="76" t="str">
        <f t="shared" si="23"/>
        <v/>
      </c>
      <c r="AG434" s="76" t="str">
        <f t="shared" si="24"/>
        <v/>
      </c>
      <c r="AH434" s="76" t="str">
        <f t="shared" si="25"/>
        <v/>
      </c>
      <c r="AI434" s="76" t="str">
        <f t="shared" si="26"/>
        <v/>
      </c>
      <c r="AJ434" s="76" t="str">
        <f t="shared" si="27"/>
        <v/>
      </c>
      <c r="AK434" s="76" t="str">
        <f t="shared" si="28"/>
        <v/>
      </c>
      <c r="AL434" s="76" t="str">
        <f t="shared" si="29"/>
        <v/>
      </c>
      <c r="AM434" s="76" t="str">
        <f t="shared" si="30"/>
        <v/>
      </c>
      <c r="AN434" s="76" t="str">
        <f t="shared" si="31"/>
        <v/>
      </c>
      <c r="AO434" s="76" t="str">
        <f t="shared" si="32"/>
        <v/>
      </c>
      <c r="AP434" s="76" t="str">
        <f t="shared" si="33"/>
        <v/>
      </c>
    </row>
    <row r="435" ht="15.75" customHeight="1">
      <c r="A435" s="76" t="str">
        <f>IF('Manual Entry'!A407="","",'Manual Entry'!A407)</f>
        <v/>
      </c>
      <c r="B435" s="76" t="str">
        <f t="shared" si="3"/>
        <v/>
      </c>
      <c r="C435" s="76" t="str">
        <f t="shared" si="4"/>
        <v/>
      </c>
      <c r="D435" s="76" t="str">
        <f>'Manual Entry'!D407</f>
        <v/>
      </c>
      <c r="E435" s="76" t="str">
        <f>'Manual Entry'!B407</f>
        <v/>
      </c>
      <c r="F435" s="76" t="str">
        <f>'Manual Entry'!F407</f>
        <v/>
      </c>
      <c r="G435" s="76" t="str">
        <f>'Manual Entry'!G407</f>
        <v/>
      </c>
      <c r="H435" s="76" t="str">
        <f>'Manual Entry'!H407</f>
        <v/>
      </c>
      <c r="I435" s="78" t="str">
        <f>'Manual Entry'!I407</f>
        <v/>
      </c>
      <c r="J435" s="78" t="str">
        <f>'Manual Entry'!J407</f>
        <v/>
      </c>
      <c r="K435" s="78" t="str">
        <f>'Manual Entry'!K407</f>
        <v/>
      </c>
      <c r="L435" s="78" t="str">
        <f>'Manual Entry'!L407</f>
        <v/>
      </c>
      <c r="M435" s="78" t="str">
        <f>'Manual Entry'!M407</f>
        <v/>
      </c>
      <c r="N435" s="78" t="str">
        <f>'Manual Entry'!N407</f>
        <v/>
      </c>
      <c r="O435" s="76">
        <f t="shared" si="6"/>
        <v>0</v>
      </c>
      <c r="P435" s="76">
        <f t="shared" si="7"/>
        <v>0</v>
      </c>
      <c r="Q435" s="76">
        <f t="shared" si="8"/>
        <v>0</v>
      </c>
      <c r="R435" s="76">
        <f t="shared" si="9"/>
        <v>0</v>
      </c>
      <c r="S435" s="76" t="str">
        <f t="shared" si="10"/>
        <v/>
      </c>
      <c r="T435" s="76" t="str">
        <f t="shared" si="11"/>
        <v/>
      </c>
      <c r="U435" s="76" t="str">
        <f t="shared" si="12"/>
        <v/>
      </c>
      <c r="V435" s="76" t="str">
        <f t="shared" si="13"/>
        <v/>
      </c>
      <c r="W435" s="76" t="str">
        <f t="shared" si="14"/>
        <v/>
      </c>
      <c r="X435" s="76" t="str">
        <f t="shared" si="15"/>
        <v/>
      </c>
      <c r="Y435" s="76" t="str">
        <f t="shared" si="16"/>
        <v/>
      </c>
      <c r="Z435" s="76" t="str">
        <f t="shared" si="17"/>
        <v/>
      </c>
      <c r="AA435" s="76" t="str">
        <f t="shared" si="18"/>
        <v/>
      </c>
      <c r="AB435" s="76" t="str">
        <f t="shared" si="19"/>
        <v/>
      </c>
      <c r="AC435" s="76" t="str">
        <f t="shared" si="20"/>
        <v/>
      </c>
      <c r="AD435" s="76" t="str">
        <f t="shared" si="21"/>
        <v/>
      </c>
      <c r="AE435" s="76" t="str">
        <f t="shared" si="22"/>
        <v/>
      </c>
      <c r="AF435" s="76" t="str">
        <f t="shared" si="23"/>
        <v/>
      </c>
      <c r="AG435" s="76" t="str">
        <f t="shared" si="24"/>
        <v/>
      </c>
      <c r="AH435" s="76" t="str">
        <f t="shared" si="25"/>
        <v/>
      </c>
      <c r="AI435" s="76" t="str">
        <f t="shared" si="26"/>
        <v/>
      </c>
      <c r="AJ435" s="76" t="str">
        <f t="shared" si="27"/>
        <v/>
      </c>
      <c r="AK435" s="76" t="str">
        <f t="shared" si="28"/>
        <v/>
      </c>
      <c r="AL435" s="76" t="str">
        <f t="shared" si="29"/>
        <v/>
      </c>
      <c r="AM435" s="76" t="str">
        <f t="shared" si="30"/>
        <v/>
      </c>
      <c r="AN435" s="76" t="str">
        <f t="shared" si="31"/>
        <v/>
      </c>
      <c r="AO435" s="76" t="str">
        <f t="shared" si="32"/>
        <v/>
      </c>
      <c r="AP435" s="76" t="str">
        <f t="shared" si="33"/>
        <v/>
      </c>
    </row>
    <row r="436" ht="15.75" customHeight="1">
      <c r="A436" s="76" t="str">
        <f>IF('Manual Entry'!A408="","",'Manual Entry'!A408)</f>
        <v/>
      </c>
      <c r="B436" s="76" t="str">
        <f t="shared" si="3"/>
        <v/>
      </c>
      <c r="C436" s="76" t="str">
        <f t="shared" si="4"/>
        <v/>
      </c>
      <c r="D436" s="76" t="str">
        <f>'Manual Entry'!D408</f>
        <v/>
      </c>
      <c r="E436" s="76" t="str">
        <f>'Manual Entry'!B408</f>
        <v/>
      </c>
      <c r="F436" s="76" t="str">
        <f>'Manual Entry'!F408</f>
        <v/>
      </c>
      <c r="G436" s="76" t="str">
        <f>'Manual Entry'!G408</f>
        <v/>
      </c>
      <c r="H436" s="76" t="str">
        <f>'Manual Entry'!H408</f>
        <v/>
      </c>
      <c r="I436" s="78" t="str">
        <f>'Manual Entry'!I408</f>
        <v/>
      </c>
      <c r="J436" s="78" t="str">
        <f>'Manual Entry'!J408</f>
        <v/>
      </c>
      <c r="K436" s="78" t="str">
        <f>'Manual Entry'!K408</f>
        <v/>
      </c>
      <c r="L436" s="78" t="str">
        <f>'Manual Entry'!L408</f>
        <v/>
      </c>
      <c r="M436" s="78" t="str">
        <f>'Manual Entry'!M408</f>
        <v/>
      </c>
      <c r="N436" s="78" t="str">
        <f>'Manual Entry'!N408</f>
        <v/>
      </c>
      <c r="O436" s="76">
        <f t="shared" si="6"/>
        <v>0</v>
      </c>
      <c r="P436" s="76">
        <f t="shared" si="7"/>
        <v>0</v>
      </c>
      <c r="Q436" s="76">
        <f t="shared" si="8"/>
        <v>0</v>
      </c>
      <c r="R436" s="76">
        <f t="shared" si="9"/>
        <v>0</v>
      </c>
      <c r="S436" s="76" t="str">
        <f t="shared" si="10"/>
        <v/>
      </c>
      <c r="T436" s="76" t="str">
        <f t="shared" si="11"/>
        <v/>
      </c>
      <c r="U436" s="76" t="str">
        <f t="shared" si="12"/>
        <v/>
      </c>
      <c r="V436" s="76" t="str">
        <f t="shared" si="13"/>
        <v/>
      </c>
      <c r="W436" s="76" t="str">
        <f t="shared" si="14"/>
        <v/>
      </c>
      <c r="X436" s="76" t="str">
        <f t="shared" si="15"/>
        <v/>
      </c>
      <c r="Y436" s="76" t="str">
        <f t="shared" si="16"/>
        <v/>
      </c>
      <c r="Z436" s="76" t="str">
        <f t="shared" si="17"/>
        <v/>
      </c>
      <c r="AA436" s="76" t="str">
        <f t="shared" si="18"/>
        <v/>
      </c>
      <c r="AB436" s="76" t="str">
        <f t="shared" si="19"/>
        <v/>
      </c>
      <c r="AC436" s="76" t="str">
        <f t="shared" si="20"/>
        <v/>
      </c>
      <c r="AD436" s="76" t="str">
        <f t="shared" si="21"/>
        <v/>
      </c>
      <c r="AE436" s="76" t="str">
        <f t="shared" si="22"/>
        <v/>
      </c>
      <c r="AF436" s="76" t="str">
        <f t="shared" si="23"/>
        <v/>
      </c>
      <c r="AG436" s="76" t="str">
        <f t="shared" si="24"/>
        <v/>
      </c>
      <c r="AH436" s="76" t="str">
        <f t="shared" si="25"/>
        <v/>
      </c>
      <c r="AI436" s="76" t="str">
        <f t="shared" si="26"/>
        <v/>
      </c>
      <c r="AJ436" s="76" t="str">
        <f t="shared" si="27"/>
        <v/>
      </c>
      <c r="AK436" s="76" t="str">
        <f t="shared" si="28"/>
        <v/>
      </c>
      <c r="AL436" s="76" t="str">
        <f t="shared" si="29"/>
        <v/>
      </c>
      <c r="AM436" s="76" t="str">
        <f t="shared" si="30"/>
        <v/>
      </c>
      <c r="AN436" s="76" t="str">
        <f t="shared" si="31"/>
        <v/>
      </c>
      <c r="AO436" s="76" t="str">
        <f t="shared" si="32"/>
        <v/>
      </c>
      <c r="AP436" s="76" t="str">
        <f t="shared" si="33"/>
        <v/>
      </c>
    </row>
    <row r="437" ht="15.75" customHeight="1">
      <c r="A437" s="76" t="str">
        <f>IF('Manual Entry'!A409="","",'Manual Entry'!A409)</f>
        <v/>
      </c>
      <c r="B437" s="76" t="str">
        <f t="shared" si="3"/>
        <v/>
      </c>
      <c r="C437" s="76" t="str">
        <f t="shared" si="4"/>
        <v/>
      </c>
      <c r="D437" s="76" t="str">
        <f>'Manual Entry'!D409</f>
        <v/>
      </c>
      <c r="E437" s="76" t="str">
        <f>'Manual Entry'!B409</f>
        <v/>
      </c>
      <c r="F437" s="76" t="str">
        <f>'Manual Entry'!F409</f>
        <v/>
      </c>
      <c r="G437" s="76" t="str">
        <f>'Manual Entry'!G409</f>
        <v/>
      </c>
      <c r="H437" s="76" t="str">
        <f>'Manual Entry'!H409</f>
        <v/>
      </c>
      <c r="I437" s="78" t="str">
        <f>'Manual Entry'!I409</f>
        <v/>
      </c>
      <c r="J437" s="78" t="str">
        <f>'Manual Entry'!J409</f>
        <v/>
      </c>
      <c r="K437" s="78" t="str">
        <f>'Manual Entry'!K409</f>
        <v/>
      </c>
      <c r="L437" s="78" t="str">
        <f>'Manual Entry'!L409</f>
        <v/>
      </c>
      <c r="M437" s="78" t="str">
        <f>'Manual Entry'!M409</f>
        <v/>
      </c>
      <c r="N437" s="78" t="str">
        <f>'Manual Entry'!N409</f>
        <v/>
      </c>
      <c r="O437" s="76">
        <f t="shared" si="6"/>
        <v>0</v>
      </c>
      <c r="P437" s="76">
        <f t="shared" si="7"/>
        <v>0</v>
      </c>
      <c r="Q437" s="76">
        <f t="shared" si="8"/>
        <v>0</v>
      </c>
      <c r="R437" s="76">
        <f t="shared" si="9"/>
        <v>0</v>
      </c>
      <c r="S437" s="76" t="str">
        <f t="shared" si="10"/>
        <v/>
      </c>
      <c r="T437" s="76" t="str">
        <f t="shared" si="11"/>
        <v/>
      </c>
      <c r="U437" s="76" t="str">
        <f t="shared" si="12"/>
        <v/>
      </c>
      <c r="V437" s="76" t="str">
        <f t="shared" si="13"/>
        <v/>
      </c>
      <c r="W437" s="76" t="str">
        <f t="shared" si="14"/>
        <v/>
      </c>
      <c r="X437" s="76" t="str">
        <f t="shared" si="15"/>
        <v/>
      </c>
      <c r="Y437" s="76" t="str">
        <f t="shared" si="16"/>
        <v/>
      </c>
      <c r="Z437" s="76" t="str">
        <f t="shared" si="17"/>
        <v/>
      </c>
      <c r="AA437" s="76" t="str">
        <f t="shared" si="18"/>
        <v/>
      </c>
      <c r="AB437" s="76" t="str">
        <f t="shared" si="19"/>
        <v/>
      </c>
      <c r="AC437" s="76" t="str">
        <f t="shared" si="20"/>
        <v/>
      </c>
      <c r="AD437" s="76" t="str">
        <f t="shared" si="21"/>
        <v/>
      </c>
      <c r="AE437" s="76" t="str">
        <f t="shared" si="22"/>
        <v/>
      </c>
      <c r="AF437" s="76" t="str">
        <f t="shared" si="23"/>
        <v/>
      </c>
      <c r="AG437" s="76" t="str">
        <f t="shared" si="24"/>
        <v/>
      </c>
      <c r="AH437" s="76" t="str">
        <f t="shared" si="25"/>
        <v/>
      </c>
      <c r="AI437" s="76" t="str">
        <f t="shared" si="26"/>
        <v/>
      </c>
      <c r="AJ437" s="76" t="str">
        <f t="shared" si="27"/>
        <v/>
      </c>
      <c r="AK437" s="76" t="str">
        <f t="shared" si="28"/>
        <v/>
      </c>
      <c r="AL437" s="76" t="str">
        <f t="shared" si="29"/>
        <v/>
      </c>
      <c r="AM437" s="76" t="str">
        <f t="shared" si="30"/>
        <v/>
      </c>
      <c r="AN437" s="76" t="str">
        <f t="shared" si="31"/>
        <v/>
      </c>
      <c r="AO437" s="76" t="str">
        <f t="shared" si="32"/>
        <v/>
      </c>
      <c r="AP437" s="76" t="str">
        <f t="shared" si="33"/>
        <v/>
      </c>
    </row>
    <row r="438" ht="15.75" customHeight="1">
      <c r="A438" s="76" t="str">
        <f>IF('Manual Entry'!A410="","",'Manual Entry'!A410)</f>
        <v/>
      </c>
      <c r="B438" s="76" t="str">
        <f t="shared" si="3"/>
        <v/>
      </c>
      <c r="C438" s="76" t="str">
        <f t="shared" si="4"/>
        <v/>
      </c>
      <c r="D438" s="76" t="str">
        <f>'Manual Entry'!D410</f>
        <v/>
      </c>
      <c r="E438" s="76" t="str">
        <f>'Manual Entry'!B410</f>
        <v/>
      </c>
      <c r="F438" s="76" t="str">
        <f>'Manual Entry'!F410</f>
        <v/>
      </c>
      <c r="G438" s="76" t="str">
        <f>'Manual Entry'!G410</f>
        <v/>
      </c>
      <c r="H438" s="76" t="str">
        <f>'Manual Entry'!H410</f>
        <v/>
      </c>
      <c r="I438" s="78" t="str">
        <f>'Manual Entry'!I410</f>
        <v/>
      </c>
      <c r="J438" s="78" t="str">
        <f>'Manual Entry'!J410</f>
        <v/>
      </c>
      <c r="K438" s="78" t="str">
        <f>'Manual Entry'!K410</f>
        <v/>
      </c>
      <c r="L438" s="78" t="str">
        <f>'Manual Entry'!L410</f>
        <v/>
      </c>
      <c r="M438" s="78" t="str">
        <f>'Manual Entry'!M410</f>
        <v/>
      </c>
      <c r="N438" s="78" t="str">
        <f>'Manual Entry'!N410</f>
        <v/>
      </c>
      <c r="O438" s="76">
        <f t="shared" si="6"/>
        <v>0</v>
      </c>
      <c r="P438" s="76">
        <f t="shared" si="7"/>
        <v>0</v>
      </c>
      <c r="Q438" s="76">
        <f t="shared" si="8"/>
        <v>0</v>
      </c>
      <c r="R438" s="76">
        <f t="shared" si="9"/>
        <v>0</v>
      </c>
      <c r="S438" s="76" t="str">
        <f t="shared" si="10"/>
        <v/>
      </c>
      <c r="T438" s="76" t="str">
        <f t="shared" si="11"/>
        <v/>
      </c>
      <c r="U438" s="76" t="str">
        <f t="shared" si="12"/>
        <v/>
      </c>
      <c r="V438" s="76" t="str">
        <f t="shared" si="13"/>
        <v/>
      </c>
      <c r="W438" s="76" t="str">
        <f t="shared" si="14"/>
        <v/>
      </c>
      <c r="X438" s="76" t="str">
        <f t="shared" si="15"/>
        <v/>
      </c>
      <c r="Y438" s="76" t="str">
        <f t="shared" si="16"/>
        <v/>
      </c>
      <c r="Z438" s="76" t="str">
        <f t="shared" si="17"/>
        <v/>
      </c>
      <c r="AA438" s="76" t="str">
        <f t="shared" si="18"/>
        <v/>
      </c>
      <c r="AB438" s="76" t="str">
        <f t="shared" si="19"/>
        <v/>
      </c>
      <c r="AC438" s="76" t="str">
        <f t="shared" si="20"/>
        <v/>
      </c>
      <c r="AD438" s="76" t="str">
        <f t="shared" si="21"/>
        <v/>
      </c>
      <c r="AE438" s="76" t="str">
        <f t="shared" si="22"/>
        <v/>
      </c>
      <c r="AF438" s="76" t="str">
        <f t="shared" si="23"/>
        <v/>
      </c>
      <c r="AG438" s="76" t="str">
        <f t="shared" si="24"/>
        <v/>
      </c>
      <c r="AH438" s="76" t="str">
        <f t="shared" si="25"/>
        <v/>
      </c>
      <c r="AI438" s="76" t="str">
        <f t="shared" si="26"/>
        <v/>
      </c>
      <c r="AJ438" s="76" t="str">
        <f t="shared" si="27"/>
        <v/>
      </c>
      <c r="AK438" s="76" t="str">
        <f t="shared" si="28"/>
        <v/>
      </c>
      <c r="AL438" s="76" t="str">
        <f t="shared" si="29"/>
        <v/>
      </c>
      <c r="AM438" s="76" t="str">
        <f t="shared" si="30"/>
        <v/>
      </c>
      <c r="AN438" s="76" t="str">
        <f t="shared" si="31"/>
        <v/>
      </c>
      <c r="AO438" s="76" t="str">
        <f t="shared" si="32"/>
        <v/>
      </c>
      <c r="AP438" s="76" t="str">
        <f t="shared" si="33"/>
        <v/>
      </c>
    </row>
    <row r="439" ht="15.75" customHeight="1">
      <c r="A439" s="76" t="str">
        <f>IF('Manual Entry'!A411="","",'Manual Entry'!A411)</f>
        <v/>
      </c>
      <c r="B439" s="76" t="str">
        <f t="shared" si="3"/>
        <v/>
      </c>
      <c r="C439" s="76" t="str">
        <f t="shared" si="4"/>
        <v/>
      </c>
      <c r="D439" s="76" t="str">
        <f>'Manual Entry'!D411</f>
        <v/>
      </c>
      <c r="E439" s="76" t="str">
        <f>'Manual Entry'!B411</f>
        <v/>
      </c>
      <c r="F439" s="76" t="str">
        <f>'Manual Entry'!F411</f>
        <v/>
      </c>
      <c r="G439" s="76" t="str">
        <f>'Manual Entry'!G411</f>
        <v/>
      </c>
      <c r="H439" s="76" t="str">
        <f>'Manual Entry'!H411</f>
        <v/>
      </c>
      <c r="I439" s="78" t="str">
        <f>'Manual Entry'!I411</f>
        <v/>
      </c>
      <c r="J439" s="78" t="str">
        <f>'Manual Entry'!J411</f>
        <v/>
      </c>
      <c r="K439" s="78" t="str">
        <f>'Manual Entry'!K411</f>
        <v/>
      </c>
      <c r="L439" s="78" t="str">
        <f>'Manual Entry'!L411</f>
        <v/>
      </c>
      <c r="M439" s="78" t="str">
        <f>'Manual Entry'!M411</f>
        <v/>
      </c>
      <c r="N439" s="78" t="str">
        <f>'Manual Entry'!N411</f>
        <v/>
      </c>
      <c r="O439" s="76">
        <f t="shared" si="6"/>
        <v>0</v>
      </c>
      <c r="P439" s="76">
        <f t="shared" si="7"/>
        <v>0</v>
      </c>
      <c r="Q439" s="76">
        <f t="shared" si="8"/>
        <v>0</v>
      </c>
      <c r="R439" s="76">
        <f t="shared" si="9"/>
        <v>0</v>
      </c>
      <c r="S439" s="76" t="str">
        <f t="shared" si="10"/>
        <v/>
      </c>
      <c r="T439" s="76" t="str">
        <f t="shared" si="11"/>
        <v/>
      </c>
      <c r="U439" s="76" t="str">
        <f t="shared" si="12"/>
        <v/>
      </c>
      <c r="V439" s="76" t="str">
        <f t="shared" si="13"/>
        <v/>
      </c>
      <c r="W439" s="76" t="str">
        <f t="shared" si="14"/>
        <v/>
      </c>
      <c r="X439" s="76" t="str">
        <f t="shared" si="15"/>
        <v/>
      </c>
      <c r="Y439" s="76" t="str">
        <f t="shared" si="16"/>
        <v/>
      </c>
      <c r="Z439" s="76" t="str">
        <f t="shared" si="17"/>
        <v/>
      </c>
      <c r="AA439" s="76" t="str">
        <f t="shared" si="18"/>
        <v/>
      </c>
      <c r="AB439" s="76" t="str">
        <f t="shared" si="19"/>
        <v/>
      </c>
      <c r="AC439" s="76" t="str">
        <f t="shared" si="20"/>
        <v/>
      </c>
      <c r="AD439" s="76" t="str">
        <f t="shared" si="21"/>
        <v/>
      </c>
      <c r="AE439" s="76" t="str">
        <f t="shared" si="22"/>
        <v/>
      </c>
      <c r="AF439" s="76" t="str">
        <f t="shared" si="23"/>
        <v/>
      </c>
      <c r="AG439" s="76" t="str">
        <f t="shared" si="24"/>
        <v/>
      </c>
      <c r="AH439" s="76" t="str">
        <f t="shared" si="25"/>
        <v/>
      </c>
      <c r="AI439" s="76" t="str">
        <f t="shared" si="26"/>
        <v/>
      </c>
      <c r="AJ439" s="76" t="str">
        <f t="shared" si="27"/>
        <v/>
      </c>
      <c r="AK439" s="76" t="str">
        <f t="shared" si="28"/>
        <v/>
      </c>
      <c r="AL439" s="76" t="str">
        <f t="shared" si="29"/>
        <v/>
      </c>
      <c r="AM439" s="76" t="str">
        <f t="shared" si="30"/>
        <v/>
      </c>
      <c r="AN439" s="76" t="str">
        <f t="shared" si="31"/>
        <v/>
      </c>
      <c r="AO439" s="76" t="str">
        <f t="shared" si="32"/>
        <v/>
      </c>
      <c r="AP439" s="76" t="str">
        <f t="shared" si="33"/>
        <v/>
      </c>
    </row>
    <row r="440" ht="15.75" customHeight="1">
      <c r="A440" s="76" t="str">
        <f>IF('Manual Entry'!A412="","",'Manual Entry'!A412)</f>
        <v/>
      </c>
      <c r="B440" s="76" t="str">
        <f t="shared" si="3"/>
        <v/>
      </c>
      <c r="C440" s="76" t="str">
        <f t="shared" si="4"/>
        <v/>
      </c>
      <c r="D440" s="76" t="str">
        <f>'Manual Entry'!D412</f>
        <v/>
      </c>
      <c r="E440" s="76" t="str">
        <f>'Manual Entry'!B412</f>
        <v/>
      </c>
      <c r="F440" s="76" t="str">
        <f>'Manual Entry'!F412</f>
        <v/>
      </c>
      <c r="G440" s="76" t="str">
        <f>'Manual Entry'!G412</f>
        <v/>
      </c>
      <c r="H440" s="76" t="str">
        <f>'Manual Entry'!H412</f>
        <v/>
      </c>
      <c r="I440" s="78" t="str">
        <f>'Manual Entry'!I412</f>
        <v/>
      </c>
      <c r="J440" s="78" t="str">
        <f>'Manual Entry'!J412</f>
        <v/>
      </c>
      <c r="K440" s="78" t="str">
        <f>'Manual Entry'!K412</f>
        <v/>
      </c>
      <c r="L440" s="78" t="str">
        <f>'Manual Entry'!L412</f>
        <v/>
      </c>
      <c r="M440" s="78" t="str">
        <f>'Manual Entry'!M412</f>
        <v/>
      </c>
      <c r="N440" s="78" t="str">
        <f>'Manual Entry'!N412</f>
        <v/>
      </c>
      <c r="O440" s="76">
        <f t="shared" si="6"/>
        <v>0</v>
      </c>
      <c r="P440" s="76">
        <f t="shared" si="7"/>
        <v>0</v>
      </c>
      <c r="Q440" s="76">
        <f t="shared" si="8"/>
        <v>0</v>
      </c>
      <c r="R440" s="76">
        <f t="shared" si="9"/>
        <v>0</v>
      </c>
      <c r="S440" s="76" t="str">
        <f t="shared" si="10"/>
        <v/>
      </c>
      <c r="T440" s="76" t="str">
        <f t="shared" si="11"/>
        <v/>
      </c>
      <c r="U440" s="76" t="str">
        <f t="shared" si="12"/>
        <v/>
      </c>
      <c r="V440" s="76" t="str">
        <f t="shared" si="13"/>
        <v/>
      </c>
      <c r="W440" s="76" t="str">
        <f t="shared" si="14"/>
        <v/>
      </c>
      <c r="X440" s="76" t="str">
        <f t="shared" si="15"/>
        <v/>
      </c>
      <c r="Y440" s="76" t="str">
        <f t="shared" si="16"/>
        <v/>
      </c>
      <c r="Z440" s="76" t="str">
        <f t="shared" si="17"/>
        <v/>
      </c>
      <c r="AA440" s="76" t="str">
        <f t="shared" si="18"/>
        <v/>
      </c>
      <c r="AB440" s="76" t="str">
        <f t="shared" si="19"/>
        <v/>
      </c>
      <c r="AC440" s="76" t="str">
        <f t="shared" si="20"/>
        <v/>
      </c>
      <c r="AD440" s="76" t="str">
        <f t="shared" si="21"/>
        <v/>
      </c>
      <c r="AE440" s="76" t="str">
        <f t="shared" si="22"/>
        <v/>
      </c>
      <c r="AF440" s="76" t="str">
        <f t="shared" si="23"/>
        <v/>
      </c>
      <c r="AG440" s="76" t="str">
        <f t="shared" si="24"/>
        <v/>
      </c>
      <c r="AH440" s="76" t="str">
        <f t="shared" si="25"/>
        <v/>
      </c>
      <c r="AI440" s="76" t="str">
        <f t="shared" si="26"/>
        <v/>
      </c>
      <c r="AJ440" s="76" t="str">
        <f t="shared" si="27"/>
        <v/>
      </c>
      <c r="AK440" s="76" t="str">
        <f t="shared" si="28"/>
        <v/>
      </c>
      <c r="AL440" s="76" t="str">
        <f t="shared" si="29"/>
        <v/>
      </c>
      <c r="AM440" s="76" t="str">
        <f t="shared" si="30"/>
        <v/>
      </c>
      <c r="AN440" s="76" t="str">
        <f t="shared" si="31"/>
        <v/>
      </c>
      <c r="AO440" s="76" t="str">
        <f t="shared" si="32"/>
        <v/>
      </c>
      <c r="AP440" s="76" t="str">
        <f t="shared" si="33"/>
        <v/>
      </c>
    </row>
    <row r="441" ht="15.75" customHeight="1">
      <c r="A441" s="76" t="str">
        <f>IF('Manual Entry'!A413="","",'Manual Entry'!A413)</f>
        <v/>
      </c>
      <c r="B441" s="76" t="str">
        <f t="shared" si="3"/>
        <v/>
      </c>
      <c r="C441" s="76" t="str">
        <f t="shared" si="4"/>
        <v/>
      </c>
      <c r="D441" s="76" t="str">
        <f>'Manual Entry'!D413</f>
        <v/>
      </c>
      <c r="E441" s="76" t="str">
        <f>'Manual Entry'!B413</f>
        <v/>
      </c>
      <c r="F441" s="76" t="str">
        <f>'Manual Entry'!F413</f>
        <v/>
      </c>
      <c r="G441" s="76" t="str">
        <f>'Manual Entry'!G413</f>
        <v/>
      </c>
      <c r="H441" s="76" t="str">
        <f>'Manual Entry'!H413</f>
        <v/>
      </c>
      <c r="I441" s="78" t="str">
        <f>'Manual Entry'!I413</f>
        <v/>
      </c>
      <c r="J441" s="78" t="str">
        <f>'Manual Entry'!J413</f>
        <v/>
      </c>
      <c r="K441" s="78" t="str">
        <f>'Manual Entry'!K413</f>
        <v/>
      </c>
      <c r="L441" s="78" t="str">
        <f>'Manual Entry'!L413</f>
        <v/>
      </c>
      <c r="M441" s="78" t="str">
        <f>'Manual Entry'!M413</f>
        <v/>
      </c>
      <c r="N441" s="78" t="str">
        <f>'Manual Entry'!N413</f>
        <v/>
      </c>
      <c r="O441" s="76">
        <f t="shared" si="6"/>
        <v>0</v>
      </c>
      <c r="P441" s="76">
        <f t="shared" si="7"/>
        <v>0</v>
      </c>
      <c r="Q441" s="76">
        <f t="shared" si="8"/>
        <v>0</v>
      </c>
      <c r="R441" s="76">
        <f t="shared" si="9"/>
        <v>0</v>
      </c>
      <c r="S441" s="76" t="str">
        <f t="shared" si="10"/>
        <v/>
      </c>
      <c r="T441" s="76" t="str">
        <f t="shared" si="11"/>
        <v/>
      </c>
      <c r="U441" s="76" t="str">
        <f t="shared" si="12"/>
        <v/>
      </c>
      <c r="V441" s="76" t="str">
        <f t="shared" si="13"/>
        <v/>
      </c>
      <c r="W441" s="76" t="str">
        <f t="shared" si="14"/>
        <v/>
      </c>
      <c r="X441" s="76" t="str">
        <f t="shared" si="15"/>
        <v/>
      </c>
      <c r="Y441" s="76" t="str">
        <f t="shared" si="16"/>
        <v/>
      </c>
      <c r="Z441" s="76" t="str">
        <f t="shared" si="17"/>
        <v/>
      </c>
      <c r="AA441" s="76" t="str">
        <f t="shared" si="18"/>
        <v/>
      </c>
      <c r="AB441" s="76" t="str">
        <f t="shared" si="19"/>
        <v/>
      </c>
      <c r="AC441" s="76" t="str">
        <f t="shared" si="20"/>
        <v/>
      </c>
      <c r="AD441" s="76" t="str">
        <f t="shared" si="21"/>
        <v/>
      </c>
      <c r="AE441" s="76" t="str">
        <f t="shared" si="22"/>
        <v/>
      </c>
      <c r="AF441" s="76" t="str">
        <f t="shared" si="23"/>
        <v/>
      </c>
      <c r="AG441" s="76" t="str">
        <f t="shared" si="24"/>
        <v/>
      </c>
      <c r="AH441" s="76" t="str">
        <f t="shared" si="25"/>
        <v/>
      </c>
      <c r="AI441" s="76" t="str">
        <f t="shared" si="26"/>
        <v/>
      </c>
      <c r="AJ441" s="76" t="str">
        <f t="shared" si="27"/>
        <v/>
      </c>
      <c r="AK441" s="76" t="str">
        <f t="shared" si="28"/>
        <v/>
      </c>
      <c r="AL441" s="76" t="str">
        <f t="shared" si="29"/>
        <v/>
      </c>
      <c r="AM441" s="76" t="str">
        <f t="shared" si="30"/>
        <v/>
      </c>
      <c r="AN441" s="76" t="str">
        <f t="shared" si="31"/>
        <v/>
      </c>
      <c r="AO441" s="76" t="str">
        <f t="shared" si="32"/>
        <v/>
      </c>
      <c r="AP441" s="76" t="str">
        <f t="shared" si="33"/>
        <v/>
      </c>
    </row>
    <row r="442" ht="15.75" customHeight="1">
      <c r="A442" s="76" t="str">
        <f>IF('Manual Entry'!A414="","",'Manual Entry'!A414)</f>
        <v/>
      </c>
      <c r="B442" s="76" t="str">
        <f t="shared" si="3"/>
        <v/>
      </c>
      <c r="C442" s="76" t="str">
        <f t="shared" si="4"/>
        <v/>
      </c>
      <c r="D442" s="76" t="str">
        <f>'Manual Entry'!D414</f>
        <v/>
      </c>
      <c r="E442" s="76" t="str">
        <f>'Manual Entry'!B414</f>
        <v/>
      </c>
      <c r="F442" s="76" t="str">
        <f>'Manual Entry'!F414</f>
        <v/>
      </c>
      <c r="G442" s="76" t="str">
        <f>'Manual Entry'!G414</f>
        <v/>
      </c>
      <c r="H442" s="76" t="str">
        <f>'Manual Entry'!H414</f>
        <v/>
      </c>
      <c r="I442" s="78" t="str">
        <f>'Manual Entry'!I414</f>
        <v/>
      </c>
      <c r="J442" s="78" t="str">
        <f>'Manual Entry'!J414</f>
        <v/>
      </c>
      <c r="K442" s="78" t="str">
        <f>'Manual Entry'!K414</f>
        <v/>
      </c>
      <c r="L442" s="78" t="str">
        <f>'Manual Entry'!L414</f>
        <v/>
      </c>
      <c r="M442" s="78" t="str">
        <f>'Manual Entry'!M414</f>
        <v/>
      </c>
      <c r="N442" s="78" t="str">
        <f>'Manual Entry'!N414</f>
        <v/>
      </c>
      <c r="O442" s="76">
        <f t="shared" si="6"/>
        <v>0</v>
      </c>
      <c r="P442" s="76">
        <f t="shared" si="7"/>
        <v>0</v>
      </c>
      <c r="Q442" s="76">
        <f t="shared" si="8"/>
        <v>0</v>
      </c>
      <c r="R442" s="76">
        <f t="shared" si="9"/>
        <v>0</v>
      </c>
      <c r="S442" s="76" t="str">
        <f t="shared" si="10"/>
        <v/>
      </c>
      <c r="T442" s="76" t="str">
        <f t="shared" si="11"/>
        <v/>
      </c>
      <c r="U442" s="76" t="str">
        <f t="shared" si="12"/>
        <v/>
      </c>
      <c r="V442" s="76" t="str">
        <f t="shared" si="13"/>
        <v/>
      </c>
      <c r="W442" s="76" t="str">
        <f t="shared" si="14"/>
        <v/>
      </c>
      <c r="X442" s="76" t="str">
        <f t="shared" si="15"/>
        <v/>
      </c>
      <c r="Y442" s="76" t="str">
        <f t="shared" si="16"/>
        <v/>
      </c>
      <c r="Z442" s="76" t="str">
        <f t="shared" si="17"/>
        <v/>
      </c>
      <c r="AA442" s="76" t="str">
        <f t="shared" si="18"/>
        <v/>
      </c>
      <c r="AB442" s="76" t="str">
        <f t="shared" si="19"/>
        <v/>
      </c>
      <c r="AC442" s="76" t="str">
        <f t="shared" si="20"/>
        <v/>
      </c>
      <c r="AD442" s="76" t="str">
        <f t="shared" si="21"/>
        <v/>
      </c>
      <c r="AE442" s="76" t="str">
        <f t="shared" si="22"/>
        <v/>
      </c>
      <c r="AF442" s="76" t="str">
        <f t="shared" si="23"/>
        <v/>
      </c>
      <c r="AG442" s="76" t="str">
        <f t="shared" si="24"/>
        <v/>
      </c>
      <c r="AH442" s="76" t="str">
        <f t="shared" si="25"/>
        <v/>
      </c>
      <c r="AI442" s="76" t="str">
        <f t="shared" si="26"/>
        <v/>
      </c>
      <c r="AJ442" s="76" t="str">
        <f t="shared" si="27"/>
        <v/>
      </c>
      <c r="AK442" s="76" t="str">
        <f t="shared" si="28"/>
        <v/>
      </c>
      <c r="AL442" s="76" t="str">
        <f t="shared" si="29"/>
        <v/>
      </c>
      <c r="AM442" s="76" t="str">
        <f t="shared" si="30"/>
        <v/>
      </c>
      <c r="AN442" s="76" t="str">
        <f t="shared" si="31"/>
        <v/>
      </c>
      <c r="AO442" s="76" t="str">
        <f t="shared" si="32"/>
        <v/>
      </c>
      <c r="AP442" s="76" t="str">
        <f t="shared" si="33"/>
        <v/>
      </c>
    </row>
    <row r="443" ht="15.75" customHeight="1">
      <c r="A443" s="76" t="str">
        <f>IF('Manual Entry'!A415="","",'Manual Entry'!A415)</f>
        <v/>
      </c>
      <c r="B443" s="76" t="str">
        <f t="shared" si="3"/>
        <v/>
      </c>
      <c r="C443" s="76" t="str">
        <f t="shared" si="4"/>
        <v/>
      </c>
      <c r="D443" s="76" t="str">
        <f>'Manual Entry'!D415</f>
        <v/>
      </c>
      <c r="E443" s="76" t="str">
        <f>'Manual Entry'!B415</f>
        <v/>
      </c>
      <c r="F443" s="76" t="str">
        <f>'Manual Entry'!F415</f>
        <v/>
      </c>
      <c r="G443" s="76" t="str">
        <f>'Manual Entry'!G415</f>
        <v/>
      </c>
      <c r="H443" s="76" t="str">
        <f>'Manual Entry'!H415</f>
        <v/>
      </c>
      <c r="I443" s="78" t="str">
        <f>'Manual Entry'!I415</f>
        <v/>
      </c>
      <c r="J443" s="78" t="str">
        <f>'Manual Entry'!J415</f>
        <v/>
      </c>
      <c r="K443" s="78" t="str">
        <f>'Manual Entry'!K415</f>
        <v/>
      </c>
      <c r="L443" s="78" t="str">
        <f>'Manual Entry'!L415</f>
        <v/>
      </c>
      <c r="M443" s="78" t="str">
        <f>'Manual Entry'!M415</f>
        <v/>
      </c>
      <c r="N443" s="78" t="str">
        <f>'Manual Entry'!N415</f>
        <v/>
      </c>
      <c r="O443" s="76">
        <f t="shared" si="6"/>
        <v>0</v>
      </c>
      <c r="P443" s="76">
        <f t="shared" si="7"/>
        <v>0</v>
      </c>
      <c r="Q443" s="76">
        <f t="shared" si="8"/>
        <v>0</v>
      </c>
      <c r="R443" s="76">
        <f t="shared" si="9"/>
        <v>0</v>
      </c>
      <c r="S443" s="76" t="str">
        <f t="shared" si="10"/>
        <v/>
      </c>
      <c r="T443" s="76" t="str">
        <f t="shared" si="11"/>
        <v/>
      </c>
      <c r="U443" s="76" t="str">
        <f t="shared" si="12"/>
        <v/>
      </c>
      <c r="V443" s="76" t="str">
        <f t="shared" si="13"/>
        <v/>
      </c>
      <c r="W443" s="76" t="str">
        <f t="shared" si="14"/>
        <v/>
      </c>
      <c r="X443" s="76" t="str">
        <f t="shared" si="15"/>
        <v/>
      </c>
      <c r="Y443" s="76" t="str">
        <f t="shared" si="16"/>
        <v/>
      </c>
      <c r="Z443" s="76" t="str">
        <f t="shared" si="17"/>
        <v/>
      </c>
      <c r="AA443" s="76" t="str">
        <f t="shared" si="18"/>
        <v/>
      </c>
      <c r="AB443" s="76" t="str">
        <f t="shared" si="19"/>
        <v/>
      </c>
      <c r="AC443" s="76" t="str">
        <f t="shared" si="20"/>
        <v/>
      </c>
      <c r="AD443" s="76" t="str">
        <f t="shared" si="21"/>
        <v/>
      </c>
      <c r="AE443" s="76" t="str">
        <f t="shared" si="22"/>
        <v/>
      </c>
      <c r="AF443" s="76" t="str">
        <f t="shared" si="23"/>
        <v/>
      </c>
      <c r="AG443" s="76" t="str">
        <f t="shared" si="24"/>
        <v/>
      </c>
      <c r="AH443" s="76" t="str">
        <f t="shared" si="25"/>
        <v/>
      </c>
      <c r="AI443" s="76" t="str">
        <f t="shared" si="26"/>
        <v/>
      </c>
      <c r="AJ443" s="76" t="str">
        <f t="shared" si="27"/>
        <v/>
      </c>
      <c r="AK443" s="76" t="str">
        <f t="shared" si="28"/>
        <v/>
      </c>
      <c r="AL443" s="76" t="str">
        <f t="shared" si="29"/>
        <v/>
      </c>
      <c r="AM443" s="76" t="str">
        <f t="shared" si="30"/>
        <v/>
      </c>
      <c r="AN443" s="76" t="str">
        <f t="shared" si="31"/>
        <v/>
      </c>
      <c r="AO443" s="76" t="str">
        <f t="shared" si="32"/>
        <v/>
      </c>
      <c r="AP443" s="76" t="str">
        <f t="shared" si="33"/>
        <v/>
      </c>
    </row>
    <row r="444" ht="15.75" customHeight="1">
      <c r="A444" s="76" t="str">
        <f>IF('Manual Entry'!A416="","",'Manual Entry'!A416)</f>
        <v/>
      </c>
      <c r="B444" s="76" t="str">
        <f t="shared" si="3"/>
        <v/>
      </c>
      <c r="C444" s="76" t="str">
        <f t="shared" si="4"/>
        <v/>
      </c>
      <c r="D444" s="76" t="str">
        <f>'Manual Entry'!D416</f>
        <v/>
      </c>
      <c r="E444" s="76" t="str">
        <f>'Manual Entry'!B416</f>
        <v/>
      </c>
      <c r="F444" s="76" t="str">
        <f>'Manual Entry'!F416</f>
        <v/>
      </c>
      <c r="G444" s="76" t="str">
        <f>'Manual Entry'!G416</f>
        <v/>
      </c>
      <c r="H444" s="76" t="str">
        <f>'Manual Entry'!H416</f>
        <v/>
      </c>
      <c r="I444" s="78" t="str">
        <f>'Manual Entry'!I416</f>
        <v/>
      </c>
      <c r="J444" s="78" t="str">
        <f>'Manual Entry'!J416</f>
        <v/>
      </c>
      <c r="K444" s="78" t="str">
        <f>'Manual Entry'!K416</f>
        <v/>
      </c>
      <c r="L444" s="78" t="str">
        <f>'Manual Entry'!L416</f>
        <v/>
      </c>
      <c r="M444" s="78" t="str">
        <f>'Manual Entry'!M416</f>
        <v/>
      </c>
      <c r="N444" s="78" t="str">
        <f>'Manual Entry'!N416</f>
        <v/>
      </c>
      <c r="O444" s="76">
        <f t="shared" si="6"/>
        <v>0</v>
      </c>
      <c r="P444" s="76">
        <f t="shared" si="7"/>
        <v>0</v>
      </c>
      <c r="Q444" s="76">
        <f t="shared" si="8"/>
        <v>0</v>
      </c>
      <c r="R444" s="76">
        <f t="shared" si="9"/>
        <v>0</v>
      </c>
      <c r="S444" s="76" t="str">
        <f t="shared" si="10"/>
        <v/>
      </c>
      <c r="T444" s="76" t="str">
        <f t="shared" si="11"/>
        <v/>
      </c>
      <c r="U444" s="76" t="str">
        <f t="shared" si="12"/>
        <v/>
      </c>
      <c r="V444" s="76" t="str">
        <f t="shared" si="13"/>
        <v/>
      </c>
      <c r="W444" s="76" t="str">
        <f t="shared" si="14"/>
        <v/>
      </c>
      <c r="X444" s="76" t="str">
        <f t="shared" si="15"/>
        <v/>
      </c>
      <c r="Y444" s="76" t="str">
        <f t="shared" si="16"/>
        <v/>
      </c>
      <c r="Z444" s="76" t="str">
        <f t="shared" si="17"/>
        <v/>
      </c>
      <c r="AA444" s="76" t="str">
        <f t="shared" si="18"/>
        <v/>
      </c>
      <c r="AB444" s="76" t="str">
        <f t="shared" si="19"/>
        <v/>
      </c>
      <c r="AC444" s="76" t="str">
        <f t="shared" si="20"/>
        <v/>
      </c>
      <c r="AD444" s="76" t="str">
        <f t="shared" si="21"/>
        <v/>
      </c>
      <c r="AE444" s="76" t="str">
        <f t="shared" si="22"/>
        <v/>
      </c>
      <c r="AF444" s="76" t="str">
        <f t="shared" si="23"/>
        <v/>
      </c>
      <c r="AG444" s="76" t="str">
        <f t="shared" si="24"/>
        <v/>
      </c>
      <c r="AH444" s="76" t="str">
        <f t="shared" si="25"/>
        <v/>
      </c>
      <c r="AI444" s="76" t="str">
        <f t="shared" si="26"/>
        <v/>
      </c>
      <c r="AJ444" s="76" t="str">
        <f t="shared" si="27"/>
        <v/>
      </c>
      <c r="AK444" s="76" t="str">
        <f t="shared" si="28"/>
        <v/>
      </c>
      <c r="AL444" s="76" t="str">
        <f t="shared" si="29"/>
        <v/>
      </c>
      <c r="AM444" s="76" t="str">
        <f t="shared" si="30"/>
        <v/>
      </c>
      <c r="AN444" s="76" t="str">
        <f t="shared" si="31"/>
        <v/>
      </c>
      <c r="AO444" s="76" t="str">
        <f t="shared" si="32"/>
        <v/>
      </c>
      <c r="AP444" s="76" t="str">
        <f t="shared" si="33"/>
        <v/>
      </c>
    </row>
    <row r="445" ht="15.75" customHeight="1">
      <c r="A445" s="76" t="str">
        <f>IF('Manual Entry'!A417="","",'Manual Entry'!A417)</f>
        <v/>
      </c>
      <c r="B445" s="76" t="str">
        <f t="shared" si="3"/>
        <v/>
      </c>
      <c r="C445" s="76" t="str">
        <f t="shared" si="4"/>
        <v/>
      </c>
      <c r="D445" s="76" t="str">
        <f>'Manual Entry'!D417</f>
        <v/>
      </c>
      <c r="E445" s="76" t="str">
        <f>'Manual Entry'!B417</f>
        <v/>
      </c>
      <c r="F445" s="76" t="str">
        <f>'Manual Entry'!F417</f>
        <v/>
      </c>
      <c r="G445" s="76" t="str">
        <f>'Manual Entry'!G417</f>
        <v/>
      </c>
      <c r="H445" s="76" t="str">
        <f>'Manual Entry'!H417</f>
        <v/>
      </c>
      <c r="I445" s="78" t="str">
        <f>'Manual Entry'!I417</f>
        <v/>
      </c>
      <c r="J445" s="78" t="str">
        <f>'Manual Entry'!J417</f>
        <v/>
      </c>
      <c r="K445" s="78" t="str">
        <f>'Manual Entry'!K417</f>
        <v/>
      </c>
      <c r="L445" s="78" t="str">
        <f>'Manual Entry'!L417</f>
        <v/>
      </c>
      <c r="M445" s="78" t="str">
        <f>'Manual Entry'!M417</f>
        <v/>
      </c>
      <c r="N445" s="78" t="str">
        <f>'Manual Entry'!N417</f>
        <v/>
      </c>
      <c r="O445" s="76">
        <f t="shared" si="6"/>
        <v>0</v>
      </c>
      <c r="P445" s="76">
        <f t="shared" si="7"/>
        <v>0</v>
      </c>
      <c r="Q445" s="76">
        <f t="shared" si="8"/>
        <v>0</v>
      </c>
      <c r="R445" s="76">
        <f t="shared" si="9"/>
        <v>0</v>
      </c>
      <c r="S445" s="76" t="str">
        <f t="shared" si="10"/>
        <v/>
      </c>
      <c r="T445" s="76" t="str">
        <f t="shared" si="11"/>
        <v/>
      </c>
      <c r="U445" s="76" t="str">
        <f t="shared" si="12"/>
        <v/>
      </c>
      <c r="V445" s="76" t="str">
        <f t="shared" si="13"/>
        <v/>
      </c>
      <c r="W445" s="76" t="str">
        <f t="shared" si="14"/>
        <v/>
      </c>
      <c r="X445" s="76" t="str">
        <f t="shared" si="15"/>
        <v/>
      </c>
      <c r="Y445" s="76" t="str">
        <f t="shared" si="16"/>
        <v/>
      </c>
      <c r="Z445" s="76" t="str">
        <f t="shared" si="17"/>
        <v/>
      </c>
      <c r="AA445" s="76" t="str">
        <f t="shared" si="18"/>
        <v/>
      </c>
      <c r="AB445" s="76" t="str">
        <f t="shared" si="19"/>
        <v/>
      </c>
      <c r="AC445" s="76" t="str">
        <f t="shared" si="20"/>
        <v/>
      </c>
      <c r="AD445" s="76" t="str">
        <f t="shared" si="21"/>
        <v/>
      </c>
      <c r="AE445" s="76" t="str">
        <f t="shared" si="22"/>
        <v/>
      </c>
      <c r="AF445" s="76" t="str">
        <f t="shared" si="23"/>
        <v/>
      </c>
      <c r="AG445" s="76" t="str">
        <f t="shared" si="24"/>
        <v/>
      </c>
      <c r="AH445" s="76" t="str">
        <f t="shared" si="25"/>
        <v/>
      </c>
      <c r="AI445" s="76" t="str">
        <f t="shared" si="26"/>
        <v/>
      </c>
      <c r="AJ445" s="76" t="str">
        <f t="shared" si="27"/>
        <v/>
      </c>
      <c r="AK445" s="76" t="str">
        <f t="shared" si="28"/>
        <v/>
      </c>
      <c r="AL445" s="76" t="str">
        <f t="shared" si="29"/>
        <v/>
      </c>
      <c r="AM445" s="76" t="str">
        <f t="shared" si="30"/>
        <v/>
      </c>
      <c r="AN445" s="76" t="str">
        <f t="shared" si="31"/>
        <v/>
      </c>
      <c r="AO445" s="76" t="str">
        <f t="shared" si="32"/>
        <v/>
      </c>
      <c r="AP445" s="76" t="str">
        <f t="shared" si="33"/>
        <v/>
      </c>
    </row>
    <row r="446" ht="15.75" customHeight="1">
      <c r="A446" s="76" t="str">
        <f>IF('Manual Entry'!A418="","",'Manual Entry'!A418)</f>
        <v/>
      </c>
      <c r="B446" s="76" t="str">
        <f t="shared" si="3"/>
        <v/>
      </c>
      <c r="C446" s="76" t="str">
        <f t="shared" si="4"/>
        <v/>
      </c>
      <c r="D446" s="76" t="str">
        <f>'Manual Entry'!D418</f>
        <v/>
      </c>
      <c r="E446" s="76" t="str">
        <f>'Manual Entry'!B418</f>
        <v/>
      </c>
      <c r="F446" s="76" t="str">
        <f>'Manual Entry'!F418</f>
        <v/>
      </c>
      <c r="G446" s="76" t="str">
        <f>'Manual Entry'!G418</f>
        <v/>
      </c>
      <c r="H446" s="76" t="str">
        <f>'Manual Entry'!H418</f>
        <v/>
      </c>
      <c r="I446" s="78" t="str">
        <f>'Manual Entry'!I418</f>
        <v/>
      </c>
      <c r="J446" s="78" t="str">
        <f>'Manual Entry'!J418</f>
        <v/>
      </c>
      <c r="K446" s="78" t="str">
        <f>'Manual Entry'!K418</f>
        <v/>
      </c>
      <c r="L446" s="78" t="str">
        <f>'Manual Entry'!L418</f>
        <v/>
      </c>
      <c r="M446" s="78" t="str">
        <f>'Manual Entry'!M418</f>
        <v/>
      </c>
      <c r="N446" s="78" t="str">
        <f>'Manual Entry'!N418</f>
        <v/>
      </c>
      <c r="O446" s="76">
        <f t="shared" si="6"/>
        <v>0</v>
      </c>
      <c r="P446" s="76">
        <f t="shared" si="7"/>
        <v>0</v>
      </c>
      <c r="Q446" s="76">
        <f t="shared" si="8"/>
        <v>0</v>
      </c>
      <c r="R446" s="76">
        <f t="shared" si="9"/>
        <v>0</v>
      </c>
      <c r="S446" s="76" t="str">
        <f t="shared" si="10"/>
        <v/>
      </c>
      <c r="T446" s="76" t="str">
        <f t="shared" si="11"/>
        <v/>
      </c>
      <c r="U446" s="76" t="str">
        <f t="shared" si="12"/>
        <v/>
      </c>
      <c r="V446" s="76" t="str">
        <f t="shared" si="13"/>
        <v/>
      </c>
      <c r="W446" s="76" t="str">
        <f t="shared" si="14"/>
        <v/>
      </c>
      <c r="X446" s="76" t="str">
        <f t="shared" si="15"/>
        <v/>
      </c>
      <c r="Y446" s="76" t="str">
        <f t="shared" si="16"/>
        <v/>
      </c>
      <c r="Z446" s="76" t="str">
        <f t="shared" si="17"/>
        <v/>
      </c>
      <c r="AA446" s="76" t="str">
        <f t="shared" si="18"/>
        <v/>
      </c>
      <c r="AB446" s="76" t="str">
        <f t="shared" si="19"/>
        <v/>
      </c>
      <c r="AC446" s="76" t="str">
        <f t="shared" si="20"/>
        <v/>
      </c>
      <c r="AD446" s="76" t="str">
        <f t="shared" si="21"/>
        <v/>
      </c>
      <c r="AE446" s="76" t="str">
        <f t="shared" si="22"/>
        <v/>
      </c>
      <c r="AF446" s="76" t="str">
        <f t="shared" si="23"/>
        <v/>
      </c>
      <c r="AG446" s="76" t="str">
        <f t="shared" si="24"/>
        <v/>
      </c>
      <c r="AH446" s="76" t="str">
        <f t="shared" si="25"/>
        <v/>
      </c>
      <c r="AI446" s="76" t="str">
        <f t="shared" si="26"/>
        <v/>
      </c>
      <c r="AJ446" s="76" t="str">
        <f t="shared" si="27"/>
        <v/>
      </c>
      <c r="AK446" s="76" t="str">
        <f t="shared" si="28"/>
        <v/>
      </c>
      <c r="AL446" s="76" t="str">
        <f t="shared" si="29"/>
        <v/>
      </c>
      <c r="AM446" s="76" t="str">
        <f t="shared" si="30"/>
        <v/>
      </c>
      <c r="AN446" s="76" t="str">
        <f t="shared" si="31"/>
        <v/>
      </c>
      <c r="AO446" s="76" t="str">
        <f t="shared" si="32"/>
        <v/>
      </c>
      <c r="AP446" s="76" t="str">
        <f t="shared" si="33"/>
        <v/>
      </c>
    </row>
    <row r="447" ht="15.75" customHeight="1">
      <c r="A447" s="76" t="str">
        <f>IF('Manual Entry'!A419="","",'Manual Entry'!A419)</f>
        <v/>
      </c>
      <c r="B447" s="76" t="str">
        <f t="shared" si="3"/>
        <v/>
      </c>
      <c r="C447" s="76" t="str">
        <f t="shared" si="4"/>
        <v/>
      </c>
      <c r="D447" s="76" t="str">
        <f>'Manual Entry'!D419</f>
        <v/>
      </c>
      <c r="E447" s="76" t="str">
        <f>'Manual Entry'!B419</f>
        <v/>
      </c>
      <c r="F447" s="76" t="str">
        <f>'Manual Entry'!F419</f>
        <v/>
      </c>
      <c r="G447" s="76" t="str">
        <f>'Manual Entry'!G419</f>
        <v/>
      </c>
      <c r="H447" s="76" t="str">
        <f>'Manual Entry'!H419</f>
        <v/>
      </c>
      <c r="I447" s="78" t="str">
        <f>'Manual Entry'!I419</f>
        <v/>
      </c>
      <c r="J447" s="78" t="str">
        <f>'Manual Entry'!J419</f>
        <v/>
      </c>
      <c r="K447" s="78" t="str">
        <f>'Manual Entry'!K419</f>
        <v/>
      </c>
      <c r="L447" s="78" t="str">
        <f>'Manual Entry'!L419</f>
        <v/>
      </c>
      <c r="M447" s="78" t="str">
        <f>'Manual Entry'!M419</f>
        <v/>
      </c>
      <c r="N447" s="78" t="str">
        <f>'Manual Entry'!N419</f>
        <v/>
      </c>
      <c r="O447" s="76">
        <f t="shared" si="6"/>
        <v>0</v>
      </c>
      <c r="P447" s="76">
        <f t="shared" si="7"/>
        <v>0</v>
      </c>
      <c r="Q447" s="76">
        <f t="shared" si="8"/>
        <v>0</v>
      </c>
      <c r="R447" s="76">
        <f t="shared" si="9"/>
        <v>0</v>
      </c>
      <c r="S447" s="76" t="str">
        <f t="shared" si="10"/>
        <v/>
      </c>
      <c r="T447" s="76" t="str">
        <f t="shared" si="11"/>
        <v/>
      </c>
      <c r="U447" s="76" t="str">
        <f t="shared" si="12"/>
        <v/>
      </c>
      <c r="V447" s="76" t="str">
        <f t="shared" si="13"/>
        <v/>
      </c>
      <c r="W447" s="76" t="str">
        <f t="shared" si="14"/>
        <v/>
      </c>
      <c r="X447" s="76" t="str">
        <f t="shared" si="15"/>
        <v/>
      </c>
      <c r="Y447" s="76" t="str">
        <f t="shared" si="16"/>
        <v/>
      </c>
      <c r="Z447" s="76" t="str">
        <f t="shared" si="17"/>
        <v/>
      </c>
      <c r="AA447" s="76" t="str">
        <f t="shared" si="18"/>
        <v/>
      </c>
      <c r="AB447" s="76" t="str">
        <f t="shared" si="19"/>
        <v/>
      </c>
      <c r="AC447" s="76" t="str">
        <f t="shared" si="20"/>
        <v/>
      </c>
      <c r="AD447" s="76" t="str">
        <f t="shared" si="21"/>
        <v/>
      </c>
      <c r="AE447" s="76" t="str">
        <f t="shared" si="22"/>
        <v/>
      </c>
      <c r="AF447" s="76" t="str">
        <f t="shared" si="23"/>
        <v/>
      </c>
      <c r="AG447" s="76" t="str">
        <f t="shared" si="24"/>
        <v/>
      </c>
      <c r="AH447" s="76" t="str">
        <f t="shared" si="25"/>
        <v/>
      </c>
      <c r="AI447" s="76" t="str">
        <f t="shared" si="26"/>
        <v/>
      </c>
      <c r="AJ447" s="76" t="str">
        <f t="shared" si="27"/>
        <v/>
      </c>
      <c r="AK447" s="76" t="str">
        <f t="shared" si="28"/>
        <v/>
      </c>
      <c r="AL447" s="76" t="str">
        <f t="shared" si="29"/>
        <v/>
      </c>
      <c r="AM447" s="76" t="str">
        <f t="shared" si="30"/>
        <v/>
      </c>
      <c r="AN447" s="76" t="str">
        <f t="shared" si="31"/>
        <v/>
      </c>
      <c r="AO447" s="76" t="str">
        <f t="shared" si="32"/>
        <v/>
      </c>
      <c r="AP447" s="76" t="str">
        <f t="shared" si="33"/>
        <v/>
      </c>
    </row>
    <row r="448" ht="15.75" customHeight="1">
      <c r="A448" s="76" t="str">
        <f>IF('Manual Entry'!A420="","",'Manual Entry'!A420)</f>
        <v/>
      </c>
      <c r="B448" s="76" t="str">
        <f t="shared" si="3"/>
        <v/>
      </c>
      <c r="C448" s="76" t="str">
        <f t="shared" si="4"/>
        <v/>
      </c>
      <c r="D448" s="76" t="str">
        <f>'Manual Entry'!D420</f>
        <v/>
      </c>
      <c r="E448" s="76" t="str">
        <f>'Manual Entry'!B420</f>
        <v/>
      </c>
      <c r="F448" s="76" t="str">
        <f>'Manual Entry'!F420</f>
        <v/>
      </c>
      <c r="G448" s="76" t="str">
        <f>'Manual Entry'!G420</f>
        <v/>
      </c>
      <c r="H448" s="76" t="str">
        <f>'Manual Entry'!H420</f>
        <v/>
      </c>
      <c r="I448" s="78" t="str">
        <f>'Manual Entry'!I420</f>
        <v/>
      </c>
      <c r="J448" s="78" t="str">
        <f>'Manual Entry'!J420</f>
        <v/>
      </c>
      <c r="K448" s="78" t="str">
        <f>'Manual Entry'!K420</f>
        <v/>
      </c>
      <c r="L448" s="78" t="str">
        <f>'Manual Entry'!L420</f>
        <v/>
      </c>
      <c r="M448" s="78" t="str">
        <f>'Manual Entry'!M420</f>
        <v/>
      </c>
      <c r="N448" s="78" t="str">
        <f>'Manual Entry'!N420</f>
        <v/>
      </c>
      <c r="O448" s="76">
        <f t="shared" si="6"/>
        <v>0</v>
      </c>
      <c r="P448" s="76">
        <f t="shared" si="7"/>
        <v>0</v>
      </c>
      <c r="Q448" s="76">
        <f t="shared" si="8"/>
        <v>0</v>
      </c>
      <c r="R448" s="76">
        <f t="shared" si="9"/>
        <v>0</v>
      </c>
      <c r="S448" s="76" t="str">
        <f t="shared" si="10"/>
        <v/>
      </c>
      <c r="T448" s="76" t="str">
        <f t="shared" si="11"/>
        <v/>
      </c>
      <c r="U448" s="76" t="str">
        <f t="shared" si="12"/>
        <v/>
      </c>
      <c r="V448" s="76" t="str">
        <f t="shared" si="13"/>
        <v/>
      </c>
      <c r="W448" s="76" t="str">
        <f t="shared" si="14"/>
        <v/>
      </c>
      <c r="X448" s="76" t="str">
        <f t="shared" si="15"/>
        <v/>
      </c>
      <c r="Y448" s="76" t="str">
        <f t="shared" si="16"/>
        <v/>
      </c>
      <c r="Z448" s="76" t="str">
        <f t="shared" si="17"/>
        <v/>
      </c>
      <c r="AA448" s="76" t="str">
        <f t="shared" si="18"/>
        <v/>
      </c>
      <c r="AB448" s="76" t="str">
        <f t="shared" si="19"/>
        <v/>
      </c>
      <c r="AC448" s="76" t="str">
        <f t="shared" si="20"/>
        <v/>
      </c>
      <c r="AD448" s="76" t="str">
        <f t="shared" si="21"/>
        <v/>
      </c>
      <c r="AE448" s="76" t="str">
        <f t="shared" si="22"/>
        <v/>
      </c>
      <c r="AF448" s="76" t="str">
        <f t="shared" si="23"/>
        <v/>
      </c>
      <c r="AG448" s="76" t="str">
        <f t="shared" si="24"/>
        <v/>
      </c>
      <c r="AH448" s="76" t="str">
        <f t="shared" si="25"/>
        <v/>
      </c>
      <c r="AI448" s="76" t="str">
        <f t="shared" si="26"/>
        <v/>
      </c>
      <c r="AJ448" s="76" t="str">
        <f t="shared" si="27"/>
        <v/>
      </c>
      <c r="AK448" s="76" t="str">
        <f t="shared" si="28"/>
        <v/>
      </c>
      <c r="AL448" s="76" t="str">
        <f t="shared" si="29"/>
        <v/>
      </c>
      <c r="AM448" s="76" t="str">
        <f t="shared" si="30"/>
        <v/>
      </c>
      <c r="AN448" s="76" t="str">
        <f t="shared" si="31"/>
        <v/>
      </c>
      <c r="AO448" s="76" t="str">
        <f t="shared" si="32"/>
        <v/>
      </c>
      <c r="AP448" s="76" t="str">
        <f t="shared" si="33"/>
        <v/>
      </c>
    </row>
    <row r="449" ht="15.75" customHeight="1">
      <c r="A449" s="76" t="str">
        <f>IF('Manual Entry'!A421="","",'Manual Entry'!A421)</f>
        <v/>
      </c>
      <c r="B449" s="76" t="str">
        <f t="shared" si="3"/>
        <v/>
      </c>
      <c r="C449" s="76" t="str">
        <f t="shared" si="4"/>
        <v/>
      </c>
      <c r="D449" s="76" t="str">
        <f>'Manual Entry'!D421</f>
        <v/>
      </c>
      <c r="E449" s="76" t="str">
        <f>'Manual Entry'!B421</f>
        <v/>
      </c>
      <c r="F449" s="76" t="str">
        <f>'Manual Entry'!F421</f>
        <v/>
      </c>
      <c r="G449" s="76" t="str">
        <f>'Manual Entry'!G421</f>
        <v/>
      </c>
      <c r="H449" s="76" t="str">
        <f>'Manual Entry'!H421</f>
        <v/>
      </c>
      <c r="I449" s="78" t="str">
        <f>'Manual Entry'!I421</f>
        <v/>
      </c>
      <c r="J449" s="78" t="str">
        <f>'Manual Entry'!J421</f>
        <v/>
      </c>
      <c r="K449" s="78" t="str">
        <f>'Manual Entry'!K421</f>
        <v/>
      </c>
      <c r="L449" s="78" t="str">
        <f>'Manual Entry'!L421</f>
        <v/>
      </c>
      <c r="M449" s="78" t="str">
        <f>'Manual Entry'!M421</f>
        <v/>
      </c>
      <c r="N449" s="78" t="str">
        <f>'Manual Entry'!N421</f>
        <v/>
      </c>
      <c r="O449" s="76">
        <f t="shared" si="6"/>
        <v>0</v>
      </c>
      <c r="P449" s="76">
        <f t="shared" si="7"/>
        <v>0</v>
      </c>
      <c r="Q449" s="76">
        <f t="shared" si="8"/>
        <v>0</v>
      </c>
      <c r="R449" s="76">
        <f t="shared" si="9"/>
        <v>0</v>
      </c>
      <c r="S449" s="76" t="str">
        <f t="shared" si="10"/>
        <v/>
      </c>
      <c r="T449" s="76" t="str">
        <f t="shared" si="11"/>
        <v/>
      </c>
      <c r="U449" s="76" t="str">
        <f t="shared" si="12"/>
        <v/>
      </c>
      <c r="V449" s="76" t="str">
        <f t="shared" si="13"/>
        <v/>
      </c>
      <c r="W449" s="76" t="str">
        <f t="shared" si="14"/>
        <v/>
      </c>
      <c r="X449" s="76" t="str">
        <f t="shared" si="15"/>
        <v/>
      </c>
      <c r="Y449" s="76" t="str">
        <f t="shared" si="16"/>
        <v/>
      </c>
      <c r="Z449" s="76" t="str">
        <f t="shared" si="17"/>
        <v/>
      </c>
      <c r="AA449" s="76" t="str">
        <f t="shared" si="18"/>
        <v/>
      </c>
      <c r="AB449" s="76" t="str">
        <f t="shared" si="19"/>
        <v/>
      </c>
      <c r="AC449" s="76" t="str">
        <f t="shared" si="20"/>
        <v/>
      </c>
      <c r="AD449" s="76" t="str">
        <f t="shared" si="21"/>
        <v/>
      </c>
      <c r="AE449" s="76" t="str">
        <f t="shared" si="22"/>
        <v/>
      </c>
      <c r="AF449" s="76" t="str">
        <f t="shared" si="23"/>
        <v/>
      </c>
      <c r="AG449" s="76" t="str">
        <f t="shared" si="24"/>
        <v/>
      </c>
      <c r="AH449" s="76" t="str">
        <f t="shared" si="25"/>
        <v/>
      </c>
      <c r="AI449" s="76" t="str">
        <f t="shared" si="26"/>
        <v/>
      </c>
      <c r="AJ449" s="76" t="str">
        <f t="shared" si="27"/>
        <v/>
      </c>
      <c r="AK449" s="76" t="str">
        <f t="shared" si="28"/>
        <v/>
      </c>
      <c r="AL449" s="76" t="str">
        <f t="shared" si="29"/>
        <v/>
      </c>
      <c r="AM449" s="76" t="str">
        <f t="shared" si="30"/>
        <v/>
      </c>
      <c r="AN449" s="76" t="str">
        <f t="shared" si="31"/>
        <v/>
      </c>
      <c r="AO449" s="76" t="str">
        <f t="shared" si="32"/>
        <v/>
      </c>
      <c r="AP449" s="76" t="str">
        <f t="shared" si="33"/>
        <v/>
      </c>
    </row>
    <row r="450" ht="15.75" customHeight="1">
      <c r="A450" s="76" t="str">
        <f>IF('Manual Entry'!A422="","",'Manual Entry'!A422)</f>
        <v/>
      </c>
      <c r="B450" s="76" t="str">
        <f t="shared" si="3"/>
        <v/>
      </c>
      <c r="C450" s="76" t="str">
        <f t="shared" si="4"/>
        <v/>
      </c>
      <c r="D450" s="76" t="str">
        <f>'Manual Entry'!D422</f>
        <v/>
      </c>
      <c r="E450" s="76" t="str">
        <f>'Manual Entry'!B422</f>
        <v/>
      </c>
      <c r="F450" s="76" t="str">
        <f>'Manual Entry'!F422</f>
        <v/>
      </c>
      <c r="G450" s="76" t="str">
        <f>'Manual Entry'!G422</f>
        <v/>
      </c>
      <c r="H450" s="76" t="str">
        <f>'Manual Entry'!H422</f>
        <v/>
      </c>
      <c r="I450" s="78" t="str">
        <f>'Manual Entry'!I422</f>
        <v/>
      </c>
      <c r="J450" s="78" t="str">
        <f>'Manual Entry'!J422</f>
        <v/>
      </c>
      <c r="K450" s="78" t="str">
        <f>'Manual Entry'!K422</f>
        <v/>
      </c>
      <c r="L450" s="78" t="str">
        <f>'Manual Entry'!L422</f>
        <v/>
      </c>
      <c r="M450" s="78" t="str">
        <f>'Manual Entry'!M422</f>
        <v/>
      </c>
      <c r="N450" s="78" t="str">
        <f>'Manual Entry'!N422</f>
        <v/>
      </c>
      <c r="O450" s="76">
        <f t="shared" si="6"/>
        <v>0</v>
      </c>
      <c r="P450" s="76">
        <f t="shared" si="7"/>
        <v>0</v>
      </c>
      <c r="Q450" s="76">
        <f t="shared" si="8"/>
        <v>0</v>
      </c>
      <c r="R450" s="76">
        <f t="shared" si="9"/>
        <v>0</v>
      </c>
      <c r="S450" s="76" t="str">
        <f t="shared" si="10"/>
        <v/>
      </c>
      <c r="T450" s="76" t="str">
        <f t="shared" si="11"/>
        <v/>
      </c>
      <c r="U450" s="76" t="str">
        <f t="shared" si="12"/>
        <v/>
      </c>
      <c r="V450" s="76" t="str">
        <f t="shared" si="13"/>
        <v/>
      </c>
      <c r="W450" s="76" t="str">
        <f t="shared" si="14"/>
        <v/>
      </c>
      <c r="X450" s="76" t="str">
        <f t="shared" si="15"/>
        <v/>
      </c>
      <c r="Y450" s="76" t="str">
        <f t="shared" si="16"/>
        <v/>
      </c>
      <c r="Z450" s="76" t="str">
        <f t="shared" si="17"/>
        <v/>
      </c>
      <c r="AA450" s="76" t="str">
        <f t="shared" si="18"/>
        <v/>
      </c>
      <c r="AB450" s="76" t="str">
        <f t="shared" si="19"/>
        <v/>
      </c>
      <c r="AC450" s="76" t="str">
        <f t="shared" si="20"/>
        <v/>
      </c>
      <c r="AD450" s="76" t="str">
        <f t="shared" si="21"/>
        <v/>
      </c>
      <c r="AE450" s="76" t="str">
        <f t="shared" si="22"/>
        <v/>
      </c>
      <c r="AF450" s="76" t="str">
        <f t="shared" si="23"/>
        <v/>
      </c>
      <c r="AG450" s="76" t="str">
        <f t="shared" si="24"/>
        <v/>
      </c>
      <c r="AH450" s="76" t="str">
        <f t="shared" si="25"/>
        <v/>
      </c>
      <c r="AI450" s="76" t="str">
        <f t="shared" si="26"/>
        <v/>
      </c>
      <c r="AJ450" s="76" t="str">
        <f t="shared" si="27"/>
        <v/>
      </c>
      <c r="AK450" s="76" t="str">
        <f t="shared" si="28"/>
        <v/>
      </c>
      <c r="AL450" s="76" t="str">
        <f t="shared" si="29"/>
        <v/>
      </c>
      <c r="AM450" s="76" t="str">
        <f t="shared" si="30"/>
        <v/>
      </c>
      <c r="AN450" s="76" t="str">
        <f t="shared" si="31"/>
        <v/>
      </c>
      <c r="AO450" s="76" t="str">
        <f t="shared" si="32"/>
        <v/>
      </c>
      <c r="AP450" s="76" t="str">
        <f t="shared" si="33"/>
        <v/>
      </c>
    </row>
    <row r="451" ht="15.75" customHeight="1">
      <c r="A451" s="76" t="str">
        <f>IF('Manual Entry'!A423="","",'Manual Entry'!A423)</f>
        <v/>
      </c>
      <c r="B451" s="76" t="str">
        <f t="shared" si="3"/>
        <v/>
      </c>
      <c r="C451" s="76" t="str">
        <f t="shared" si="4"/>
        <v/>
      </c>
      <c r="D451" s="76" t="str">
        <f>'Manual Entry'!D423</f>
        <v/>
      </c>
      <c r="E451" s="76" t="str">
        <f>'Manual Entry'!B423</f>
        <v/>
      </c>
      <c r="F451" s="76" t="str">
        <f>'Manual Entry'!F423</f>
        <v/>
      </c>
      <c r="G451" s="76" t="str">
        <f>'Manual Entry'!G423</f>
        <v/>
      </c>
      <c r="H451" s="76" t="str">
        <f>'Manual Entry'!H423</f>
        <v/>
      </c>
      <c r="I451" s="78" t="str">
        <f>'Manual Entry'!I423</f>
        <v/>
      </c>
      <c r="J451" s="78" t="str">
        <f>'Manual Entry'!J423</f>
        <v/>
      </c>
      <c r="K451" s="78" t="str">
        <f>'Manual Entry'!K423</f>
        <v/>
      </c>
      <c r="L451" s="78" t="str">
        <f>'Manual Entry'!L423</f>
        <v/>
      </c>
      <c r="M451" s="78" t="str">
        <f>'Manual Entry'!M423</f>
        <v/>
      </c>
      <c r="N451" s="78" t="str">
        <f>'Manual Entry'!N423</f>
        <v/>
      </c>
      <c r="O451" s="76">
        <f t="shared" si="6"/>
        <v>0</v>
      </c>
      <c r="P451" s="76">
        <f t="shared" si="7"/>
        <v>0</v>
      </c>
      <c r="Q451" s="76">
        <f t="shared" si="8"/>
        <v>0</v>
      </c>
      <c r="R451" s="76">
        <f t="shared" si="9"/>
        <v>0</v>
      </c>
      <c r="S451" s="76" t="str">
        <f t="shared" si="10"/>
        <v/>
      </c>
      <c r="T451" s="76" t="str">
        <f t="shared" si="11"/>
        <v/>
      </c>
      <c r="U451" s="76" t="str">
        <f t="shared" si="12"/>
        <v/>
      </c>
      <c r="V451" s="76" t="str">
        <f t="shared" si="13"/>
        <v/>
      </c>
      <c r="W451" s="76" t="str">
        <f t="shared" si="14"/>
        <v/>
      </c>
      <c r="X451" s="76" t="str">
        <f t="shared" si="15"/>
        <v/>
      </c>
      <c r="Y451" s="76" t="str">
        <f t="shared" si="16"/>
        <v/>
      </c>
      <c r="Z451" s="76" t="str">
        <f t="shared" si="17"/>
        <v/>
      </c>
      <c r="AA451" s="76" t="str">
        <f t="shared" si="18"/>
        <v/>
      </c>
      <c r="AB451" s="76" t="str">
        <f t="shared" si="19"/>
        <v/>
      </c>
      <c r="AC451" s="76" t="str">
        <f t="shared" si="20"/>
        <v/>
      </c>
      <c r="AD451" s="76" t="str">
        <f t="shared" si="21"/>
        <v/>
      </c>
      <c r="AE451" s="76" t="str">
        <f t="shared" si="22"/>
        <v/>
      </c>
      <c r="AF451" s="76" t="str">
        <f t="shared" si="23"/>
        <v/>
      </c>
      <c r="AG451" s="76" t="str">
        <f t="shared" si="24"/>
        <v/>
      </c>
      <c r="AH451" s="76" t="str">
        <f t="shared" si="25"/>
        <v/>
      </c>
      <c r="AI451" s="76" t="str">
        <f t="shared" si="26"/>
        <v/>
      </c>
      <c r="AJ451" s="76" t="str">
        <f t="shared" si="27"/>
        <v/>
      </c>
      <c r="AK451" s="76" t="str">
        <f t="shared" si="28"/>
        <v/>
      </c>
      <c r="AL451" s="76" t="str">
        <f t="shared" si="29"/>
        <v/>
      </c>
      <c r="AM451" s="76" t="str">
        <f t="shared" si="30"/>
        <v/>
      </c>
      <c r="AN451" s="76" t="str">
        <f t="shared" si="31"/>
        <v/>
      </c>
      <c r="AO451" s="76" t="str">
        <f t="shared" si="32"/>
        <v/>
      </c>
      <c r="AP451" s="76" t="str">
        <f t="shared" si="33"/>
        <v/>
      </c>
    </row>
    <row r="452" ht="15.75" customHeight="1">
      <c r="A452" s="76" t="str">
        <f>IF('Manual Entry'!A424="","",'Manual Entry'!A424)</f>
        <v/>
      </c>
      <c r="B452" s="76" t="str">
        <f t="shared" si="3"/>
        <v/>
      </c>
      <c r="C452" s="76" t="str">
        <f t="shared" si="4"/>
        <v/>
      </c>
      <c r="D452" s="76" t="str">
        <f>'Manual Entry'!D424</f>
        <v/>
      </c>
      <c r="E452" s="76" t="str">
        <f>'Manual Entry'!B424</f>
        <v/>
      </c>
      <c r="F452" s="76" t="str">
        <f>'Manual Entry'!F424</f>
        <v/>
      </c>
      <c r="G452" s="76" t="str">
        <f>'Manual Entry'!G424</f>
        <v/>
      </c>
      <c r="H452" s="76" t="str">
        <f>'Manual Entry'!H424</f>
        <v/>
      </c>
      <c r="I452" s="78" t="str">
        <f>'Manual Entry'!I424</f>
        <v/>
      </c>
      <c r="J452" s="78" t="str">
        <f>'Manual Entry'!J424</f>
        <v/>
      </c>
      <c r="K452" s="78" t="str">
        <f>'Manual Entry'!K424</f>
        <v/>
      </c>
      <c r="L452" s="78" t="str">
        <f>'Manual Entry'!L424</f>
        <v/>
      </c>
      <c r="M452" s="78" t="str">
        <f>'Manual Entry'!M424</f>
        <v/>
      </c>
      <c r="N452" s="78" t="str">
        <f>'Manual Entry'!N424</f>
        <v/>
      </c>
      <c r="O452" s="76">
        <f t="shared" si="6"/>
        <v>0</v>
      </c>
      <c r="P452" s="76">
        <f t="shared" si="7"/>
        <v>0</v>
      </c>
      <c r="Q452" s="76">
        <f t="shared" si="8"/>
        <v>0</v>
      </c>
      <c r="R452" s="76">
        <f t="shared" si="9"/>
        <v>0</v>
      </c>
      <c r="S452" s="76" t="str">
        <f t="shared" si="10"/>
        <v/>
      </c>
      <c r="T452" s="76" t="str">
        <f t="shared" si="11"/>
        <v/>
      </c>
      <c r="U452" s="76" t="str">
        <f t="shared" si="12"/>
        <v/>
      </c>
      <c r="V452" s="76" t="str">
        <f t="shared" si="13"/>
        <v/>
      </c>
      <c r="W452" s="76" t="str">
        <f t="shared" si="14"/>
        <v/>
      </c>
      <c r="X452" s="76" t="str">
        <f t="shared" si="15"/>
        <v/>
      </c>
      <c r="Y452" s="76" t="str">
        <f t="shared" si="16"/>
        <v/>
      </c>
      <c r="Z452" s="76" t="str">
        <f t="shared" si="17"/>
        <v/>
      </c>
      <c r="AA452" s="76" t="str">
        <f t="shared" si="18"/>
        <v/>
      </c>
      <c r="AB452" s="76" t="str">
        <f t="shared" si="19"/>
        <v/>
      </c>
      <c r="AC452" s="76" t="str">
        <f t="shared" si="20"/>
        <v/>
      </c>
      <c r="AD452" s="76" t="str">
        <f t="shared" si="21"/>
        <v/>
      </c>
      <c r="AE452" s="76" t="str">
        <f t="shared" si="22"/>
        <v/>
      </c>
      <c r="AF452" s="76" t="str">
        <f t="shared" si="23"/>
        <v/>
      </c>
      <c r="AG452" s="76" t="str">
        <f t="shared" si="24"/>
        <v/>
      </c>
      <c r="AH452" s="76" t="str">
        <f t="shared" si="25"/>
        <v/>
      </c>
      <c r="AI452" s="76" t="str">
        <f t="shared" si="26"/>
        <v/>
      </c>
      <c r="AJ452" s="76" t="str">
        <f t="shared" si="27"/>
        <v/>
      </c>
      <c r="AK452" s="76" t="str">
        <f t="shared" si="28"/>
        <v/>
      </c>
      <c r="AL452" s="76" t="str">
        <f t="shared" si="29"/>
        <v/>
      </c>
      <c r="AM452" s="76" t="str">
        <f t="shared" si="30"/>
        <v/>
      </c>
      <c r="AN452" s="76" t="str">
        <f t="shared" si="31"/>
        <v/>
      </c>
      <c r="AO452" s="76" t="str">
        <f t="shared" si="32"/>
        <v/>
      </c>
      <c r="AP452" s="76" t="str">
        <f t="shared" si="33"/>
        <v/>
      </c>
    </row>
    <row r="453" ht="15.75" customHeight="1">
      <c r="A453" s="76" t="str">
        <f>IF('Manual Entry'!A425="","",'Manual Entry'!A425)</f>
        <v/>
      </c>
      <c r="B453" s="76" t="str">
        <f t="shared" si="3"/>
        <v/>
      </c>
      <c r="C453" s="76" t="str">
        <f t="shared" si="4"/>
        <v/>
      </c>
      <c r="D453" s="76" t="str">
        <f>'Manual Entry'!D425</f>
        <v/>
      </c>
      <c r="E453" s="76" t="str">
        <f>'Manual Entry'!B425</f>
        <v/>
      </c>
      <c r="F453" s="76" t="str">
        <f>'Manual Entry'!F425</f>
        <v/>
      </c>
      <c r="G453" s="76" t="str">
        <f>'Manual Entry'!G425</f>
        <v/>
      </c>
      <c r="H453" s="76" t="str">
        <f>'Manual Entry'!H425</f>
        <v/>
      </c>
      <c r="I453" s="78" t="str">
        <f>'Manual Entry'!I425</f>
        <v/>
      </c>
      <c r="J453" s="78" t="str">
        <f>'Manual Entry'!J425</f>
        <v/>
      </c>
      <c r="K453" s="78" t="str">
        <f>'Manual Entry'!K425</f>
        <v/>
      </c>
      <c r="L453" s="78" t="str">
        <f>'Manual Entry'!L425</f>
        <v/>
      </c>
      <c r="M453" s="78" t="str">
        <f>'Manual Entry'!M425</f>
        <v/>
      </c>
      <c r="N453" s="78" t="str">
        <f>'Manual Entry'!N425</f>
        <v/>
      </c>
      <c r="O453" s="76">
        <f t="shared" si="6"/>
        <v>0</v>
      </c>
      <c r="P453" s="76">
        <f t="shared" si="7"/>
        <v>0</v>
      </c>
      <c r="Q453" s="76">
        <f t="shared" si="8"/>
        <v>0</v>
      </c>
      <c r="R453" s="76">
        <f t="shared" si="9"/>
        <v>0</v>
      </c>
      <c r="S453" s="76" t="str">
        <f t="shared" si="10"/>
        <v/>
      </c>
      <c r="T453" s="76" t="str">
        <f t="shared" si="11"/>
        <v/>
      </c>
      <c r="U453" s="76" t="str">
        <f t="shared" si="12"/>
        <v/>
      </c>
      <c r="V453" s="76" t="str">
        <f t="shared" si="13"/>
        <v/>
      </c>
      <c r="W453" s="76" t="str">
        <f t="shared" si="14"/>
        <v/>
      </c>
      <c r="X453" s="76" t="str">
        <f t="shared" si="15"/>
        <v/>
      </c>
      <c r="Y453" s="76" t="str">
        <f t="shared" si="16"/>
        <v/>
      </c>
      <c r="Z453" s="76" t="str">
        <f t="shared" si="17"/>
        <v/>
      </c>
      <c r="AA453" s="76" t="str">
        <f t="shared" si="18"/>
        <v/>
      </c>
      <c r="AB453" s="76" t="str">
        <f t="shared" si="19"/>
        <v/>
      </c>
      <c r="AC453" s="76" t="str">
        <f t="shared" si="20"/>
        <v/>
      </c>
      <c r="AD453" s="76" t="str">
        <f t="shared" si="21"/>
        <v/>
      </c>
      <c r="AE453" s="76" t="str">
        <f t="shared" si="22"/>
        <v/>
      </c>
      <c r="AF453" s="76" t="str">
        <f t="shared" si="23"/>
        <v/>
      </c>
      <c r="AG453" s="76" t="str">
        <f t="shared" si="24"/>
        <v/>
      </c>
      <c r="AH453" s="76" t="str">
        <f t="shared" si="25"/>
        <v/>
      </c>
      <c r="AI453" s="76" t="str">
        <f t="shared" si="26"/>
        <v/>
      </c>
      <c r="AJ453" s="76" t="str">
        <f t="shared" si="27"/>
        <v/>
      </c>
      <c r="AK453" s="76" t="str">
        <f t="shared" si="28"/>
        <v/>
      </c>
      <c r="AL453" s="76" t="str">
        <f t="shared" si="29"/>
        <v/>
      </c>
      <c r="AM453" s="76" t="str">
        <f t="shared" si="30"/>
        <v/>
      </c>
      <c r="AN453" s="76" t="str">
        <f t="shared" si="31"/>
        <v/>
      </c>
      <c r="AO453" s="76" t="str">
        <f t="shared" si="32"/>
        <v/>
      </c>
      <c r="AP453" s="76" t="str">
        <f t="shared" si="33"/>
        <v/>
      </c>
    </row>
    <row r="454" ht="15.75" customHeight="1">
      <c r="A454" s="76" t="str">
        <f>IF('Manual Entry'!A426="","",'Manual Entry'!A426)</f>
        <v/>
      </c>
      <c r="B454" s="76" t="str">
        <f t="shared" si="3"/>
        <v/>
      </c>
      <c r="C454" s="76" t="str">
        <f t="shared" si="4"/>
        <v/>
      </c>
      <c r="D454" s="76" t="str">
        <f>'Manual Entry'!D426</f>
        <v/>
      </c>
      <c r="E454" s="76" t="str">
        <f>'Manual Entry'!B426</f>
        <v/>
      </c>
      <c r="F454" s="76" t="str">
        <f>'Manual Entry'!F426</f>
        <v/>
      </c>
      <c r="G454" s="76" t="str">
        <f>'Manual Entry'!G426</f>
        <v/>
      </c>
      <c r="H454" s="76" t="str">
        <f>'Manual Entry'!H426</f>
        <v/>
      </c>
      <c r="I454" s="78" t="str">
        <f>'Manual Entry'!I426</f>
        <v/>
      </c>
      <c r="J454" s="78" t="str">
        <f>'Manual Entry'!J426</f>
        <v/>
      </c>
      <c r="K454" s="78" t="str">
        <f>'Manual Entry'!K426</f>
        <v/>
      </c>
      <c r="L454" s="78" t="str">
        <f>'Manual Entry'!L426</f>
        <v/>
      </c>
      <c r="M454" s="78" t="str">
        <f>'Manual Entry'!M426</f>
        <v/>
      </c>
      <c r="N454" s="78" t="str">
        <f>'Manual Entry'!N426</f>
        <v/>
      </c>
      <c r="O454" s="76">
        <f t="shared" si="6"/>
        <v>0</v>
      </c>
      <c r="P454" s="76">
        <f t="shared" si="7"/>
        <v>0</v>
      </c>
      <c r="Q454" s="76">
        <f t="shared" si="8"/>
        <v>0</v>
      </c>
      <c r="R454" s="76">
        <f t="shared" si="9"/>
        <v>0</v>
      </c>
      <c r="S454" s="76" t="str">
        <f t="shared" si="10"/>
        <v/>
      </c>
      <c r="T454" s="76" t="str">
        <f t="shared" si="11"/>
        <v/>
      </c>
      <c r="U454" s="76" t="str">
        <f t="shared" si="12"/>
        <v/>
      </c>
      <c r="V454" s="76" t="str">
        <f t="shared" si="13"/>
        <v/>
      </c>
      <c r="W454" s="76" t="str">
        <f t="shared" si="14"/>
        <v/>
      </c>
      <c r="X454" s="76" t="str">
        <f t="shared" si="15"/>
        <v/>
      </c>
      <c r="Y454" s="76" t="str">
        <f t="shared" si="16"/>
        <v/>
      </c>
      <c r="Z454" s="76" t="str">
        <f t="shared" si="17"/>
        <v/>
      </c>
      <c r="AA454" s="76" t="str">
        <f t="shared" si="18"/>
        <v/>
      </c>
      <c r="AB454" s="76" t="str">
        <f t="shared" si="19"/>
        <v/>
      </c>
      <c r="AC454" s="76" t="str">
        <f t="shared" si="20"/>
        <v/>
      </c>
      <c r="AD454" s="76" t="str">
        <f t="shared" si="21"/>
        <v/>
      </c>
      <c r="AE454" s="76" t="str">
        <f t="shared" si="22"/>
        <v/>
      </c>
      <c r="AF454" s="76" t="str">
        <f t="shared" si="23"/>
        <v/>
      </c>
      <c r="AG454" s="76" t="str">
        <f t="shared" si="24"/>
        <v/>
      </c>
      <c r="AH454" s="76" t="str">
        <f t="shared" si="25"/>
        <v/>
      </c>
      <c r="AI454" s="76" t="str">
        <f t="shared" si="26"/>
        <v/>
      </c>
      <c r="AJ454" s="76" t="str">
        <f t="shared" si="27"/>
        <v/>
      </c>
      <c r="AK454" s="76" t="str">
        <f t="shared" si="28"/>
        <v/>
      </c>
      <c r="AL454" s="76" t="str">
        <f t="shared" si="29"/>
        <v/>
      </c>
      <c r="AM454" s="76" t="str">
        <f t="shared" si="30"/>
        <v/>
      </c>
      <c r="AN454" s="76" t="str">
        <f t="shared" si="31"/>
        <v/>
      </c>
      <c r="AO454" s="76" t="str">
        <f t="shared" si="32"/>
        <v/>
      </c>
      <c r="AP454" s="76" t="str">
        <f t="shared" si="33"/>
        <v/>
      </c>
    </row>
    <row r="455" ht="15.75" customHeight="1">
      <c r="A455" s="76" t="str">
        <f>IF('Manual Entry'!A427="","",'Manual Entry'!A427)</f>
        <v/>
      </c>
      <c r="B455" s="76" t="str">
        <f t="shared" si="3"/>
        <v/>
      </c>
      <c r="C455" s="76" t="str">
        <f t="shared" si="4"/>
        <v/>
      </c>
      <c r="D455" s="76" t="str">
        <f>'Manual Entry'!D427</f>
        <v/>
      </c>
      <c r="E455" s="76" t="str">
        <f>'Manual Entry'!B427</f>
        <v/>
      </c>
      <c r="F455" s="76" t="str">
        <f>'Manual Entry'!F427</f>
        <v/>
      </c>
      <c r="G455" s="76" t="str">
        <f>'Manual Entry'!G427</f>
        <v/>
      </c>
      <c r="H455" s="76" t="str">
        <f>'Manual Entry'!H427</f>
        <v/>
      </c>
      <c r="I455" s="78" t="str">
        <f>'Manual Entry'!I427</f>
        <v/>
      </c>
      <c r="J455" s="78" t="str">
        <f>'Manual Entry'!J427</f>
        <v/>
      </c>
      <c r="K455" s="78" t="str">
        <f>'Manual Entry'!K427</f>
        <v/>
      </c>
      <c r="L455" s="78" t="str">
        <f>'Manual Entry'!L427</f>
        <v/>
      </c>
      <c r="M455" s="78" t="str">
        <f>'Manual Entry'!M427</f>
        <v/>
      </c>
      <c r="N455" s="78" t="str">
        <f>'Manual Entry'!N427</f>
        <v/>
      </c>
      <c r="O455" s="76">
        <f t="shared" si="6"/>
        <v>0</v>
      </c>
      <c r="P455" s="76">
        <f t="shared" si="7"/>
        <v>0</v>
      </c>
      <c r="Q455" s="76">
        <f t="shared" si="8"/>
        <v>0</v>
      </c>
      <c r="R455" s="76">
        <f t="shared" si="9"/>
        <v>0</v>
      </c>
      <c r="S455" s="76" t="str">
        <f t="shared" si="10"/>
        <v/>
      </c>
      <c r="T455" s="76" t="str">
        <f t="shared" si="11"/>
        <v/>
      </c>
      <c r="U455" s="76" t="str">
        <f t="shared" si="12"/>
        <v/>
      </c>
      <c r="V455" s="76" t="str">
        <f t="shared" si="13"/>
        <v/>
      </c>
      <c r="W455" s="76" t="str">
        <f t="shared" si="14"/>
        <v/>
      </c>
      <c r="X455" s="76" t="str">
        <f t="shared" si="15"/>
        <v/>
      </c>
      <c r="Y455" s="76" t="str">
        <f t="shared" si="16"/>
        <v/>
      </c>
      <c r="Z455" s="76" t="str">
        <f t="shared" si="17"/>
        <v/>
      </c>
      <c r="AA455" s="76" t="str">
        <f t="shared" si="18"/>
        <v/>
      </c>
      <c r="AB455" s="76" t="str">
        <f t="shared" si="19"/>
        <v/>
      </c>
      <c r="AC455" s="76" t="str">
        <f t="shared" si="20"/>
        <v/>
      </c>
      <c r="AD455" s="76" t="str">
        <f t="shared" si="21"/>
        <v/>
      </c>
      <c r="AE455" s="76" t="str">
        <f t="shared" si="22"/>
        <v/>
      </c>
      <c r="AF455" s="76" t="str">
        <f t="shared" si="23"/>
        <v/>
      </c>
      <c r="AG455" s="76" t="str">
        <f t="shared" si="24"/>
        <v/>
      </c>
      <c r="AH455" s="76" t="str">
        <f t="shared" si="25"/>
        <v/>
      </c>
      <c r="AI455" s="76" t="str">
        <f t="shared" si="26"/>
        <v/>
      </c>
      <c r="AJ455" s="76" t="str">
        <f t="shared" si="27"/>
        <v/>
      </c>
      <c r="AK455" s="76" t="str">
        <f t="shared" si="28"/>
        <v/>
      </c>
      <c r="AL455" s="76" t="str">
        <f t="shared" si="29"/>
        <v/>
      </c>
      <c r="AM455" s="76" t="str">
        <f t="shared" si="30"/>
        <v/>
      </c>
      <c r="AN455" s="76" t="str">
        <f t="shared" si="31"/>
        <v/>
      </c>
      <c r="AO455" s="76" t="str">
        <f t="shared" si="32"/>
        <v/>
      </c>
      <c r="AP455" s="76" t="str">
        <f t="shared" si="33"/>
        <v/>
      </c>
    </row>
    <row r="456" ht="15.75" customHeight="1">
      <c r="A456" s="76" t="str">
        <f>IF('Manual Entry'!A428="","",'Manual Entry'!A428)</f>
        <v/>
      </c>
      <c r="B456" s="76" t="str">
        <f t="shared" si="3"/>
        <v/>
      </c>
      <c r="C456" s="76" t="str">
        <f t="shared" si="4"/>
        <v/>
      </c>
      <c r="D456" s="76" t="str">
        <f>'Manual Entry'!D428</f>
        <v/>
      </c>
      <c r="E456" s="76" t="str">
        <f>'Manual Entry'!B428</f>
        <v/>
      </c>
      <c r="F456" s="76" t="str">
        <f>'Manual Entry'!F428</f>
        <v/>
      </c>
      <c r="G456" s="76" t="str">
        <f>'Manual Entry'!G428</f>
        <v/>
      </c>
      <c r="H456" s="76" t="str">
        <f>'Manual Entry'!H428</f>
        <v/>
      </c>
      <c r="I456" s="78" t="str">
        <f>'Manual Entry'!I428</f>
        <v/>
      </c>
      <c r="J456" s="78" t="str">
        <f>'Manual Entry'!J428</f>
        <v/>
      </c>
      <c r="K456" s="78" t="str">
        <f>'Manual Entry'!K428</f>
        <v/>
      </c>
      <c r="L456" s="78" t="str">
        <f>'Manual Entry'!L428</f>
        <v/>
      </c>
      <c r="M456" s="78" t="str">
        <f>'Manual Entry'!M428</f>
        <v/>
      </c>
      <c r="N456" s="78" t="str">
        <f>'Manual Entry'!N428</f>
        <v/>
      </c>
      <c r="O456" s="76">
        <f t="shared" si="6"/>
        <v>0</v>
      </c>
      <c r="P456" s="76">
        <f t="shared" si="7"/>
        <v>0</v>
      </c>
      <c r="Q456" s="76">
        <f t="shared" si="8"/>
        <v>0</v>
      </c>
      <c r="R456" s="76">
        <f t="shared" si="9"/>
        <v>0</v>
      </c>
      <c r="S456" s="76" t="str">
        <f t="shared" si="10"/>
        <v/>
      </c>
      <c r="T456" s="76" t="str">
        <f t="shared" si="11"/>
        <v/>
      </c>
      <c r="U456" s="76" t="str">
        <f t="shared" si="12"/>
        <v/>
      </c>
      <c r="V456" s="76" t="str">
        <f t="shared" si="13"/>
        <v/>
      </c>
      <c r="W456" s="76" t="str">
        <f t="shared" si="14"/>
        <v/>
      </c>
      <c r="X456" s="76" t="str">
        <f t="shared" si="15"/>
        <v/>
      </c>
      <c r="Y456" s="76" t="str">
        <f t="shared" si="16"/>
        <v/>
      </c>
      <c r="Z456" s="76" t="str">
        <f t="shared" si="17"/>
        <v/>
      </c>
      <c r="AA456" s="76" t="str">
        <f t="shared" si="18"/>
        <v/>
      </c>
      <c r="AB456" s="76" t="str">
        <f t="shared" si="19"/>
        <v/>
      </c>
      <c r="AC456" s="76" t="str">
        <f t="shared" si="20"/>
        <v/>
      </c>
      <c r="AD456" s="76" t="str">
        <f t="shared" si="21"/>
        <v/>
      </c>
      <c r="AE456" s="76" t="str">
        <f t="shared" si="22"/>
        <v/>
      </c>
      <c r="AF456" s="76" t="str">
        <f t="shared" si="23"/>
        <v/>
      </c>
      <c r="AG456" s="76" t="str">
        <f t="shared" si="24"/>
        <v/>
      </c>
      <c r="AH456" s="76" t="str">
        <f t="shared" si="25"/>
        <v/>
      </c>
      <c r="AI456" s="76" t="str">
        <f t="shared" si="26"/>
        <v/>
      </c>
      <c r="AJ456" s="76" t="str">
        <f t="shared" si="27"/>
        <v/>
      </c>
      <c r="AK456" s="76" t="str">
        <f t="shared" si="28"/>
        <v/>
      </c>
      <c r="AL456" s="76" t="str">
        <f t="shared" si="29"/>
        <v/>
      </c>
      <c r="AM456" s="76" t="str">
        <f t="shared" si="30"/>
        <v/>
      </c>
      <c r="AN456" s="76" t="str">
        <f t="shared" si="31"/>
        <v/>
      </c>
      <c r="AO456" s="76" t="str">
        <f t="shared" si="32"/>
        <v/>
      </c>
      <c r="AP456" s="76" t="str">
        <f t="shared" si="33"/>
        <v/>
      </c>
    </row>
    <row r="457" ht="15.75" customHeight="1">
      <c r="A457" s="76" t="str">
        <f>IF('Manual Entry'!A429="","",'Manual Entry'!A429)</f>
        <v/>
      </c>
      <c r="B457" s="76" t="str">
        <f t="shared" si="3"/>
        <v/>
      </c>
      <c r="C457" s="76" t="str">
        <f t="shared" si="4"/>
        <v/>
      </c>
      <c r="D457" s="76" t="str">
        <f>'Manual Entry'!D429</f>
        <v/>
      </c>
      <c r="E457" s="76" t="str">
        <f>'Manual Entry'!B429</f>
        <v/>
      </c>
      <c r="F457" s="76" t="str">
        <f>'Manual Entry'!F429</f>
        <v/>
      </c>
      <c r="G457" s="76" t="str">
        <f>'Manual Entry'!G429</f>
        <v/>
      </c>
      <c r="H457" s="76" t="str">
        <f>'Manual Entry'!H429</f>
        <v/>
      </c>
      <c r="I457" s="78" t="str">
        <f>'Manual Entry'!I429</f>
        <v/>
      </c>
      <c r="J457" s="78" t="str">
        <f>'Manual Entry'!J429</f>
        <v/>
      </c>
      <c r="K457" s="78" t="str">
        <f>'Manual Entry'!K429</f>
        <v/>
      </c>
      <c r="L457" s="78" t="str">
        <f>'Manual Entry'!L429</f>
        <v/>
      </c>
      <c r="M457" s="78" t="str">
        <f>'Manual Entry'!M429</f>
        <v/>
      </c>
      <c r="N457" s="78" t="str">
        <f>'Manual Entry'!N429</f>
        <v/>
      </c>
      <c r="O457" s="76">
        <f t="shared" si="6"/>
        <v>0</v>
      </c>
      <c r="P457" s="76">
        <f t="shared" si="7"/>
        <v>0</v>
      </c>
      <c r="Q457" s="76">
        <f t="shared" si="8"/>
        <v>0</v>
      </c>
      <c r="R457" s="76">
        <f t="shared" si="9"/>
        <v>0</v>
      </c>
      <c r="S457" s="76" t="str">
        <f t="shared" si="10"/>
        <v/>
      </c>
      <c r="T457" s="76" t="str">
        <f t="shared" si="11"/>
        <v/>
      </c>
      <c r="U457" s="76" t="str">
        <f t="shared" si="12"/>
        <v/>
      </c>
      <c r="V457" s="76" t="str">
        <f t="shared" si="13"/>
        <v/>
      </c>
      <c r="W457" s="76" t="str">
        <f t="shared" si="14"/>
        <v/>
      </c>
      <c r="X457" s="76" t="str">
        <f t="shared" si="15"/>
        <v/>
      </c>
      <c r="Y457" s="76" t="str">
        <f t="shared" si="16"/>
        <v/>
      </c>
      <c r="Z457" s="76" t="str">
        <f t="shared" si="17"/>
        <v/>
      </c>
      <c r="AA457" s="76" t="str">
        <f t="shared" si="18"/>
        <v/>
      </c>
      <c r="AB457" s="76" t="str">
        <f t="shared" si="19"/>
        <v/>
      </c>
      <c r="AC457" s="76" t="str">
        <f t="shared" si="20"/>
        <v/>
      </c>
      <c r="AD457" s="76" t="str">
        <f t="shared" si="21"/>
        <v/>
      </c>
      <c r="AE457" s="76" t="str">
        <f t="shared" si="22"/>
        <v/>
      </c>
      <c r="AF457" s="76" t="str">
        <f t="shared" si="23"/>
        <v/>
      </c>
      <c r="AG457" s="76" t="str">
        <f t="shared" si="24"/>
        <v/>
      </c>
      <c r="AH457" s="76" t="str">
        <f t="shared" si="25"/>
        <v/>
      </c>
      <c r="AI457" s="76" t="str">
        <f t="shared" si="26"/>
        <v/>
      </c>
      <c r="AJ457" s="76" t="str">
        <f t="shared" si="27"/>
        <v/>
      </c>
      <c r="AK457" s="76" t="str">
        <f t="shared" si="28"/>
        <v/>
      </c>
      <c r="AL457" s="76" t="str">
        <f t="shared" si="29"/>
        <v/>
      </c>
      <c r="AM457" s="76" t="str">
        <f t="shared" si="30"/>
        <v/>
      </c>
      <c r="AN457" s="76" t="str">
        <f t="shared" si="31"/>
        <v/>
      </c>
      <c r="AO457" s="76" t="str">
        <f t="shared" si="32"/>
        <v/>
      </c>
      <c r="AP457" s="76" t="str">
        <f t="shared" si="33"/>
        <v/>
      </c>
    </row>
    <row r="458" ht="15.75" customHeight="1">
      <c r="A458" s="76" t="str">
        <f>IF('Manual Entry'!A430="","",'Manual Entry'!A430)</f>
        <v/>
      </c>
      <c r="B458" s="76" t="str">
        <f t="shared" si="3"/>
        <v/>
      </c>
      <c r="C458" s="76" t="str">
        <f t="shared" si="4"/>
        <v/>
      </c>
      <c r="D458" s="76" t="str">
        <f>'Manual Entry'!D430</f>
        <v/>
      </c>
      <c r="E458" s="76" t="str">
        <f>'Manual Entry'!B430</f>
        <v/>
      </c>
      <c r="F458" s="76" t="str">
        <f>'Manual Entry'!F430</f>
        <v/>
      </c>
      <c r="G458" s="76" t="str">
        <f>'Manual Entry'!G430</f>
        <v/>
      </c>
      <c r="H458" s="76" t="str">
        <f>'Manual Entry'!H430</f>
        <v/>
      </c>
      <c r="I458" s="78" t="str">
        <f>'Manual Entry'!I430</f>
        <v/>
      </c>
      <c r="J458" s="78" t="str">
        <f>'Manual Entry'!J430</f>
        <v/>
      </c>
      <c r="K458" s="78" t="str">
        <f>'Manual Entry'!K430</f>
        <v/>
      </c>
      <c r="L458" s="78" t="str">
        <f>'Manual Entry'!L430</f>
        <v/>
      </c>
      <c r="M458" s="78" t="str">
        <f>'Manual Entry'!M430</f>
        <v/>
      </c>
      <c r="N458" s="78" t="str">
        <f>'Manual Entry'!N430</f>
        <v/>
      </c>
      <c r="O458" s="76">
        <f t="shared" si="6"/>
        <v>0</v>
      </c>
      <c r="P458" s="76">
        <f t="shared" si="7"/>
        <v>0</v>
      </c>
      <c r="Q458" s="76">
        <f t="shared" si="8"/>
        <v>0</v>
      </c>
      <c r="R458" s="76">
        <f t="shared" si="9"/>
        <v>0</v>
      </c>
      <c r="S458" s="76" t="str">
        <f t="shared" si="10"/>
        <v/>
      </c>
      <c r="T458" s="76" t="str">
        <f t="shared" si="11"/>
        <v/>
      </c>
      <c r="U458" s="76" t="str">
        <f t="shared" si="12"/>
        <v/>
      </c>
      <c r="V458" s="76" t="str">
        <f t="shared" si="13"/>
        <v/>
      </c>
      <c r="W458" s="76" t="str">
        <f t="shared" si="14"/>
        <v/>
      </c>
      <c r="X458" s="76" t="str">
        <f t="shared" si="15"/>
        <v/>
      </c>
      <c r="Y458" s="76" t="str">
        <f t="shared" si="16"/>
        <v/>
      </c>
      <c r="Z458" s="76" t="str">
        <f t="shared" si="17"/>
        <v/>
      </c>
      <c r="AA458" s="76" t="str">
        <f t="shared" si="18"/>
        <v/>
      </c>
      <c r="AB458" s="76" t="str">
        <f t="shared" si="19"/>
        <v/>
      </c>
      <c r="AC458" s="76" t="str">
        <f t="shared" si="20"/>
        <v/>
      </c>
      <c r="AD458" s="76" t="str">
        <f t="shared" si="21"/>
        <v/>
      </c>
      <c r="AE458" s="76" t="str">
        <f t="shared" si="22"/>
        <v/>
      </c>
      <c r="AF458" s="76" t="str">
        <f t="shared" si="23"/>
        <v/>
      </c>
      <c r="AG458" s="76" t="str">
        <f t="shared" si="24"/>
        <v/>
      </c>
      <c r="AH458" s="76" t="str">
        <f t="shared" si="25"/>
        <v/>
      </c>
      <c r="AI458" s="76" t="str">
        <f t="shared" si="26"/>
        <v/>
      </c>
      <c r="AJ458" s="76" t="str">
        <f t="shared" si="27"/>
        <v/>
      </c>
      <c r="AK458" s="76" t="str">
        <f t="shared" si="28"/>
        <v/>
      </c>
      <c r="AL458" s="76" t="str">
        <f t="shared" si="29"/>
        <v/>
      </c>
      <c r="AM458" s="76" t="str">
        <f t="shared" si="30"/>
        <v/>
      </c>
      <c r="AN458" s="76" t="str">
        <f t="shared" si="31"/>
        <v/>
      </c>
      <c r="AO458" s="76" t="str">
        <f t="shared" si="32"/>
        <v/>
      </c>
      <c r="AP458" s="76" t="str">
        <f t="shared" si="33"/>
        <v/>
      </c>
    </row>
    <row r="459" ht="15.75" customHeight="1">
      <c r="A459" s="76" t="str">
        <f>IF('Manual Entry'!A431="","",'Manual Entry'!A431)</f>
        <v/>
      </c>
      <c r="B459" s="76" t="str">
        <f t="shared" si="3"/>
        <v/>
      </c>
      <c r="C459" s="76" t="str">
        <f t="shared" si="4"/>
        <v/>
      </c>
      <c r="D459" s="76" t="str">
        <f>'Manual Entry'!D431</f>
        <v/>
      </c>
      <c r="E459" s="76" t="str">
        <f>'Manual Entry'!B431</f>
        <v/>
      </c>
      <c r="F459" s="76" t="str">
        <f>'Manual Entry'!F431</f>
        <v/>
      </c>
      <c r="G459" s="76" t="str">
        <f>'Manual Entry'!G431</f>
        <v/>
      </c>
      <c r="H459" s="76" t="str">
        <f>'Manual Entry'!H431</f>
        <v/>
      </c>
      <c r="I459" s="78" t="str">
        <f>'Manual Entry'!I431</f>
        <v/>
      </c>
      <c r="J459" s="78" t="str">
        <f>'Manual Entry'!J431</f>
        <v/>
      </c>
      <c r="K459" s="78" t="str">
        <f>'Manual Entry'!K431</f>
        <v/>
      </c>
      <c r="L459" s="78" t="str">
        <f>'Manual Entry'!L431</f>
        <v/>
      </c>
      <c r="M459" s="78" t="str">
        <f>'Manual Entry'!M431</f>
        <v/>
      </c>
      <c r="N459" s="78" t="str">
        <f>'Manual Entry'!N431</f>
        <v/>
      </c>
      <c r="O459" s="76">
        <f t="shared" si="6"/>
        <v>0</v>
      </c>
      <c r="P459" s="76">
        <f t="shared" si="7"/>
        <v>0</v>
      </c>
      <c r="Q459" s="76">
        <f t="shared" si="8"/>
        <v>0</v>
      </c>
      <c r="R459" s="76">
        <f t="shared" si="9"/>
        <v>0</v>
      </c>
      <c r="S459" s="76" t="str">
        <f t="shared" si="10"/>
        <v/>
      </c>
      <c r="T459" s="76" t="str">
        <f t="shared" si="11"/>
        <v/>
      </c>
      <c r="U459" s="76" t="str">
        <f t="shared" si="12"/>
        <v/>
      </c>
      <c r="V459" s="76" t="str">
        <f t="shared" si="13"/>
        <v/>
      </c>
      <c r="W459" s="76" t="str">
        <f t="shared" si="14"/>
        <v/>
      </c>
      <c r="X459" s="76" t="str">
        <f t="shared" si="15"/>
        <v/>
      </c>
      <c r="Y459" s="76" t="str">
        <f t="shared" si="16"/>
        <v/>
      </c>
      <c r="Z459" s="76" t="str">
        <f t="shared" si="17"/>
        <v/>
      </c>
      <c r="AA459" s="76" t="str">
        <f t="shared" si="18"/>
        <v/>
      </c>
      <c r="AB459" s="76" t="str">
        <f t="shared" si="19"/>
        <v/>
      </c>
      <c r="AC459" s="76" t="str">
        <f t="shared" si="20"/>
        <v/>
      </c>
      <c r="AD459" s="76" t="str">
        <f t="shared" si="21"/>
        <v/>
      </c>
      <c r="AE459" s="76" t="str">
        <f t="shared" si="22"/>
        <v/>
      </c>
      <c r="AF459" s="76" t="str">
        <f t="shared" si="23"/>
        <v/>
      </c>
      <c r="AG459" s="76" t="str">
        <f t="shared" si="24"/>
        <v/>
      </c>
      <c r="AH459" s="76" t="str">
        <f t="shared" si="25"/>
        <v/>
      </c>
      <c r="AI459" s="76" t="str">
        <f t="shared" si="26"/>
        <v/>
      </c>
      <c r="AJ459" s="76" t="str">
        <f t="shared" si="27"/>
        <v/>
      </c>
      <c r="AK459" s="76" t="str">
        <f t="shared" si="28"/>
        <v/>
      </c>
      <c r="AL459" s="76" t="str">
        <f t="shared" si="29"/>
        <v/>
      </c>
      <c r="AM459" s="76" t="str">
        <f t="shared" si="30"/>
        <v/>
      </c>
      <c r="AN459" s="76" t="str">
        <f t="shared" si="31"/>
        <v/>
      </c>
      <c r="AO459" s="76" t="str">
        <f t="shared" si="32"/>
        <v/>
      </c>
      <c r="AP459" s="76" t="str">
        <f t="shared" si="33"/>
        <v/>
      </c>
    </row>
    <row r="460" ht="15.75" customHeight="1">
      <c r="A460" s="76" t="str">
        <f>IF('Manual Entry'!A432="","",'Manual Entry'!A432)</f>
        <v/>
      </c>
      <c r="B460" s="76" t="str">
        <f t="shared" si="3"/>
        <v/>
      </c>
      <c r="C460" s="76" t="str">
        <f t="shared" si="4"/>
        <v/>
      </c>
      <c r="D460" s="76" t="str">
        <f>'Manual Entry'!D432</f>
        <v/>
      </c>
      <c r="E460" s="76" t="str">
        <f>'Manual Entry'!B432</f>
        <v/>
      </c>
      <c r="F460" s="76" t="str">
        <f>'Manual Entry'!F432</f>
        <v/>
      </c>
      <c r="G460" s="76" t="str">
        <f>'Manual Entry'!G432</f>
        <v/>
      </c>
      <c r="H460" s="76" t="str">
        <f>'Manual Entry'!H432</f>
        <v/>
      </c>
      <c r="I460" s="78" t="str">
        <f>'Manual Entry'!I432</f>
        <v/>
      </c>
      <c r="J460" s="78" t="str">
        <f>'Manual Entry'!J432</f>
        <v/>
      </c>
      <c r="K460" s="78" t="str">
        <f>'Manual Entry'!K432</f>
        <v/>
      </c>
      <c r="L460" s="78" t="str">
        <f>'Manual Entry'!L432</f>
        <v/>
      </c>
      <c r="M460" s="78" t="str">
        <f>'Manual Entry'!M432</f>
        <v/>
      </c>
      <c r="N460" s="78" t="str">
        <f>'Manual Entry'!N432</f>
        <v/>
      </c>
      <c r="O460" s="76">
        <f t="shared" si="6"/>
        <v>0</v>
      </c>
      <c r="P460" s="76">
        <f t="shared" si="7"/>
        <v>0</v>
      </c>
      <c r="Q460" s="76">
        <f t="shared" si="8"/>
        <v>0</v>
      </c>
      <c r="R460" s="76">
        <f t="shared" si="9"/>
        <v>0</v>
      </c>
      <c r="S460" s="76" t="str">
        <f t="shared" si="10"/>
        <v/>
      </c>
      <c r="T460" s="76" t="str">
        <f t="shared" si="11"/>
        <v/>
      </c>
      <c r="U460" s="76" t="str">
        <f t="shared" si="12"/>
        <v/>
      </c>
      <c r="V460" s="76" t="str">
        <f t="shared" si="13"/>
        <v/>
      </c>
      <c r="W460" s="76" t="str">
        <f t="shared" si="14"/>
        <v/>
      </c>
      <c r="X460" s="76" t="str">
        <f t="shared" si="15"/>
        <v/>
      </c>
      <c r="Y460" s="76" t="str">
        <f t="shared" si="16"/>
        <v/>
      </c>
      <c r="Z460" s="76" t="str">
        <f t="shared" si="17"/>
        <v/>
      </c>
      <c r="AA460" s="76" t="str">
        <f t="shared" si="18"/>
        <v/>
      </c>
      <c r="AB460" s="76" t="str">
        <f t="shared" si="19"/>
        <v/>
      </c>
      <c r="AC460" s="76" t="str">
        <f t="shared" si="20"/>
        <v/>
      </c>
      <c r="AD460" s="76" t="str">
        <f t="shared" si="21"/>
        <v/>
      </c>
      <c r="AE460" s="76" t="str">
        <f t="shared" si="22"/>
        <v/>
      </c>
      <c r="AF460" s="76" t="str">
        <f t="shared" si="23"/>
        <v/>
      </c>
      <c r="AG460" s="76" t="str">
        <f t="shared" si="24"/>
        <v/>
      </c>
      <c r="AH460" s="76" t="str">
        <f t="shared" si="25"/>
        <v/>
      </c>
      <c r="AI460" s="76" t="str">
        <f t="shared" si="26"/>
        <v/>
      </c>
      <c r="AJ460" s="76" t="str">
        <f t="shared" si="27"/>
        <v/>
      </c>
      <c r="AK460" s="76" t="str">
        <f t="shared" si="28"/>
        <v/>
      </c>
      <c r="AL460" s="76" t="str">
        <f t="shared" si="29"/>
        <v/>
      </c>
      <c r="AM460" s="76" t="str">
        <f t="shared" si="30"/>
        <v/>
      </c>
      <c r="AN460" s="76" t="str">
        <f t="shared" si="31"/>
        <v/>
      </c>
      <c r="AO460" s="76" t="str">
        <f t="shared" si="32"/>
        <v/>
      </c>
      <c r="AP460" s="76" t="str">
        <f t="shared" si="33"/>
        <v/>
      </c>
    </row>
    <row r="461" ht="15.75" customHeight="1">
      <c r="A461" s="76" t="str">
        <f>IF('Manual Entry'!A433="","",'Manual Entry'!A433)</f>
        <v/>
      </c>
      <c r="B461" s="76" t="str">
        <f t="shared" si="3"/>
        <v/>
      </c>
      <c r="C461" s="76" t="str">
        <f t="shared" si="4"/>
        <v/>
      </c>
      <c r="D461" s="76" t="str">
        <f>'Manual Entry'!D433</f>
        <v/>
      </c>
      <c r="E461" s="76" t="str">
        <f>'Manual Entry'!B433</f>
        <v/>
      </c>
      <c r="F461" s="76" t="str">
        <f>'Manual Entry'!F433</f>
        <v/>
      </c>
      <c r="G461" s="76" t="str">
        <f>'Manual Entry'!G433</f>
        <v/>
      </c>
      <c r="H461" s="76" t="str">
        <f>'Manual Entry'!H433</f>
        <v/>
      </c>
      <c r="I461" s="78" t="str">
        <f>'Manual Entry'!I433</f>
        <v/>
      </c>
      <c r="J461" s="78" t="str">
        <f>'Manual Entry'!J433</f>
        <v/>
      </c>
      <c r="K461" s="78" t="str">
        <f>'Manual Entry'!K433</f>
        <v/>
      </c>
      <c r="L461" s="78" t="str">
        <f>'Manual Entry'!L433</f>
        <v/>
      </c>
      <c r="M461" s="78" t="str">
        <f>'Manual Entry'!M433</f>
        <v/>
      </c>
      <c r="N461" s="78" t="str">
        <f>'Manual Entry'!N433</f>
        <v/>
      </c>
      <c r="O461" s="76">
        <f t="shared" si="6"/>
        <v>0</v>
      </c>
      <c r="P461" s="76">
        <f t="shared" si="7"/>
        <v>0</v>
      </c>
      <c r="Q461" s="76">
        <f t="shared" si="8"/>
        <v>0</v>
      </c>
      <c r="R461" s="76">
        <f t="shared" si="9"/>
        <v>0</v>
      </c>
      <c r="S461" s="76" t="str">
        <f t="shared" si="10"/>
        <v/>
      </c>
      <c r="T461" s="76" t="str">
        <f t="shared" si="11"/>
        <v/>
      </c>
      <c r="U461" s="76" t="str">
        <f t="shared" si="12"/>
        <v/>
      </c>
      <c r="V461" s="76" t="str">
        <f t="shared" si="13"/>
        <v/>
      </c>
      <c r="W461" s="76" t="str">
        <f t="shared" si="14"/>
        <v/>
      </c>
      <c r="X461" s="76" t="str">
        <f t="shared" si="15"/>
        <v/>
      </c>
      <c r="Y461" s="76" t="str">
        <f t="shared" si="16"/>
        <v/>
      </c>
      <c r="Z461" s="76" t="str">
        <f t="shared" si="17"/>
        <v/>
      </c>
      <c r="AA461" s="76" t="str">
        <f t="shared" si="18"/>
        <v/>
      </c>
      <c r="AB461" s="76" t="str">
        <f t="shared" si="19"/>
        <v/>
      </c>
      <c r="AC461" s="76" t="str">
        <f t="shared" si="20"/>
        <v/>
      </c>
      <c r="AD461" s="76" t="str">
        <f t="shared" si="21"/>
        <v/>
      </c>
      <c r="AE461" s="76" t="str">
        <f t="shared" si="22"/>
        <v/>
      </c>
      <c r="AF461" s="76" t="str">
        <f t="shared" si="23"/>
        <v/>
      </c>
      <c r="AG461" s="76" t="str">
        <f t="shared" si="24"/>
        <v/>
      </c>
      <c r="AH461" s="76" t="str">
        <f t="shared" si="25"/>
        <v/>
      </c>
      <c r="AI461" s="76" t="str">
        <f t="shared" si="26"/>
        <v/>
      </c>
      <c r="AJ461" s="76" t="str">
        <f t="shared" si="27"/>
        <v/>
      </c>
      <c r="AK461" s="76" t="str">
        <f t="shared" si="28"/>
        <v/>
      </c>
      <c r="AL461" s="76" t="str">
        <f t="shared" si="29"/>
        <v/>
      </c>
      <c r="AM461" s="76" t="str">
        <f t="shared" si="30"/>
        <v/>
      </c>
      <c r="AN461" s="76" t="str">
        <f t="shared" si="31"/>
        <v/>
      </c>
      <c r="AO461" s="76" t="str">
        <f t="shared" si="32"/>
        <v/>
      </c>
      <c r="AP461" s="76" t="str">
        <f t="shared" si="33"/>
        <v/>
      </c>
    </row>
    <row r="462" ht="15.75" customHeight="1">
      <c r="A462" s="76" t="str">
        <f>IF('Manual Entry'!A434="","",'Manual Entry'!A434)</f>
        <v/>
      </c>
      <c r="B462" s="76" t="str">
        <f t="shared" si="3"/>
        <v/>
      </c>
      <c r="C462" s="76" t="str">
        <f t="shared" si="4"/>
        <v/>
      </c>
      <c r="D462" s="76" t="str">
        <f>'Manual Entry'!D434</f>
        <v/>
      </c>
      <c r="E462" s="76" t="str">
        <f>'Manual Entry'!B434</f>
        <v/>
      </c>
      <c r="F462" s="76" t="str">
        <f>'Manual Entry'!F434</f>
        <v/>
      </c>
      <c r="G462" s="76" t="str">
        <f>'Manual Entry'!G434</f>
        <v/>
      </c>
      <c r="H462" s="76" t="str">
        <f>'Manual Entry'!H434</f>
        <v/>
      </c>
      <c r="I462" s="78" t="str">
        <f>'Manual Entry'!I434</f>
        <v/>
      </c>
      <c r="J462" s="78" t="str">
        <f>'Manual Entry'!J434</f>
        <v/>
      </c>
      <c r="K462" s="78" t="str">
        <f>'Manual Entry'!K434</f>
        <v/>
      </c>
      <c r="L462" s="78" t="str">
        <f>'Manual Entry'!L434</f>
        <v/>
      </c>
      <c r="M462" s="78" t="str">
        <f>'Manual Entry'!M434</f>
        <v/>
      </c>
      <c r="N462" s="78" t="str">
        <f>'Manual Entry'!N434</f>
        <v/>
      </c>
      <c r="O462" s="76">
        <f t="shared" si="6"/>
        <v>0</v>
      </c>
      <c r="P462" s="76">
        <f t="shared" si="7"/>
        <v>0</v>
      </c>
      <c r="Q462" s="76">
        <f t="shared" si="8"/>
        <v>0</v>
      </c>
      <c r="R462" s="76">
        <f t="shared" si="9"/>
        <v>0</v>
      </c>
      <c r="S462" s="76" t="str">
        <f t="shared" si="10"/>
        <v/>
      </c>
      <c r="T462" s="76" t="str">
        <f t="shared" si="11"/>
        <v/>
      </c>
      <c r="U462" s="76" t="str">
        <f t="shared" si="12"/>
        <v/>
      </c>
      <c r="V462" s="76" t="str">
        <f t="shared" si="13"/>
        <v/>
      </c>
      <c r="W462" s="76" t="str">
        <f t="shared" si="14"/>
        <v/>
      </c>
      <c r="X462" s="76" t="str">
        <f t="shared" si="15"/>
        <v/>
      </c>
      <c r="Y462" s="76" t="str">
        <f t="shared" si="16"/>
        <v/>
      </c>
      <c r="Z462" s="76" t="str">
        <f t="shared" si="17"/>
        <v/>
      </c>
      <c r="AA462" s="76" t="str">
        <f t="shared" si="18"/>
        <v/>
      </c>
      <c r="AB462" s="76" t="str">
        <f t="shared" si="19"/>
        <v/>
      </c>
      <c r="AC462" s="76" t="str">
        <f t="shared" si="20"/>
        <v/>
      </c>
      <c r="AD462" s="76" t="str">
        <f t="shared" si="21"/>
        <v/>
      </c>
      <c r="AE462" s="76" t="str">
        <f t="shared" si="22"/>
        <v/>
      </c>
      <c r="AF462" s="76" t="str">
        <f t="shared" si="23"/>
        <v/>
      </c>
      <c r="AG462" s="76" t="str">
        <f t="shared" si="24"/>
        <v/>
      </c>
      <c r="AH462" s="76" t="str">
        <f t="shared" si="25"/>
        <v/>
      </c>
      <c r="AI462" s="76" t="str">
        <f t="shared" si="26"/>
        <v/>
      </c>
      <c r="AJ462" s="76" t="str">
        <f t="shared" si="27"/>
        <v/>
      </c>
      <c r="AK462" s="76" t="str">
        <f t="shared" si="28"/>
        <v/>
      </c>
      <c r="AL462" s="76" t="str">
        <f t="shared" si="29"/>
        <v/>
      </c>
      <c r="AM462" s="76" t="str">
        <f t="shared" si="30"/>
        <v/>
      </c>
      <c r="AN462" s="76" t="str">
        <f t="shared" si="31"/>
        <v/>
      </c>
      <c r="AO462" s="76" t="str">
        <f t="shared" si="32"/>
        <v/>
      </c>
      <c r="AP462" s="76" t="str">
        <f t="shared" si="33"/>
        <v/>
      </c>
    </row>
    <row r="463" ht="15.75" customHeight="1">
      <c r="A463" s="76" t="str">
        <f>IF('Manual Entry'!A435="","",'Manual Entry'!A435)</f>
        <v/>
      </c>
      <c r="B463" s="76" t="str">
        <f t="shared" si="3"/>
        <v/>
      </c>
      <c r="C463" s="76" t="str">
        <f t="shared" si="4"/>
        <v/>
      </c>
      <c r="D463" s="76" t="str">
        <f>'Manual Entry'!D435</f>
        <v/>
      </c>
      <c r="E463" s="76" t="str">
        <f>'Manual Entry'!B435</f>
        <v/>
      </c>
      <c r="F463" s="76" t="str">
        <f>'Manual Entry'!F435</f>
        <v/>
      </c>
      <c r="G463" s="76" t="str">
        <f>'Manual Entry'!G435</f>
        <v/>
      </c>
      <c r="H463" s="76" t="str">
        <f>'Manual Entry'!H435</f>
        <v/>
      </c>
      <c r="I463" s="78" t="str">
        <f>'Manual Entry'!I435</f>
        <v/>
      </c>
      <c r="J463" s="78" t="str">
        <f>'Manual Entry'!J435</f>
        <v/>
      </c>
      <c r="K463" s="78" t="str">
        <f>'Manual Entry'!K435</f>
        <v/>
      </c>
      <c r="L463" s="78" t="str">
        <f>'Manual Entry'!L435</f>
        <v/>
      </c>
      <c r="M463" s="78" t="str">
        <f>'Manual Entry'!M435</f>
        <v/>
      </c>
      <c r="N463" s="78" t="str">
        <f>'Manual Entry'!N435</f>
        <v/>
      </c>
      <c r="O463" s="76">
        <f t="shared" si="6"/>
        <v>0</v>
      </c>
      <c r="P463" s="76">
        <f t="shared" si="7"/>
        <v>0</v>
      </c>
      <c r="Q463" s="76">
        <f t="shared" si="8"/>
        <v>0</v>
      </c>
      <c r="R463" s="76">
        <f t="shared" si="9"/>
        <v>0</v>
      </c>
      <c r="S463" s="76" t="str">
        <f t="shared" si="10"/>
        <v/>
      </c>
      <c r="T463" s="76" t="str">
        <f t="shared" si="11"/>
        <v/>
      </c>
      <c r="U463" s="76" t="str">
        <f t="shared" si="12"/>
        <v/>
      </c>
      <c r="V463" s="76" t="str">
        <f t="shared" si="13"/>
        <v/>
      </c>
      <c r="W463" s="76" t="str">
        <f t="shared" si="14"/>
        <v/>
      </c>
      <c r="X463" s="76" t="str">
        <f t="shared" si="15"/>
        <v/>
      </c>
      <c r="Y463" s="76" t="str">
        <f t="shared" si="16"/>
        <v/>
      </c>
      <c r="Z463" s="76" t="str">
        <f t="shared" si="17"/>
        <v/>
      </c>
      <c r="AA463" s="76" t="str">
        <f t="shared" si="18"/>
        <v/>
      </c>
      <c r="AB463" s="76" t="str">
        <f t="shared" si="19"/>
        <v/>
      </c>
      <c r="AC463" s="76" t="str">
        <f t="shared" si="20"/>
        <v/>
      </c>
      <c r="AD463" s="76" t="str">
        <f t="shared" si="21"/>
        <v/>
      </c>
      <c r="AE463" s="76" t="str">
        <f t="shared" si="22"/>
        <v/>
      </c>
      <c r="AF463" s="76" t="str">
        <f t="shared" si="23"/>
        <v/>
      </c>
      <c r="AG463" s="76" t="str">
        <f t="shared" si="24"/>
        <v/>
      </c>
      <c r="AH463" s="76" t="str">
        <f t="shared" si="25"/>
        <v/>
      </c>
      <c r="AI463" s="76" t="str">
        <f t="shared" si="26"/>
        <v/>
      </c>
      <c r="AJ463" s="76" t="str">
        <f t="shared" si="27"/>
        <v/>
      </c>
      <c r="AK463" s="76" t="str">
        <f t="shared" si="28"/>
        <v/>
      </c>
      <c r="AL463" s="76" t="str">
        <f t="shared" si="29"/>
        <v/>
      </c>
      <c r="AM463" s="76" t="str">
        <f t="shared" si="30"/>
        <v/>
      </c>
      <c r="AN463" s="76" t="str">
        <f t="shared" si="31"/>
        <v/>
      </c>
      <c r="AO463" s="76" t="str">
        <f t="shared" si="32"/>
        <v/>
      </c>
      <c r="AP463" s="76" t="str">
        <f t="shared" si="33"/>
        <v/>
      </c>
    </row>
    <row r="464" ht="15.75" customHeight="1">
      <c r="A464" s="76" t="str">
        <f>IF('Manual Entry'!A436="","",'Manual Entry'!A436)</f>
        <v/>
      </c>
      <c r="B464" s="76" t="str">
        <f t="shared" si="3"/>
        <v/>
      </c>
      <c r="C464" s="76" t="str">
        <f t="shared" si="4"/>
        <v/>
      </c>
      <c r="D464" s="76" t="str">
        <f>'Manual Entry'!D436</f>
        <v/>
      </c>
      <c r="E464" s="76" t="str">
        <f>'Manual Entry'!B436</f>
        <v/>
      </c>
      <c r="F464" s="76" t="str">
        <f>'Manual Entry'!F436</f>
        <v/>
      </c>
      <c r="G464" s="76" t="str">
        <f>'Manual Entry'!G436</f>
        <v/>
      </c>
      <c r="H464" s="76" t="str">
        <f>'Manual Entry'!H436</f>
        <v/>
      </c>
      <c r="I464" s="78" t="str">
        <f>'Manual Entry'!I436</f>
        <v/>
      </c>
      <c r="J464" s="78" t="str">
        <f>'Manual Entry'!J436</f>
        <v/>
      </c>
      <c r="K464" s="78" t="str">
        <f>'Manual Entry'!K436</f>
        <v/>
      </c>
      <c r="L464" s="78" t="str">
        <f>'Manual Entry'!L436</f>
        <v/>
      </c>
      <c r="M464" s="78" t="str">
        <f>'Manual Entry'!M436</f>
        <v/>
      </c>
      <c r="N464" s="78" t="str">
        <f>'Manual Entry'!N436</f>
        <v/>
      </c>
      <c r="O464" s="76">
        <f t="shared" si="6"/>
        <v>0</v>
      </c>
      <c r="P464" s="76">
        <f t="shared" si="7"/>
        <v>0</v>
      </c>
      <c r="Q464" s="76">
        <f t="shared" si="8"/>
        <v>0</v>
      </c>
      <c r="R464" s="76">
        <f t="shared" si="9"/>
        <v>0</v>
      </c>
      <c r="S464" s="76" t="str">
        <f t="shared" si="10"/>
        <v/>
      </c>
      <c r="T464" s="76" t="str">
        <f t="shared" si="11"/>
        <v/>
      </c>
      <c r="U464" s="76" t="str">
        <f t="shared" si="12"/>
        <v/>
      </c>
      <c r="V464" s="76" t="str">
        <f t="shared" si="13"/>
        <v/>
      </c>
      <c r="W464" s="76" t="str">
        <f t="shared" si="14"/>
        <v/>
      </c>
      <c r="X464" s="76" t="str">
        <f t="shared" si="15"/>
        <v/>
      </c>
      <c r="Y464" s="76" t="str">
        <f t="shared" si="16"/>
        <v/>
      </c>
      <c r="Z464" s="76" t="str">
        <f t="shared" si="17"/>
        <v/>
      </c>
      <c r="AA464" s="76" t="str">
        <f t="shared" si="18"/>
        <v/>
      </c>
      <c r="AB464" s="76" t="str">
        <f t="shared" si="19"/>
        <v/>
      </c>
      <c r="AC464" s="76" t="str">
        <f t="shared" si="20"/>
        <v/>
      </c>
      <c r="AD464" s="76" t="str">
        <f t="shared" si="21"/>
        <v/>
      </c>
      <c r="AE464" s="76" t="str">
        <f t="shared" si="22"/>
        <v/>
      </c>
      <c r="AF464" s="76" t="str">
        <f t="shared" si="23"/>
        <v/>
      </c>
      <c r="AG464" s="76" t="str">
        <f t="shared" si="24"/>
        <v/>
      </c>
      <c r="AH464" s="76" t="str">
        <f t="shared" si="25"/>
        <v/>
      </c>
      <c r="AI464" s="76" t="str">
        <f t="shared" si="26"/>
        <v/>
      </c>
      <c r="AJ464" s="76" t="str">
        <f t="shared" si="27"/>
        <v/>
      </c>
      <c r="AK464" s="76" t="str">
        <f t="shared" si="28"/>
        <v/>
      </c>
      <c r="AL464" s="76" t="str">
        <f t="shared" si="29"/>
        <v/>
      </c>
      <c r="AM464" s="76" t="str">
        <f t="shared" si="30"/>
        <v/>
      </c>
      <c r="AN464" s="76" t="str">
        <f t="shared" si="31"/>
        <v/>
      </c>
      <c r="AO464" s="76" t="str">
        <f t="shared" si="32"/>
        <v/>
      </c>
      <c r="AP464" s="76" t="str">
        <f t="shared" si="33"/>
        <v/>
      </c>
    </row>
    <row r="465" ht="15.75" customHeight="1">
      <c r="A465" s="76" t="str">
        <f>IF('Manual Entry'!A437="","",'Manual Entry'!A437)</f>
        <v/>
      </c>
      <c r="B465" s="76" t="str">
        <f t="shared" si="3"/>
        <v/>
      </c>
      <c r="C465" s="76" t="str">
        <f t="shared" si="4"/>
        <v/>
      </c>
      <c r="D465" s="76" t="str">
        <f>'Manual Entry'!D437</f>
        <v/>
      </c>
      <c r="E465" s="76" t="str">
        <f>'Manual Entry'!B437</f>
        <v/>
      </c>
      <c r="F465" s="76" t="str">
        <f>'Manual Entry'!F437</f>
        <v/>
      </c>
      <c r="G465" s="76" t="str">
        <f>'Manual Entry'!G437</f>
        <v/>
      </c>
      <c r="H465" s="76" t="str">
        <f>'Manual Entry'!H437</f>
        <v/>
      </c>
      <c r="I465" s="78" t="str">
        <f>'Manual Entry'!I437</f>
        <v/>
      </c>
      <c r="J465" s="78" t="str">
        <f>'Manual Entry'!J437</f>
        <v/>
      </c>
      <c r="K465" s="78" t="str">
        <f>'Manual Entry'!K437</f>
        <v/>
      </c>
      <c r="L465" s="78" t="str">
        <f>'Manual Entry'!L437</f>
        <v/>
      </c>
      <c r="M465" s="78" t="str">
        <f>'Manual Entry'!M437</f>
        <v/>
      </c>
      <c r="N465" s="78" t="str">
        <f>'Manual Entry'!N437</f>
        <v/>
      </c>
      <c r="O465" s="76">
        <f t="shared" si="6"/>
        <v>0</v>
      </c>
      <c r="P465" s="76">
        <f t="shared" si="7"/>
        <v>0</v>
      </c>
      <c r="Q465" s="76">
        <f t="shared" si="8"/>
        <v>0</v>
      </c>
      <c r="R465" s="76">
        <f t="shared" si="9"/>
        <v>0</v>
      </c>
      <c r="S465" s="76" t="str">
        <f t="shared" si="10"/>
        <v/>
      </c>
      <c r="T465" s="76" t="str">
        <f t="shared" si="11"/>
        <v/>
      </c>
      <c r="U465" s="76" t="str">
        <f t="shared" si="12"/>
        <v/>
      </c>
      <c r="V465" s="76" t="str">
        <f t="shared" si="13"/>
        <v/>
      </c>
      <c r="W465" s="76" t="str">
        <f t="shared" si="14"/>
        <v/>
      </c>
      <c r="X465" s="76" t="str">
        <f t="shared" si="15"/>
        <v/>
      </c>
      <c r="Y465" s="76" t="str">
        <f t="shared" si="16"/>
        <v/>
      </c>
      <c r="Z465" s="76" t="str">
        <f t="shared" si="17"/>
        <v/>
      </c>
      <c r="AA465" s="76" t="str">
        <f t="shared" si="18"/>
        <v/>
      </c>
      <c r="AB465" s="76" t="str">
        <f t="shared" si="19"/>
        <v/>
      </c>
      <c r="AC465" s="76" t="str">
        <f t="shared" si="20"/>
        <v/>
      </c>
      <c r="AD465" s="76" t="str">
        <f t="shared" si="21"/>
        <v/>
      </c>
      <c r="AE465" s="76" t="str">
        <f t="shared" si="22"/>
        <v/>
      </c>
      <c r="AF465" s="76" t="str">
        <f t="shared" si="23"/>
        <v/>
      </c>
      <c r="AG465" s="76" t="str">
        <f t="shared" si="24"/>
        <v/>
      </c>
      <c r="AH465" s="76" t="str">
        <f t="shared" si="25"/>
        <v/>
      </c>
      <c r="AI465" s="76" t="str">
        <f t="shared" si="26"/>
        <v/>
      </c>
      <c r="AJ465" s="76" t="str">
        <f t="shared" si="27"/>
        <v/>
      </c>
      <c r="AK465" s="76" t="str">
        <f t="shared" si="28"/>
        <v/>
      </c>
      <c r="AL465" s="76" t="str">
        <f t="shared" si="29"/>
        <v/>
      </c>
      <c r="AM465" s="76" t="str">
        <f t="shared" si="30"/>
        <v/>
      </c>
      <c r="AN465" s="76" t="str">
        <f t="shared" si="31"/>
        <v/>
      </c>
      <c r="AO465" s="76" t="str">
        <f t="shared" si="32"/>
        <v/>
      </c>
      <c r="AP465" s="76" t="str">
        <f t="shared" si="33"/>
        <v/>
      </c>
    </row>
    <row r="466" ht="15.75" customHeight="1">
      <c r="A466" s="76" t="str">
        <f>IF('Manual Entry'!A438="","",'Manual Entry'!A438)</f>
        <v/>
      </c>
      <c r="B466" s="76" t="str">
        <f t="shared" si="3"/>
        <v/>
      </c>
      <c r="C466" s="76" t="str">
        <f t="shared" si="4"/>
        <v/>
      </c>
      <c r="D466" s="76" t="str">
        <f>'Manual Entry'!D438</f>
        <v/>
      </c>
      <c r="E466" s="76" t="str">
        <f>'Manual Entry'!B438</f>
        <v/>
      </c>
      <c r="F466" s="76" t="str">
        <f>'Manual Entry'!F438</f>
        <v/>
      </c>
      <c r="G466" s="76" t="str">
        <f>'Manual Entry'!G438</f>
        <v/>
      </c>
      <c r="H466" s="76" t="str">
        <f>'Manual Entry'!H438</f>
        <v/>
      </c>
      <c r="I466" s="78" t="str">
        <f>'Manual Entry'!I438</f>
        <v/>
      </c>
      <c r="J466" s="78" t="str">
        <f>'Manual Entry'!J438</f>
        <v/>
      </c>
      <c r="K466" s="78" t="str">
        <f>'Manual Entry'!K438</f>
        <v/>
      </c>
      <c r="L466" s="78" t="str">
        <f>'Manual Entry'!L438</f>
        <v/>
      </c>
      <c r="M466" s="78" t="str">
        <f>'Manual Entry'!M438</f>
        <v/>
      </c>
      <c r="N466" s="78" t="str">
        <f>'Manual Entry'!N438</f>
        <v/>
      </c>
      <c r="O466" s="76">
        <f t="shared" si="6"/>
        <v>0</v>
      </c>
      <c r="P466" s="76">
        <f t="shared" si="7"/>
        <v>0</v>
      </c>
      <c r="Q466" s="76">
        <f t="shared" si="8"/>
        <v>0</v>
      </c>
      <c r="R466" s="76">
        <f t="shared" si="9"/>
        <v>0</v>
      </c>
      <c r="S466" s="76" t="str">
        <f t="shared" si="10"/>
        <v/>
      </c>
      <c r="T466" s="76" t="str">
        <f t="shared" si="11"/>
        <v/>
      </c>
      <c r="U466" s="76" t="str">
        <f t="shared" si="12"/>
        <v/>
      </c>
      <c r="V466" s="76" t="str">
        <f t="shared" si="13"/>
        <v/>
      </c>
      <c r="W466" s="76" t="str">
        <f t="shared" si="14"/>
        <v/>
      </c>
      <c r="X466" s="76" t="str">
        <f t="shared" si="15"/>
        <v/>
      </c>
      <c r="Y466" s="76" t="str">
        <f t="shared" si="16"/>
        <v/>
      </c>
      <c r="Z466" s="76" t="str">
        <f t="shared" si="17"/>
        <v/>
      </c>
      <c r="AA466" s="76" t="str">
        <f t="shared" si="18"/>
        <v/>
      </c>
      <c r="AB466" s="76" t="str">
        <f t="shared" si="19"/>
        <v/>
      </c>
      <c r="AC466" s="76" t="str">
        <f t="shared" si="20"/>
        <v/>
      </c>
      <c r="AD466" s="76" t="str">
        <f t="shared" si="21"/>
        <v/>
      </c>
      <c r="AE466" s="76" t="str">
        <f t="shared" si="22"/>
        <v/>
      </c>
      <c r="AF466" s="76" t="str">
        <f t="shared" si="23"/>
        <v/>
      </c>
      <c r="AG466" s="76" t="str">
        <f t="shared" si="24"/>
        <v/>
      </c>
      <c r="AH466" s="76" t="str">
        <f t="shared" si="25"/>
        <v/>
      </c>
      <c r="AI466" s="76" t="str">
        <f t="shared" si="26"/>
        <v/>
      </c>
      <c r="AJ466" s="76" t="str">
        <f t="shared" si="27"/>
        <v/>
      </c>
      <c r="AK466" s="76" t="str">
        <f t="shared" si="28"/>
        <v/>
      </c>
      <c r="AL466" s="76" t="str">
        <f t="shared" si="29"/>
        <v/>
      </c>
      <c r="AM466" s="76" t="str">
        <f t="shared" si="30"/>
        <v/>
      </c>
      <c r="AN466" s="76" t="str">
        <f t="shared" si="31"/>
        <v/>
      </c>
      <c r="AO466" s="76" t="str">
        <f t="shared" si="32"/>
        <v/>
      </c>
      <c r="AP466" s="76" t="str">
        <f t="shared" si="33"/>
        <v/>
      </c>
    </row>
    <row r="467" ht="15.75" customHeight="1">
      <c r="A467" s="76" t="str">
        <f>IF('Manual Entry'!A439="","",'Manual Entry'!A439)</f>
        <v/>
      </c>
      <c r="B467" s="76" t="str">
        <f t="shared" si="3"/>
        <v/>
      </c>
      <c r="C467" s="76" t="str">
        <f t="shared" si="4"/>
        <v/>
      </c>
      <c r="D467" s="76" t="str">
        <f>'Manual Entry'!D439</f>
        <v/>
      </c>
      <c r="E467" s="76" t="str">
        <f>'Manual Entry'!B439</f>
        <v/>
      </c>
      <c r="F467" s="76" t="str">
        <f>'Manual Entry'!F439</f>
        <v/>
      </c>
      <c r="G467" s="76" t="str">
        <f>'Manual Entry'!G439</f>
        <v/>
      </c>
      <c r="H467" s="76" t="str">
        <f>'Manual Entry'!H439</f>
        <v/>
      </c>
      <c r="I467" s="78" t="str">
        <f>'Manual Entry'!I439</f>
        <v/>
      </c>
      <c r="J467" s="78" t="str">
        <f>'Manual Entry'!J439</f>
        <v/>
      </c>
      <c r="K467" s="78" t="str">
        <f>'Manual Entry'!K439</f>
        <v/>
      </c>
      <c r="L467" s="78" t="str">
        <f>'Manual Entry'!L439</f>
        <v/>
      </c>
      <c r="M467" s="78" t="str">
        <f>'Manual Entry'!M439</f>
        <v/>
      </c>
      <c r="N467" s="78" t="str">
        <f>'Manual Entry'!N439</f>
        <v/>
      </c>
      <c r="O467" s="76">
        <f t="shared" si="6"/>
        <v>0</v>
      </c>
      <c r="P467" s="76">
        <f t="shared" si="7"/>
        <v>0</v>
      </c>
      <c r="Q467" s="76">
        <f t="shared" si="8"/>
        <v>0</v>
      </c>
      <c r="R467" s="76">
        <f t="shared" si="9"/>
        <v>0</v>
      </c>
      <c r="S467" s="76" t="str">
        <f t="shared" si="10"/>
        <v/>
      </c>
      <c r="T467" s="76" t="str">
        <f t="shared" si="11"/>
        <v/>
      </c>
      <c r="U467" s="76" t="str">
        <f t="shared" si="12"/>
        <v/>
      </c>
      <c r="V467" s="76" t="str">
        <f t="shared" si="13"/>
        <v/>
      </c>
      <c r="W467" s="76" t="str">
        <f t="shared" si="14"/>
        <v/>
      </c>
      <c r="X467" s="76" t="str">
        <f t="shared" si="15"/>
        <v/>
      </c>
      <c r="Y467" s="76" t="str">
        <f t="shared" si="16"/>
        <v/>
      </c>
      <c r="Z467" s="76" t="str">
        <f t="shared" si="17"/>
        <v/>
      </c>
      <c r="AA467" s="76" t="str">
        <f t="shared" si="18"/>
        <v/>
      </c>
      <c r="AB467" s="76" t="str">
        <f t="shared" si="19"/>
        <v/>
      </c>
      <c r="AC467" s="76" t="str">
        <f t="shared" si="20"/>
        <v/>
      </c>
      <c r="AD467" s="76" t="str">
        <f t="shared" si="21"/>
        <v/>
      </c>
      <c r="AE467" s="76" t="str">
        <f t="shared" si="22"/>
        <v/>
      </c>
      <c r="AF467" s="76" t="str">
        <f t="shared" si="23"/>
        <v/>
      </c>
      <c r="AG467" s="76" t="str">
        <f t="shared" si="24"/>
        <v/>
      </c>
      <c r="AH467" s="76" t="str">
        <f t="shared" si="25"/>
        <v/>
      </c>
      <c r="AI467" s="76" t="str">
        <f t="shared" si="26"/>
        <v/>
      </c>
      <c r="AJ467" s="76" t="str">
        <f t="shared" si="27"/>
        <v/>
      </c>
      <c r="AK467" s="76" t="str">
        <f t="shared" si="28"/>
        <v/>
      </c>
      <c r="AL467" s="76" t="str">
        <f t="shared" si="29"/>
        <v/>
      </c>
      <c r="AM467" s="76" t="str">
        <f t="shared" si="30"/>
        <v/>
      </c>
      <c r="AN467" s="76" t="str">
        <f t="shared" si="31"/>
        <v/>
      </c>
      <c r="AO467" s="76" t="str">
        <f t="shared" si="32"/>
        <v/>
      </c>
      <c r="AP467" s="76" t="str">
        <f t="shared" si="33"/>
        <v/>
      </c>
    </row>
    <row r="468" ht="15.75" customHeight="1">
      <c r="A468" s="76" t="str">
        <f>IF('Manual Entry'!A440="","",'Manual Entry'!A440)</f>
        <v/>
      </c>
      <c r="B468" s="76" t="str">
        <f t="shared" si="3"/>
        <v/>
      </c>
      <c r="C468" s="76" t="str">
        <f t="shared" si="4"/>
        <v/>
      </c>
      <c r="D468" s="76" t="str">
        <f>'Manual Entry'!D440</f>
        <v/>
      </c>
      <c r="E468" s="76" t="str">
        <f>'Manual Entry'!B440</f>
        <v/>
      </c>
      <c r="F468" s="76" t="str">
        <f>'Manual Entry'!F440</f>
        <v/>
      </c>
      <c r="G468" s="76" t="str">
        <f>'Manual Entry'!G440</f>
        <v/>
      </c>
      <c r="H468" s="76" t="str">
        <f>'Manual Entry'!H440</f>
        <v/>
      </c>
      <c r="I468" s="78" t="str">
        <f>'Manual Entry'!I440</f>
        <v/>
      </c>
      <c r="J468" s="78" t="str">
        <f>'Manual Entry'!J440</f>
        <v/>
      </c>
      <c r="K468" s="78" t="str">
        <f>'Manual Entry'!K440</f>
        <v/>
      </c>
      <c r="L468" s="78" t="str">
        <f>'Manual Entry'!L440</f>
        <v/>
      </c>
      <c r="M468" s="78" t="str">
        <f>'Manual Entry'!M440</f>
        <v/>
      </c>
      <c r="N468" s="78" t="str">
        <f>'Manual Entry'!N440</f>
        <v/>
      </c>
      <c r="O468" s="76">
        <f t="shared" si="6"/>
        <v>0</v>
      </c>
      <c r="P468" s="76">
        <f t="shared" si="7"/>
        <v>0</v>
      </c>
      <c r="Q468" s="76">
        <f t="shared" si="8"/>
        <v>0</v>
      </c>
      <c r="R468" s="76">
        <f t="shared" si="9"/>
        <v>0</v>
      </c>
      <c r="S468" s="76" t="str">
        <f t="shared" si="10"/>
        <v/>
      </c>
      <c r="T468" s="76" t="str">
        <f t="shared" si="11"/>
        <v/>
      </c>
      <c r="U468" s="76" t="str">
        <f t="shared" si="12"/>
        <v/>
      </c>
      <c r="V468" s="76" t="str">
        <f t="shared" si="13"/>
        <v/>
      </c>
      <c r="W468" s="76" t="str">
        <f t="shared" si="14"/>
        <v/>
      </c>
      <c r="X468" s="76" t="str">
        <f t="shared" si="15"/>
        <v/>
      </c>
      <c r="Y468" s="76" t="str">
        <f t="shared" si="16"/>
        <v/>
      </c>
      <c r="Z468" s="76" t="str">
        <f t="shared" si="17"/>
        <v/>
      </c>
      <c r="AA468" s="76" t="str">
        <f t="shared" si="18"/>
        <v/>
      </c>
      <c r="AB468" s="76" t="str">
        <f t="shared" si="19"/>
        <v/>
      </c>
      <c r="AC468" s="76" t="str">
        <f t="shared" si="20"/>
        <v/>
      </c>
      <c r="AD468" s="76" t="str">
        <f t="shared" si="21"/>
        <v/>
      </c>
      <c r="AE468" s="76" t="str">
        <f t="shared" si="22"/>
        <v/>
      </c>
      <c r="AF468" s="76" t="str">
        <f t="shared" si="23"/>
        <v/>
      </c>
      <c r="AG468" s="76" t="str">
        <f t="shared" si="24"/>
        <v/>
      </c>
      <c r="AH468" s="76" t="str">
        <f t="shared" si="25"/>
        <v/>
      </c>
      <c r="AI468" s="76" t="str">
        <f t="shared" si="26"/>
        <v/>
      </c>
      <c r="AJ468" s="76" t="str">
        <f t="shared" si="27"/>
        <v/>
      </c>
      <c r="AK468" s="76" t="str">
        <f t="shared" si="28"/>
        <v/>
      </c>
      <c r="AL468" s="76" t="str">
        <f t="shared" si="29"/>
        <v/>
      </c>
      <c r="AM468" s="76" t="str">
        <f t="shared" si="30"/>
        <v/>
      </c>
      <c r="AN468" s="76" t="str">
        <f t="shared" si="31"/>
        <v/>
      </c>
      <c r="AO468" s="76" t="str">
        <f t="shared" si="32"/>
        <v/>
      </c>
      <c r="AP468" s="76" t="str">
        <f t="shared" si="33"/>
        <v/>
      </c>
    </row>
    <row r="469" ht="15.75" customHeight="1">
      <c r="A469" s="76" t="str">
        <f>IF('Manual Entry'!A441="","",'Manual Entry'!A441)</f>
        <v/>
      </c>
      <c r="B469" s="76" t="str">
        <f t="shared" si="3"/>
        <v/>
      </c>
      <c r="C469" s="76" t="str">
        <f t="shared" si="4"/>
        <v/>
      </c>
      <c r="D469" s="76" t="str">
        <f>'Manual Entry'!D441</f>
        <v/>
      </c>
      <c r="E469" s="76" t="str">
        <f>'Manual Entry'!B441</f>
        <v/>
      </c>
      <c r="F469" s="76" t="str">
        <f>'Manual Entry'!F441</f>
        <v/>
      </c>
      <c r="G469" s="76" t="str">
        <f>'Manual Entry'!G441</f>
        <v/>
      </c>
      <c r="H469" s="76" t="str">
        <f>'Manual Entry'!H441</f>
        <v/>
      </c>
      <c r="I469" s="78" t="str">
        <f>'Manual Entry'!I441</f>
        <v/>
      </c>
      <c r="J469" s="78" t="str">
        <f>'Manual Entry'!J441</f>
        <v/>
      </c>
      <c r="K469" s="78" t="str">
        <f>'Manual Entry'!K441</f>
        <v/>
      </c>
      <c r="L469" s="78" t="str">
        <f>'Manual Entry'!L441</f>
        <v/>
      </c>
      <c r="M469" s="78" t="str">
        <f>'Manual Entry'!M441</f>
        <v/>
      </c>
      <c r="N469" s="78" t="str">
        <f>'Manual Entry'!N441</f>
        <v/>
      </c>
      <c r="O469" s="76">
        <f t="shared" si="6"/>
        <v>0</v>
      </c>
      <c r="P469" s="76">
        <f t="shared" si="7"/>
        <v>0</v>
      </c>
      <c r="Q469" s="76">
        <f t="shared" si="8"/>
        <v>0</v>
      </c>
      <c r="R469" s="76">
        <f t="shared" si="9"/>
        <v>0</v>
      </c>
      <c r="S469" s="76" t="str">
        <f t="shared" si="10"/>
        <v/>
      </c>
      <c r="T469" s="76" t="str">
        <f t="shared" si="11"/>
        <v/>
      </c>
      <c r="U469" s="76" t="str">
        <f t="shared" si="12"/>
        <v/>
      </c>
      <c r="V469" s="76" t="str">
        <f t="shared" si="13"/>
        <v/>
      </c>
      <c r="W469" s="76" t="str">
        <f t="shared" si="14"/>
        <v/>
      </c>
      <c r="X469" s="76" t="str">
        <f t="shared" si="15"/>
        <v/>
      </c>
      <c r="Y469" s="76" t="str">
        <f t="shared" si="16"/>
        <v/>
      </c>
      <c r="Z469" s="76" t="str">
        <f t="shared" si="17"/>
        <v/>
      </c>
      <c r="AA469" s="76" t="str">
        <f t="shared" si="18"/>
        <v/>
      </c>
      <c r="AB469" s="76" t="str">
        <f t="shared" si="19"/>
        <v/>
      </c>
      <c r="AC469" s="76" t="str">
        <f t="shared" si="20"/>
        <v/>
      </c>
      <c r="AD469" s="76" t="str">
        <f t="shared" si="21"/>
        <v/>
      </c>
      <c r="AE469" s="76" t="str">
        <f t="shared" si="22"/>
        <v/>
      </c>
      <c r="AF469" s="76" t="str">
        <f t="shared" si="23"/>
        <v/>
      </c>
      <c r="AG469" s="76" t="str">
        <f t="shared" si="24"/>
        <v/>
      </c>
      <c r="AH469" s="76" t="str">
        <f t="shared" si="25"/>
        <v/>
      </c>
      <c r="AI469" s="76" t="str">
        <f t="shared" si="26"/>
        <v/>
      </c>
      <c r="AJ469" s="76" t="str">
        <f t="shared" si="27"/>
        <v/>
      </c>
      <c r="AK469" s="76" t="str">
        <f t="shared" si="28"/>
        <v/>
      </c>
      <c r="AL469" s="76" t="str">
        <f t="shared" si="29"/>
        <v/>
      </c>
      <c r="AM469" s="76" t="str">
        <f t="shared" si="30"/>
        <v/>
      </c>
      <c r="AN469" s="76" t="str">
        <f t="shared" si="31"/>
        <v/>
      </c>
      <c r="AO469" s="76" t="str">
        <f t="shared" si="32"/>
        <v/>
      </c>
      <c r="AP469" s="76" t="str">
        <f t="shared" si="33"/>
        <v/>
      </c>
    </row>
    <row r="470" ht="15.75" customHeight="1">
      <c r="A470" s="76" t="str">
        <f>IF('Manual Entry'!A442="","",'Manual Entry'!A442)</f>
        <v/>
      </c>
      <c r="B470" s="76" t="str">
        <f t="shared" si="3"/>
        <v/>
      </c>
      <c r="C470" s="76" t="str">
        <f t="shared" si="4"/>
        <v/>
      </c>
      <c r="D470" s="76" t="str">
        <f>'Manual Entry'!D442</f>
        <v/>
      </c>
      <c r="E470" s="76" t="str">
        <f>'Manual Entry'!B442</f>
        <v/>
      </c>
      <c r="F470" s="76" t="str">
        <f>'Manual Entry'!F442</f>
        <v/>
      </c>
      <c r="G470" s="76" t="str">
        <f>'Manual Entry'!G442</f>
        <v/>
      </c>
      <c r="H470" s="76" t="str">
        <f>'Manual Entry'!H442</f>
        <v/>
      </c>
      <c r="I470" s="78" t="str">
        <f>'Manual Entry'!I442</f>
        <v/>
      </c>
      <c r="J470" s="78" t="str">
        <f>'Manual Entry'!J442</f>
        <v/>
      </c>
      <c r="K470" s="78" t="str">
        <f>'Manual Entry'!K442</f>
        <v/>
      </c>
      <c r="L470" s="78" t="str">
        <f>'Manual Entry'!L442</f>
        <v/>
      </c>
      <c r="M470" s="78" t="str">
        <f>'Manual Entry'!M442</f>
        <v/>
      </c>
      <c r="N470" s="78" t="str">
        <f>'Manual Entry'!N442</f>
        <v/>
      </c>
      <c r="O470" s="76">
        <f t="shared" si="6"/>
        <v>0</v>
      </c>
      <c r="P470" s="76">
        <f t="shared" si="7"/>
        <v>0</v>
      </c>
      <c r="Q470" s="76">
        <f t="shared" si="8"/>
        <v>0</v>
      </c>
      <c r="R470" s="76">
        <f t="shared" si="9"/>
        <v>0</v>
      </c>
      <c r="S470" s="76" t="str">
        <f t="shared" si="10"/>
        <v/>
      </c>
      <c r="T470" s="76" t="str">
        <f t="shared" si="11"/>
        <v/>
      </c>
      <c r="U470" s="76" t="str">
        <f t="shared" si="12"/>
        <v/>
      </c>
      <c r="V470" s="76" t="str">
        <f t="shared" si="13"/>
        <v/>
      </c>
      <c r="W470" s="76" t="str">
        <f t="shared" si="14"/>
        <v/>
      </c>
      <c r="X470" s="76" t="str">
        <f t="shared" si="15"/>
        <v/>
      </c>
      <c r="Y470" s="76" t="str">
        <f t="shared" si="16"/>
        <v/>
      </c>
      <c r="Z470" s="76" t="str">
        <f t="shared" si="17"/>
        <v/>
      </c>
      <c r="AA470" s="76" t="str">
        <f t="shared" si="18"/>
        <v/>
      </c>
      <c r="AB470" s="76" t="str">
        <f t="shared" si="19"/>
        <v/>
      </c>
      <c r="AC470" s="76" t="str">
        <f t="shared" si="20"/>
        <v/>
      </c>
      <c r="AD470" s="76" t="str">
        <f t="shared" si="21"/>
        <v/>
      </c>
      <c r="AE470" s="76" t="str">
        <f t="shared" si="22"/>
        <v/>
      </c>
      <c r="AF470" s="76" t="str">
        <f t="shared" si="23"/>
        <v/>
      </c>
      <c r="AG470" s="76" t="str">
        <f t="shared" si="24"/>
        <v/>
      </c>
      <c r="AH470" s="76" t="str">
        <f t="shared" si="25"/>
        <v/>
      </c>
      <c r="AI470" s="76" t="str">
        <f t="shared" si="26"/>
        <v/>
      </c>
      <c r="AJ470" s="76" t="str">
        <f t="shared" si="27"/>
        <v/>
      </c>
      <c r="AK470" s="76" t="str">
        <f t="shared" si="28"/>
        <v/>
      </c>
      <c r="AL470" s="76" t="str">
        <f t="shared" si="29"/>
        <v/>
      </c>
      <c r="AM470" s="76" t="str">
        <f t="shared" si="30"/>
        <v/>
      </c>
      <c r="AN470" s="76" t="str">
        <f t="shared" si="31"/>
        <v/>
      </c>
      <c r="AO470" s="76" t="str">
        <f t="shared" si="32"/>
        <v/>
      </c>
      <c r="AP470" s="76" t="str">
        <f t="shared" si="33"/>
        <v/>
      </c>
    </row>
    <row r="471" ht="15.75" customHeight="1">
      <c r="A471" s="76" t="str">
        <f>IF('Manual Entry'!A443="","",'Manual Entry'!A443)</f>
        <v/>
      </c>
      <c r="B471" s="76" t="str">
        <f t="shared" si="3"/>
        <v/>
      </c>
      <c r="C471" s="76" t="str">
        <f t="shared" si="4"/>
        <v/>
      </c>
      <c r="D471" s="76" t="str">
        <f>'Manual Entry'!D443</f>
        <v/>
      </c>
      <c r="E471" s="76" t="str">
        <f>'Manual Entry'!B443</f>
        <v/>
      </c>
      <c r="F471" s="76" t="str">
        <f>'Manual Entry'!F443</f>
        <v/>
      </c>
      <c r="G471" s="76" t="str">
        <f>'Manual Entry'!G443</f>
        <v/>
      </c>
      <c r="H471" s="76" t="str">
        <f>'Manual Entry'!H443</f>
        <v/>
      </c>
      <c r="I471" s="78" t="str">
        <f>'Manual Entry'!I443</f>
        <v/>
      </c>
      <c r="J471" s="78" t="str">
        <f>'Manual Entry'!J443</f>
        <v/>
      </c>
      <c r="K471" s="78" t="str">
        <f>'Manual Entry'!K443</f>
        <v/>
      </c>
      <c r="L471" s="78" t="str">
        <f>'Manual Entry'!L443</f>
        <v/>
      </c>
      <c r="M471" s="78" t="str">
        <f>'Manual Entry'!M443</f>
        <v/>
      </c>
      <c r="N471" s="78" t="str">
        <f>'Manual Entry'!N443</f>
        <v/>
      </c>
      <c r="O471" s="76">
        <f t="shared" si="6"/>
        <v>0</v>
      </c>
      <c r="P471" s="76">
        <f t="shared" si="7"/>
        <v>0</v>
      </c>
      <c r="Q471" s="76">
        <f t="shared" si="8"/>
        <v>0</v>
      </c>
      <c r="R471" s="76">
        <f t="shared" si="9"/>
        <v>0</v>
      </c>
      <c r="S471" s="76" t="str">
        <f t="shared" si="10"/>
        <v/>
      </c>
      <c r="T471" s="76" t="str">
        <f t="shared" si="11"/>
        <v/>
      </c>
      <c r="U471" s="76" t="str">
        <f t="shared" si="12"/>
        <v/>
      </c>
      <c r="V471" s="76" t="str">
        <f t="shared" si="13"/>
        <v/>
      </c>
      <c r="W471" s="76" t="str">
        <f t="shared" si="14"/>
        <v/>
      </c>
      <c r="X471" s="76" t="str">
        <f t="shared" si="15"/>
        <v/>
      </c>
      <c r="Y471" s="76" t="str">
        <f t="shared" si="16"/>
        <v/>
      </c>
      <c r="Z471" s="76" t="str">
        <f t="shared" si="17"/>
        <v/>
      </c>
      <c r="AA471" s="76" t="str">
        <f t="shared" si="18"/>
        <v/>
      </c>
      <c r="AB471" s="76" t="str">
        <f t="shared" si="19"/>
        <v/>
      </c>
      <c r="AC471" s="76" t="str">
        <f t="shared" si="20"/>
        <v/>
      </c>
      <c r="AD471" s="76" t="str">
        <f t="shared" si="21"/>
        <v/>
      </c>
      <c r="AE471" s="76" t="str">
        <f t="shared" si="22"/>
        <v/>
      </c>
      <c r="AF471" s="76" t="str">
        <f t="shared" si="23"/>
        <v/>
      </c>
      <c r="AG471" s="76" t="str">
        <f t="shared" si="24"/>
        <v/>
      </c>
      <c r="AH471" s="76" t="str">
        <f t="shared" si="25"/>
        <v/>
      </c>
      <c r="AI471" s="76" t="str">
        <f t="shared" si="26"/>
        <v/>
      </c>
      <c r="AJ471" s="76" t="str">
        <f t="shared" si="27"/>
        <v/>
      </c>
      <c r="AK471" s="76" t="str">
        <f t="shared" si="28"/>
        <v/>
      </c>
      <c r="AL471" s="76" t="str">
        <f t="shared" si="29"/>
        <v/>
      </c>
      <c r="AM471" s="76" t="str">
        <f t="shared" si="30"/>
        <v/>
      </c>
      <c r="AN471" s="76" t="str">
        <f t="shared" si="31"/>
        <v/>
      </c>
      <c r="AO471" s="76" t="str">
        <f t="shared" si="32"/>
        <v/>
      </c>
      <c r="AP471" s="76" t="str">
        <f t="shared" si="33"/>
        <v/>
      </c>
    </row>
    <row r="472" ht="15.75" customHeight="1">
      <c r="A472" s="76" t="str">
        <f>IF('Manual Entry'!A444="","",'Manual Entry'!A444)</f>
        <v/>
      </c>
      <c r="B472" s="76" t="str">
        <f t="shared" si="3"/>
        <v/>
      </c>
      <c r="C472" s="76" t="str">
        <f t="shared" si="4"/>
        <v/>
      </c>
      <c r="D472" s="76" t="str">
        <f>'Manual Entry'!D444</f>
        <v/>
      </c>
      <c r="E472" s="76" t="str">
        <f>'Manual Entry'!B444</f>
        <v/>
      </c>
      <c r="F472" s="76" t="str">
        <f>'Manual Entry'!F444</f>
        <v/>
      </c>
      <c r="G472" s="76" t="str">
        <f>'Manual Entry'!G444</f>
        <v/>
      </c>
      <c r="H472" s="76" t="str">
        <f>'Manual Entry'!H444</f>
        <v/>
      </c>
      <c r="I472" s="78" t="str">
        <f>'Manual Entry'!I444</f>
        <v/>
      </c>
      <c r="J472" s="78" t="str">
        <f>'Manual Entry'!J444</f>
        <v/>
      </c>
      <c r="K472" s="78" t="str">
        <f>'Manual Entry'!K444</f>
        <v/>
      </c>
      <c r="L472" s="78" t="str">
        <f>'Manual Entry'!L444</f>
        <v/>
      </c>
      <c r="M472" s="78" t="str">
        <f>'Manual Entry'!M444</f>
        <v/>
      </c>
      <c r="N472" s="78" t="str">
        <f>'Manual Entry'!N444</f>
        <v/>
      </c>
      <c r="O472" s="76">
        <f t="shared" si="6"/>
        <v>0</v>
      </c>
      <c r="P472" s="76">
        <f t="shared" si="7"/>
        <v>0</v>
      </c>
      <c r="Q472" s="76">
        <f t="shared" si="8"/>
        <v>0</v>
      </c>
      <c r="R472" s="76">
        <f t="shared" si="9"/>
        <v>0</v>
      </c>
      <c r="S472" s="76" t="str">
        <f t="shared" si="10"/>
        <v/>
      </c>
      <c r="T472" s="76" t="str">
        <f t="shared" si="11"/>
        <v/>
      </c>
      <c r="U472" s="76" t="str">
        <f t="shared" si="12"/>
        <v/>
      </c>
      <c r="V472" s="76" t="str">
        <f t="shared" si="13"/>
        <v/>
      </c>
      <c r="W472" s="76" t="str">
        <f t="shared" si="14"/>
        <v/>
      </c>
      <c r="X472" s="76" t="str">
        <f t="shared" si="15"/>
        <v/>
      </c>
      <c r="Y472" s="76" t="str">
        <f t="shared" si="16"/>
        <v/>
      </c>
      <c r="Z472" s="76" t="str">
        <f t="shared" si="17"/>
        <v/>
      </c>
      <c r="AA472" s="76" t="str">
        <f t="shared" si="18"/>
        <v/>
      </c>
      <c r="AB472" s="76" t="str">
        <f t="shared" si="19"/>
        <v/>
      </c>
      <c r="AC472" s="76" t="str">
        <f t="shared" si="20"/>
        <v/>
      </c>
      <c r="AD472" s="76" t="str">
        <f t="shared" si="21"/>
        <v/>
      </c>
      <c r="AE472" s="76" t="str">
        <f t="shared" si="22"/>
        <v/>
      </c>
      <c r="AF472" s="76" t="str">
        <f t="shared" si="23"/>
        <v/>
      </c>
      <c r="AG472" s="76" t="str">
        <f t="shared" si="24"/>
        <v/>
      </c>
      <c r="AH472" s="76" t="str">
        <f t="shared" si="25"/>
        <v/>
      </c>
      <c r="AI472" s="76" t="str">
        <f t="shared" si="26"/>
        <v/>
      </c>
      <c r="AJ472" s="76" t="str">
        <f t="shared" si="27"/>
        <v/>
      </c>
      <c r="AK472" s="76" t="str">
        <f t="shared" si="28"/>
        <v/>
      </c>
      <c r="AL472" s="76" t="str">
        <f t="shared" si="29"/>
        <v/>
      </c>
      <c r="AM472" s="76" t="str">
        <f t="shared" si="30"/>
        <v/>
      </c>
      <c r="AN472" s="76" t="str">
        <f t="shared" si="31"/>
        <v/>
      </c>
      <c r="AO472" s="76" t="str">
        <f t="shared" si="32"/>
        <v/>
      </c>
      <c r="AP472" s="76" t="str">
        <f t="shared" si="33"/>
        <v/>
      </c>
    </row>
    <row r="473" ht="15.75" customHeight="1">
      <c r="A473" s="76" t="str">
        <f>IF('Manual Entry'!A445="","",'Manual Entry'!A445)</f>
        <v/>
      </c>
      <c r="B473" s="76" t="str">
        <f t="shared" si="3"/>
        <v/>
      </c>
      <c r="C473" s="76" t="str">
        <f t="shared" si="4"/>
        <v/>
      </c>
      <c r="D473" s="76" t="str">
        <f>'Manual Entry'!D445</f>
        <v/>
      </c>
      <c r="E473" s="76" t="str">
        <f>'Manual Entry'!B445</f>
        <v/>
      </c>
      <c r="F473" s="76" t="str">
        <f>'Manual Entry'!F445</f>
        <v/>
      </c>
      <c r="G473" s="76" t="str">
        <f>'Manual Entry'!G445</f>
        <v/>
      </c>
      <c r="H473" s="76" t="str">
        <f>'Manual Entry'!H445</f>
        <v/>
      </c>
      <c r="I473" s="78" t="str">
        <f>'Manual Entry'!I445</f>
        <v/>
      </c>
      <c r="J473" s="78" t="str">
        <f>'Manual Entry'!J445</f>
        <v/>
      </c>
      <c r="K473" s="78" t="str">
        <f>'Manual Entry'!K445</f>
        <v/>
      </c>
      <c r="L473" s="78" t="str">
        <f>'Manual Entry'!L445</f>
        <v/>
      </c>
      <c r="M473" s="78" t="str">
        <f>'Manual Entry'!M445</f>
        <v/>
      </c>
      <c r="N473" s="78" t="str">
        <f>'Manual Entry'!N445</f>
        <v/>
      </c>
      <c r="O473" s="76">
        <f t="shared" si="6"/>
        <v>0</v>
      </c>
      <c r="P473" s="76">
        <f t="shared" si="7"/>
        <v>0</v>
      </c>
      <c r="Q473" s="76">
        <f t="shared" si="8"/>
        <v>0</v>
      </c>
      <c r="R473" s="76">
        <f t="shared" si="9"/>
        <v>0</v>
      </c>
      <c r="S473" s="76" t="str">
        <f t="shared" si="10"/>
        <v/>
      </c>
      <c r="T473" s="76" t="str">
        <f t="shared" si="11"/>
        <v/>
      </c>
      <c r="U473" s="76" t="str">
        <f t="shared" si="12"/>
        <v/>
      </c>
      <c r="V473" s="76" t="str">
        <f t="shared" si="13"/>
        <v/>
      </c>
      <c r="W473" s="76" t="str">
        <f t="shared" si="14"/>
        <v/>
      </c>
      <c r="X473" s="76" t="str">
        <f t="shared" si="15"/>
        <v/>
      </c>
      <c r="Y473" s="76" t="str">
        <f t="shared" si="16"/>
        <v/>
      </c>
      <c r="Z473" s="76" t="str">
        <f t="shared" si="17"/>
        <v/>
      </c>
      <c r="AA473" s="76" t="str">
        <f t="shared" si="18"/>
        <v/>
      </c>
      <c r="AB473" s="76" t="str">
        <f t="shared" si="19"/>
        <v/>
      </c>
      <c r="AC473" s="76" t="str">
        <f t="shared" si="20"/>
        <v/>
      </c>
      <c r="AD473" s="76" t="str">
        <f t="shared" si="21"/>
        <v/>
      </c>
      <c r="AE473" s="76" t="str">
        <f t="shared" si="22"/>
        <v/>
      </c>
      <c r="AF473" s="76" t="str">
        <f t="shared" si="23"/>
        <v/>
      </c>
      <c r="AG473" s="76" t="str">
        <f t="shared" si="24"/>
        <v/>
      </c>
      <c r="AH473" s="76" t="str">
        <f t="shared" si="25"/>
        <v/>
      </c>
      <c r="AI473" s="76" t="str">
        <f t="shared" si="26"/>
        <v/>
      </c>
      <c r="AJ473" s="76" t="str">
        <f t="shared" si="27"/>
        <v/>
      </c>
      <c r="AK473" s="76" t="str">
        <f t="shared" si="28"/>
        <v/>
      </c>
      <c r="AL473" s="76" t="str">
        <f t="shared" si="29"/>
        <v/>
      </c>
      <c r="AM473" s="76" t="str">
        <f t="shared" si="30"/>
        <v/>
      </c>
      <c r="AN473" s="76" t="str">
        <f t="shared" si="31"/>
        <v/>
      </c>
      <c r="AO473" s="76" t="str">
        <f t="shared" si="32"/>
        <v/>
      </c>
      <c r="AP473" s="76" t="str">
        <f t="shared" si="33"/>
        <v/>
      </c>
    </row>
    <row r="474" ht="15.75" customHeight="1">
      <c r="A474" s="76" t="str">
        <f>IF('Manual Entry'!A446="","",'Manual Entry'!A446)</f>
        <v/>
      </c>
      <c r="B474" s="76" t="str">
        <f t="shared" si="3"/>
        <v/>
      </c>
      <c r="C474" s="76" t="str">
        <f t="shared" si="4"/>
        <v/>
      </c>
      <c r="D474" s="76" t="str">
        <f>'Manual Entry'!D446</f>
        <v/>
      </c>
      <c r="E474" s="76" t="str">
        <f>'Manual Entry'!B446</f>
        <v/>
      </c>
      <c r="F474" s="76" t="str">
        <f>'Manual Entry'!F446</f>
        <v/>
      </c>
      <c r="G474" s="76" t="str">
        <f>'Manual Entry'!G446</f>
        <v/>
      </c>
      <c r="H474" s="76" t="str">
        <f>'Manual Entry'!H446</f>
        <v/>
      </c>
      <c r="I474" s="78" t="str">
        <f>'Manual Entry'!I446</f>
        <v/>
      </c>
      <c r="J474" s="78" t="str">
        <f>'Manual Entry'!J446</f>
        <v/>
      </c>
      <c r="K474" s="78" t="str">
        <f>'Manual Entry'!K446</f>
        <v/>
      </c>
      <c r="L474" s="78" t="str">
        <f>'Manual Entry'!L446</f>
        <v/>
      </c>
      <c r="M474" s="78" t="str">
        <f>'Manual Entry'!M446</f>
        <v/>
      </c>
      <c r="N474" s="78" t="str">
        <f>'Manual Entry'!N446</f>
        <v/>
      </c>
      <c r="O474" s="76">
        <f t="shared" si="6"/>
        <v>0</v>
      </c>
      <c r="P474" s="76">
        <f t="shared" si="7"/>
        <v>0</v>
      </c>
      <c r="Q474" s="76">
        <f t="shared" si="8"/>
        <v>0</v>
      </c>
      <c r="R474" s="76">
        <f t="shared" si="9"/>
        <v>0</v>
      </c>
      <c r="S474" s="76" t="str">
        <f t="shared" si="10"/>
        <v/>
      </c>
      <c r="T474" s="76" t="str">
        <f t="shared" si="11"/>
        <v/>
      </c>
      <c r="U474" s="76" t="str">
        <f t="shared" si="12"/>
        <v/>
      </c>
      <c r="V474" s="76" t="str">
        <f t="shared" si="13"/>
        <v/>
      </c>
      <c r="W474" s="76" t="str">
        <f t="shared" si="14"/>
        <v/>
      </c>
      <c r="X474" s="76" t="str">
        <f t="shared" si="15"/>
        <v/>
      </c>
      <c r="Y474" s="76" t="str">
        <f t="shared" si="16"/>
        <v/>
      </c>
      <c r="Z474" s="76" t="str">
        <f t="shared" si="17"/>
        <v/>
      </c>
      <c r="AA474" s="76" t="str">
        <f t="shared" si="18"/>
        <v/>
      </c>
      <c r="AB474" s="76" t="str">
        <f t="shared" si="19"/>
        <v/>
      </c>
      <c r="AC474" s="76" t="str">
        <f t="shared" si="20"/>
        <v/>
      </c>
      <c r="AD474" s="76" t="str">
        <f t="shared" si="21"/>
        <v/>
      </c>
      <c r="AE474" s="76" t="str">
        <f t="shared" si="22"/>
        <v/>
      </c>
      <c r="AF474" s="76" t="str">
        <f t="shared" si="23"/>
        <v/>
      </c>
      <c r="AG474" s="76" t="str">
        <f t="shared" si="24"/>
        <v/>
      </c>
      <c r="AH474" s="76" t="str">
        <f t="shared" si="25"/>
        <v/>
      </c>
      <c r="AI474" s="76" t="str">
        <f t="shared" si="26"/>
        <v/>
      </c>
      <c r="AJ474" s="76" t="str">
        <f t="shared" si="27"/>
        <v/>
      </c>
      <c r="AK474" s="76" t="str">
        <f t="shared" si="28"/>
        <v/>
      </c>
      <c r="AL474" s="76" t="str">
        <f t="shared" si="29"/>
        <v/>
      </c>
      <c r="AM474" s="76" t="str">
        <f t="shared" si="30"/>
        <v/>
      </c>
      <c r="AN474" s="76" t="str">
        <f t="shared" si="31"/>
        <v/>
      </c>
      <c r="AO474" s="76" t="str">
        <f t="shared" si="32"/>
        <v/>
      </c>
      <c r="AP474" s="76" t="str">
        <f t="shared" si="33"/>
        <v/>
      </c>
    </row>
    <row r="475" ht="15.75" customHeight="1">
      <c r="A475" s="76" t="str">
        <f>IF('Manual Entry'!A447="","",'Manual Entry'!A447)</f>
        <v/>
      </c>
      <c r="B475" s="76" t="str">
        <f t="shared" si="3"/>
        <v/>
      </c>
      <c r="C475" s="76" t="str">
        <f t="shared" si="4"/>
        <v/>
      </c>
      <c r="D475" s="76" t="str">
        <f>'Manual Entry'!D447</f>
        <v/>
      </c>
      <c r="E475" s="76" t="str">
        <f>'Manual Entry'!B447</f>
        <v/>
      </c>
      <c r="F475" s="76" t="str">
        <f>'Manual Entry'!F447</f>
        <v/>
      </c>
      <c r="G475" s="76" t="str">
        <f>'Manual Entry'!G447</f>
        <v/>
      </c>
      <c r="H475" s="76" t="str">
        <f>'Manual Entry'!H447</f>
        <v/>
      </c>
      <c r="I475" s="78" t="str">
        <f>'Manual Entry'!I447</f>
        <v/>
      </c>
      <c r="J475" s="78" t="str">
        <f>'Manual Entry'!J447</f>
        <v/>
      </c>
      <c r="K475" s="78" t="str">
        <f>'Manual Entry'!K447</f>
        <v/>
      </c>
      <c r="L475" s="78" t="str">
        <f>'Manual Entry'!L447</f>
        <v/>
      </c>
      <c r="M475" s="78" t="str">
        <f>'Manual Entry'!M447</f>
        <v/>
      </c>
      <c r="N475" s="78" t="str">
        <f>'Manual Entry'!N447</f>
        <v/>
      </c>
      <c r="O475" s="76">
        <f t="shared" si="6"/>
        <v>0</v>
      </c>
      <c r="P475" s="76">
        <f t="shared" si="7"/>
        <v>0</v>
      </c>
      <c r="Q475" s="76">
        <f t="shared" si="8"/>
        <v>0</v>
      </c>
      <c r="R475" s="76">
        <f t="shared" si="9"/>
        <v>0</v>
      </c>
      <c r="S475" s="76" t="str">
        <f t="shared" si="10"/>
        <v/>
      </c>
      <c r="T475" s="76" t="str">
        <f t="shared" si="11"/>
        <v/>
      </c>
      <c r="U475" s="76" t="str">
        <f t="shared" si="12"/>
        <v/>
      </c>
      <c r="V475" s="76" t="str">
        <f t="shared" si="13"/>
        <v/>
      </c>
      <c r="W475" s="76" t="str">
        <f t="shared" si="14"/>
        <v/>
      </c>
      <c r="X475" s="76" t="str">
        <f t="shared" si="15"/>
        <v/>
      </c>
      <c r="Y475" s="76" t="str">
        <f t="shared" si="16"/>
        <v/>
      </c>
      <c r="Z475" s="76" t="str">
        <f t="shared" si="17"/>
        <v/>
      </c>
      <c r="AA475" s="76" t="str">
        <f t="shared" si="18"/>
        <v/>
      </c>
      <c r="AB475" s="76" t="str">
        <f t="shared" si="19"/>
        <v/>
      </c>
      <c r="AC475" s="76" t="str">
        <f t="shared" si="20"/>
        <v/>
      </c>
      <c r="AD475" s="76" t="str">
        <f t="shared" si="21"/>
        <v/>
      </c>
      <c r="AE475" s="76" t="str">
        <f t="shared" si="22"/>
        <v/>
      </c>
      <c r="AF475" s="76" t="str">
        <f t="shared" si="23"/>
        <v/>
      </c>
      <c r="AG475" s="76" t="str">
        <f t="shared" si="24"/>
        <v/>
      </c>
      <c r="AH475" s="76" t="str">
        <f t="shared" si="25"/>
        <v/>
      </c>
      <c r="AI475" s="76" t="str">
        <f t="shared" si="26"/>
        <v/>
      </c>
      <c r="AJ475" s="76" t="str">
        <f t="shared" si="27"/>
        <v/>
      </c>
      <c r="AK475" s="76" t="str">
        <f t="shared" si="28"/>
        <v/>
      </c>
      <c r="AL475" s="76" t="str">
        <f t="shared" si="29"/>
        <v/>
      </c>
      <c r="AM475" s="76" t="str">
        <f t="shared" si="30"/>
        <v/>
      </c>
      <c r="AN475" s="76" t="str">
        <f t="shared" si="31"/>
        <v/>
      </c>
      <c r="AO475" s="76" t="str">
        <f t="shared" si="32"/>
        <v/>
      </c>
      <c r="AP475" s="76" t="str">
        <f t="shared" si="33"/>
        <v/>
      </c>
    </row>
    <row r="476" ht="15.75" customHeight="1">
      <c r="A476" s="76" t="str">
        <f>IF('Manual Entry'!A448="","",'Manual Entry'!A448)</f>
        <v/>
      </c>
      <c r="B476" s="76" t="str">
        <f t="shared" si="3"/>
        <v/>
      </c>
      <c r="C476" s="76" t="str">
        <f t="shared" si="4"/>
        <v/>
      </c>
      <c r="D476" s="76" t="str">
        <f>'Manual Entry'!D448</f>
        <v/>
      </c>
      <c r="E476" s="76" t="str">
        <f>'Manual Entry'!B448</f>
        <v/>
      </c>
      <c r="F476" s="76" t="str">
        <f>'Manual Entry'!F448</f>
        <v/>
      </c>
      <c r="G476" s="76" t="str">
        <f>'Manual Entry'!G448</f>
        <v/>
      </c>
      <c r="H476" s="76" t="str">
        <f>'Manual Entry'!H448</f>
        <v/>
      </c>
      <c r="I476" s="78" t="str">
        <f>'Manual Entry'!I448</f>
        <v/>
      </c>
      <c r="J476" s="78" t="str">
        <f>'Manual Entry'!J448</f>
        <v/>
      </c>
      <c r="K476" s="78" t="str">
        <f>'Manual Entry'!K448</f>
        <v/>
      </c>
      <c r="L476" s="78" t="str">
        <f>'Manual Entry'!L448</f>
        <v/>
      </c>
      <c r="M476" s="78" t="str">
        <f>'Manual Entry'!M448</f>
        <v/>
      </c>
      <c r="N476" s="78" t="str">
        <f>'Manual Entry'!N448</f>
        <v/>
      </c>
      <c r="O476" s="76">
        <f t="shared" si="6"/>
        <v>0</v>
      </c>
      <c r="P476" s="76">
        <f t="shared" si="7"/>
        <v>0</v>
      </c>
      <c r="Q476" s="76">
        <f t="shared" si="8"/>
        <v>0</v>
      </c>
      <c r="R476" s="76">
        <f t="shared" si="9"/>
        <v>0</v>
      </c>
      <c r="S476" s="76" t="str">
        <f t="shared" si="10"/>
        <v/>
      </c>
      <c r="T476" s="76" t="str">
        <f t="shared" si="11"/>
        <v/>
      </c>
      <c r="U476" s="76" t="str">
        <f t="shared" si="12"/>
        <v/>
      </c>
      <c r="V476" s="76" t="str">
        <f t="shared" si="13"/>
        <v/>
      </c>
      <c r="W476" s="76" t="str">
        <f t="shared" si="14"/>
        <v/>
      </c>
      <c r="X476" s="76" t="str">
        <f t="shared" si="15"/>
        <v/>
      </c>
      <c r="Y476" s="76" t="str">
        <f t="shared" si="16"/>
        <v/>
      </c>
      <c r="Z476" s="76" t="str">
        <f t="shared" si="17"/>
        <v/>
      </c>
      <c r="AA476" s="76" t="str">
        <f t="shared" si="18"/>
        <v/>
      </c>
      <c r="AB476" s="76" t="str">
        <f t="shared" si="19"/>
        <v/>
      </c>
      <c r="AC476" s="76" t="str">
        <f t="shared" si="20"/>
        <v/>
      </c>
      <c r="AD476" s="76" t="str">
        <f t="shared" si="21"/>
        <v/>
      </c>
      <c r="AE476" s="76" t="str">
        <f t="shared" si="22"/>
        <v/>
      </c>
      <c r="AF476" s="76" t="str">
        <f t="shared" si="23"/>
        <v/>
      </c>
      <c r="AG476" s="76" t="str">
        <f t="shared" si="24"/>
        <v/>
      </c>
      <c r="AH476" s="76" t="str">
        <f t="shared" si="25"/>
        <v/>
      </c>
      <c r="AI476" s="76" t="str">
        <f t="shared" si="26"/>
        <v/>
      </c>
      <c r="AJ476" s="76" t="str">
        <f t="shared" si="27"/>
        <v/>
      </c>
      <c r="AK476" s="76" t="str">
        <f t="shared" si="28"/>
        <v/>
      </c>
      <c r="AL476" s="76" t="str">
        <f t="shared" si="29"/>
        <v/>
      </c>
      <c r="AM476" s="76" t="str">
        <f t="shared" si="30"/>
        <v/>
      </c>
      <c r="AN476" s="76" t="str">
        <f t="shared" si="31"/>
        <v/>
      </c>
      <c r="AO476" s="76" t="str">
        <f t="shared" si="32"/>
        <v/>
      </c>
      <c r="AP476" s="76" t="str">
        <f t="shared" si="33"/>
        <v/>
      </c>
    </row>
    <row r="477" ht="15.75" customHeight="1">
      <c r="A477" s="76" t="str">
        <f>IF('Manual Entry'!A449="","",'Manual Entry'!A449)</f>
        <v/>
      </c>
      <c r="B477" s="76" t="str">
        <f t="shared" si="3"/>
        <v/>
      </c>
      <c r="C477" s="76" t="str">
        <f t="shared" si="4"/>
        <v/>
      </c>
      <c r="D477" s="76" t="str">
        <f>'Manual Entry'!D449</f>
        <v/>
      </c>
      <c r="E477" s="76" t="str">
        <f>'Manual Entry'!B449</f>
        <v/>
      </c>
      <c r="F477" s="76" t="str">
        <f>'Manual Entry'!F449</f>
        <v/>
      </c>
      <c r="G477" s="76" t="str">
        <f>'Manual Entry'!G449</f>
        <v/>
      </c>
      <c r="H477" s="76" t="str">
        <f>'Manual Entry'!H449</f>
        <v/>
      </c>
      <c r="I477" s="78" t="str">
        <f>'Manual Entry'!I449</f>
        <v/>
      </c>
      <c r="J477" s="78" t="str">
        <f>'Manual Entry'!J449</f>
        <v/>
      </c>
      <c r="K477" s="78" t="str">
        <f>'Manual Entry'!K449</f>
        <v/>
      </c>
      <c r="L477" s="78" t="str">
        <f>'Manual Entry'!L449</f>
        <v/>
      </c>
      <c r="M477" s="78" t="str">
        <f>'Manual Entry'!M449</f>
        <v/>
      </c>
      <c r="N477" s="78" t="str">
        <f>'Manual Entry'!N449</f>
        <v/>
      </c>
      <c r="O477" s="76">
        <f t="shared" si="6"/>
        <v>0</v>
      </c>
      <c r="P477" s="76">
        <f t="shared" si="7"/>
        <v>0</v>
      </c>
      <c r="Q477" s="76">
        <f t="shared" si="8"/>
        <v>0</v>
      </c>
      <c r="R477" s="76">
        <f t="shared" si="9"/>
        <v>0</v>
      </c>
      <c r="S477" s="76" t="str">
        <f t="shared" si="10"/>
        <v/>
      </c>
      <c r="T477" s="76" t="str">
        <f t="shared" si="11"/>
        <v/>
      </c>
      <c r="U477" s="76" t="str">
        <f t="shared" si="12"/>
        <v/>
      </c>
      <c r="V477" s="76" t="str">
        <f t="shared" si="13"/>
        <v/>
      </c>
      <c r="W477" s="76" t="str">
        <f t="shared" si="14"/>
        <v/>
      </c>
      <c r="X477" s="76" t="str">
        <f t="shared" si="15"/>
        <v/>
      </c>
      <c r="Y477" s="76" t="str">
        <f t="shared" si="16"/>
        <v/>
      </c>
      <c r="Z477" s="76" t="str">
        <f t="shared" si="17"/>
        <v/>
      </c>
      <c r="AA477" s="76" t="str">
        <f t="shared" si="18"/>
        <v/>
      </c>
      <c r="AB477" s="76" t="str">
        <f t="shared" si="19"/>
        <v/>
      </c>
      <c r="AC477" s="76" t="str">
        <f t="shared" si="20"/>
        <v/>
      </c>
      <c r="AD477" s="76" t="str">
        <f t="shared" si="21"/>
        <v/>
      </c>
      <c r="AE477" s="76" t="str">
        <f t="shared" si="22"/>
        <v/>
      </c>
      <c r="AF477" s="76" t="str">
        <f t="shared" si="23"/>
        <v/>
      </c>
      <c r="AG477" s="76" t="str">
        <f t="shared" si="24"/>
        <v/>
      </c>
      <c r="AH477" s="76" t="str">
        <f t="shared" si="25"/>
        <v/>
      </c>
      <c r="AI477" s="76" t="str">
        <f t="shared" si="26"/>
        <v/>
      </c>
      <c r="AJ477" s="76" t="str">
        <f t="shared" si="27"/>
        <v/>
      </c>
      <c r="AK477" s="76" t="str">
        <f t="shared" si="28"/>
        <v/>
      </c>
      <c r="AL477" s="76" t="str">
        <f t="shared" si="29"/>
        <v/>
      </c>
      <c r="AM477" s="76" t="str">
        <f t="shared" si="30"/>
        <v/>
      </c>
      <c r="AN477" s="76" t="str">
        <f t="shared" si="31"/>
        <v/>
      </c>
      <c r="AO477" s="76" t="str">
        <f t="shared" si="32"/>
        <v/>
      </c>
      <c r="AP477" s="76" t="str">
        <f t="shared" si="33"/>
        <v/>
      </c>
    </row>
    <row r="478" ht="15.75" customHeight="1">
      <c r="A478" s="76" t="str">
        <f>IF('Manual Entry'!A450="","",'Manual Entry'!A450)</f>
        <v/>
      </c>
      <c r="B478" s="76" t="str">
        <f t="shared" si="3"/>
        <v/>
      </c>
      <c r="C478" s="76" t="str">
        <f t="shared" si="4"/>
        <v/>
      </c>
      <c r="D478" s="76" t="str">
        <f>'Manual Entry'!D450</f>
        <v/>
      </c>
      <c r="E478" s="76" t="str">
        <f>'Manual Entry'!B450</f>
        <v/>
      </c>
      <c r="F478" s="76" t="str">
        <f>'Manual Entry'!F450</f>
        <v/>
      </c>
      <c r="G478" s="76" t="str">
        <f>'Manual Entry'!G450</f>
        <v/>
      </c>
      <c r="H478" s="76" t="str">
        <f>'Manual Entry'!H450</f>
        <v/>
      </c>
      <c r="I478" s="78" t="str">
        <f>'Manual Entry'!I450</f>
        <v/>
      </c>
      <c r="J478" s="78" t="str">
        <f>'Manual Entry'!J450</f>
        <v/>
      </c>
      <c r="K478" s="78" t="str">
        <f>'Manual Entry'!K450</f>
        <v/>
      </c>
      <c r="L478" s="78" t="str">
        <f>'Manual Entry'!L450</f>
        <v/>
      </c>
      <c r="M478" s="78" t="str">
        <f>'Manual Entry'!M450</f>
        <v/>
      </c>
      <c r="N478" s="78" t="str">
        <f>'Manual Entry'!N450</f>
        <v/>
      </c>
      <c r="O478" s="76">
        <f t="shared" si="6"/>
        <v>0</v>
      </c>
      <c r="P478" s="76">
        <f t="shared" si="7"/>
        <v>0</v>
      </c>
      <c r="Q478" s="76">
        <f t="shared" si="8"/>
        <v>0</v>
      </c>
      <c r="R478" s="76">
        <f t="shared" si="9"/>
        <v>0</v>
      </c>
      <c r="S478" s="76" t="str">
        <f t="shared" si="10"/>
        <v/>
      </c>
      <c r="T478" s="76" t="str">
        <f t="shared" si="11"/>
        <v/>
      </c>
      <c r="U478" s="76" t="str">
        <f t="shared" si="12"/>
        <v/>
      </c>
      <c r="V478" s="76" t="str">
        <f t="shared" si="13"/>
        <v/>
      </c>
      <c r="W478" s="76" t="str">
        <f t="shared" si="14"/>
        <v/>
      </c>
      <c r="X478" s="76" t="str">
        <f t="shared" si="15"/>
        <v/>
      </c>
      <c r="Y478" s="76" t="str">
        <f t="shared" si="16"/>
        <v/>
      </c>
      <c r="Z478" s="76" t="str">
        <f t="shared" si="17"/>
        <v/>
      </c>
      <c r="AA478" s="76" t="str">
        <f t="shared" si="18"/>
        <v/>
      </c>
      <c r="AB478" s="76" t="str">
        <f t="shared" si="19"/>
        <v/>
      </c>
      <c r="AC478" s="76" t="str">
        <f t="shared" si="20"/>
        <v/>
      </c>
      <c r="AD478" s="76" t="str">
        <f t="shared" si="21"/>
        <v/>
      </c>
      <c r="AE478" s="76" t="str">
        <f t="shared" si="22"/>
        <v/>
      </c>
      <c r="AF478" s="76" t="str">
        <f t="shared" si="23"/>
        <v/>
      </c>
      <c r="AG478" s="76" t="str">
        <f t="shared" si="24"/>
        <v/>
      </c>
      <c r="AH478" s="76" t="str">
        <f t="shared" si="25"/>
        <v/>
      </c>
      <c r="AI478" s="76" t="str">
        <f t="shared" si="26"/>
        <v/>
      </c>
      <c r="AJ478" s="76" t="str">
        <f t="shared" si="27"/>
        <v/>
      </c>
      <c r="AK478" s="76" t="str">
        <f t="shared" si="28"/>
        <v/>
      </c>
      <c r="AL478" s="76" t="str">
        <f t="shared" si="29"/>
        <v/>
      </c>
      <c r="AM478" s="76" t="str">
        <f t="shared" si="30"/>
        <v/>
      </c>
      <c r="AN478" s="76" t="str">
        <f t="shared" si="31"/>
        <v/>
      </c>
      <c r="AO478" s="76" t="str">
        <f t="shared" si="32"/>
        <v/>
      </c>
      <c r="AP478" s="76" t="str">
        <f t="shared" si="33"/>
        <v/>
      </c>
    </row>
    <row r="479" ht="15.75" customHeight="1">
      <c r="A479" s="76" t="str">
        <f>IF('Manual Entry'!A451="","",'Manual Entry'!A451)</f>
        <v/>
      </c>
      <c r="B479" s="76" t="str">
        <f t="shared" si="3"/>
        <v/>
      </c>
      <c r="C479" s="76" t="str">
        <f t="shared" si="4"/>
        <v/>
      </c>
      <c r="D479" s="76" t="str">
        <f>'Manual Entry'!D451</f>
        <v/>
      </c>
      <c r="E479" s="76" t="str">
        <f>'Manual Entry'!B451</f>
        <v/>
      </c>
      <c r="F479" s="76" t="str">
        <f>'Manual Entry'!F451</f>
        <v/>
      </c>
      <c r="G479" s="76" t="str">
        <f>'Manual Entry'!G451</f>
        <v/>
      </c>
      <c r="H479" s="76" t="str">
        <f>'Manual Entry'!H451</f>
        <v/>
      </c>
      <c r="I479" s="78" t="str">
        <f>'Manual Entry'!I451</f>
        <v/>
      </c>
      <c r="J479" s="78" t="str">
        <f>'Manual Entry'!J451</f>
        <v/>
      </c>
      <c r="K479" s="78" t="str">
        <f>'Manual Entry'!K451</f>
        <v/>
      </c>
      <c r="L479" s="78" t="str">
        <f>'Manual Entry'!L451</f>
        <v/>
      </c>
      <c r="M479" s="78" t="str">
        <f>'Manual Entry'!M451</f>
        <v/>
      </c>
      <c r="N479" s="78" t="str">
        <f>'Manual Entry'!N451</f>
        <v/>
      </c>
      <c r="O479" s="76">
        <f t="shared" si="6"/>
        <v>0</v>
      </c>
      <c r="P479" s="76">
        <f t="shared" si="7"/>
        <v>0</v>
      </c>
      <c r="Q479" s="76">
        <f t="shared" si="8"/>
        <v>0</v>
      </c>
      <c r="R479" s="76">
        <f t="shared" si="9"/>
        <v>0</v>
      </c>
      <c r="S479" s="76" t="str">
        <f t="shared" si="10"/>
        <v/>
      </c>
      <c r="T479" s="76" t="str">
        <f t="shared" si="11"/>
        <v/>
      </c>
      <c r="U479" s="76" t="str">
        <f t="shared" si="12"/>
        <v/>
      </c>
      <c r="V479" s="76" t="str">
        <f t="shared" si="13"/>
        <v/>
      </c>
      <c r="W479" s="76" t="str">
        <f t="shared" si="14"/>
        <v/>
      </c>
      <c r="X479" s="76" t="str">
        <f t="shared" si="15"/>
        <v/>
      </c>
      <c r="Y479" s="76" t="str">
        <f t="shared" si="16"/>
        <v/>
      </c>
      <c r="Z479" s="76" t="str">
        <f t="shared" si="17"/>
        <v/>
      </c>
      <c r="AA479" s="76" t="str">
        <f t="shared" si="18"/>
        <v/>
      </c>
      <c r="AB479" s="76" t="str">
        <f t="shared" si="19"/>
        <v/>
      </c>
      <c r="AC479" s="76" t="str">
        <f t="shared" si="20"/>
        <v/>
      </c>
      <c r="AD479" s="76" t="str">
        <f t="shared" si="21"/>
        <v/>
      </c>
      <c r="AE479" s="76" t="str">
        <f t="shared" si="22"/>
        <v/>
      </c>
      <c r="AF479" s="76" t="str">
        <f t="shared" si="23"/>
        <v/>
      </c>
      <c r="AG479" s="76" t="str">
        <f t="shared" si="24"/>
        <v/>
      </c>
      <c r="AH479" s="76" t="str">
        <f t="shared" si="25"/>
        <v/>
      </c>
      <c r="AI479" s="76" t="str">
        <f t="shared" si="26"/>
        <v/>
      </c>
      <c r="AJ479" s="76" t="str">
        <f t="shared" si="27"/>
        <v/>
      </c>
      <c r="AK479" s="76" t="str">
        <f t="shared" si="28"/>
        <v/>
      </c>
      <c r="AL479" s="76" t="str">
        <f t="shared" si="29"/>
        <v/>
      </c>
      <c r="AM479" s="76" t="str">
        <f t="shared" si="30"/>
        <v/>
      </c>
      <c r="AN479" s="76" t="str">
        <f t="shared" si="31"/>
        <v/>
      </c>
      <c r="AO479" s="76" t="str">
        <f t="shared" si="32"/>
        <v/>
      </c>
      <c r="AP479" s="76" t="str">
        <f t="shared" si="33"/>
        <v/>
      </c>
    </row>
    <row r="480" ht="15.75" customHeight="1">
      <c r="A480" s="76" t="str">
        <f>IF('Manual Entry'!A452="","",'Manual Entry'!A452)</f>
        <v/>
      </c>
      <c r="B480" s="76" t="str">
        <f t="shared" si="3"/>
        <v/>
      </c>
      <c r="C480" s="76" t="str">
        <f t="shared" si="4"/>
        <v/>
      </c>
      <c r="D480" s="76" t="str">
        <f>'Manual Entry'!D452</f>
        <v/>
      </c>
      <c r="E480" s="76" t="str">
        <f>'Manual Entry'!B452</f>
        <v/>
      </c>
      <c r="F480" s="76" t="str">
        <f>'Manual Entry'!F452</f>
        <v/>
      </c>
      <c r="G480" s="76" t="str">
        <f>'Manual Entry'!G452</f>
        <v/>
      </c>
      <c r="H480" s="76" t="str">
        <f>'Manual Entry'!H452</f>
        <v/>
      </c>
      <c r="I480" s="78" t="str">
        <f>'Manual Entry'!I452</f>
        <v/>
      </c>
      <c r="J480" s="78" t="str">
        <f>'Manual Entry'!J452</f>
        <v/>
      </c>
      <c r="K480" s="78" t="str">
        <f>'Manual Entry'!K452</f>
        <v/>
      </c>
      <c r="L480" s="78" t="str">
        <f>'Manual Entry'!L452</f>
        <v/>
      </c>
      <c r="M480" s="78" t="str">
        <f>'Manual Entry'!M452</f>
        <v/>
      </c>
      <c r="N480" s="78" t="str">
        <f>'Manual Entry'!N452</f>
        <v/>
      </c>
      <c r="O480" s="76">
        <f t="shared" si="6"/>
        <v>0</v>
      </c>
      <c r="P480" s="76">
        <f t="shared" si="7"/>
        <v>0</v>
      </c>
      <c r="Q480" s="76">
        <f t="shared" si="8"/>
        <v>0</v>
      </c>
      <c r="R480" s="76">
        <f t="shared" si="9"/>
        <v>0</v>
      </c>
      <c r="S480" s="76" t="str">
        <f t="shared" si="10"/>
        <v/>
      </c>
      <c r="T480" s="76" t="str">
        <f t="shared" si="11"/>
        <v/>
      </c>
      <c r="U480" s="76" t="str">
        <f t="shared" si="12"/>
        <v/>
      </c>
      <c r="V480" s="76" t="str">
        <f t="shared" si="13"/>
        <v/>
      </c>
      <c r="W480" s="76" t="str">
        <f t="shared" si="14"/>
        <v/>
      </c>
      <c r="X480" s="76" t="str">
        <f t="shared" si="15"/>
        <v/>
      </c>
      <c r="Y480" s="76" t="str">
        <f t="shared" si="16"/>
        <v/>
      </c>
      <c r="Z480" s="76" t="str">
        <f t="shared" si="17"/>
        <v/>
      </c>
      <c r="AA480" s="76" t="str">
        <f t="shared" si="18"/>
        <v/>
      </c>
      <c r="AB480" s="76" t="str">
        <f t="shared" si="19"/>
        <v/>
      </c>
      <c r="AC480" s="76" t="str">
        <f t="shared" si="20"/>
        <v/>
      </c>
      <c r="AD480" s="76" t="str">
        <f t="shared" si="21"/>
        <v/>
      </c>
      <c r="AE480" s="76" t="str">
        <f t="shared" si="22"/>
        <v/>
      </c>
      <c r="AF480" s="76" t="str">
        <f t="shared" si="23"/>
        <v/>
      </c>
      <c r="AG480" s="76" t="str">
        <f t="shared" si="24"/>
        <v/>
      </c>
      <c r="AH480" s="76" t="str">
        <f t="shared" si="25"/>
        <v/>
      </c>
      <c r="AI480" s="76" t="str">
        <f t="shared" si="26"/>
        <v/>
      </c>
      <c r="AJ480" s="76" t="str">
        <f t="shared" si="27"/>
        <v/>
      </c>
      <c r="AK480" s="76" t="str">
        <f t="shared" si="28"/>
        <v/>
      </c>
      <c r="AL480" s="76" t="str">
        <f t="shared" si="29"/>
        <v/>
      </c>
      <c r="AM480" s="76" t="str">
        <f t="shared" si="30"/>
        <v/>
      </c>
      <c r="AN480" s="76" t="str">
        <f t="shared" si="31"/>
        <v/>
      </c>
      <c r="AO480" s="76" t="str">
        <f t="shared" si="32"/>
        <v/>
      </c>
      <c r="AP480" s="76" t="str">
        <f t="shared" si="33"/>
        <v/>
      </c>
    </row>
    <row r="481" ht="15.75" customHeight="1">
      <c r="A481" s="76" t="str">
        <f>IF('Manual Entry'!A453="","",'Manual Entry'!A453)</f>
        <v/>
      </c>
      <c r="B481" s="76" t="str">
        <f t="shared" si="3"/>
        <v/>
      </c>
      <c r="C481" s="76" t="str">
        <f t="shared" si="4"/>
        <v/>
      </c>
      <c r="D481" s="76" t="str">
        <f>'Manual Entry'!D453</f>
        <v/>
      </c>
      <c r="E481" s="76" t="str">
        <f>'Manual Entry'!B453</f>
        <v/>
      </c>
      <c r="F481" s="76" t="str">
        <f>'Manual Entry'!F453</f>
        <v/>
      </c>
      <c r="G481" s="76" t="str">
        <f>'Manual Entry'!G453</f>
        <v/>
      </c>
      <c r="H481" s="76" t="str">
        <f>'Manual Entry'!H453</f>
        <v/>
      </c>
      <c r="I481" s="78" t="str">
        <f>'Manual Entry'!I453</f>
        <v/>
      </c>
      <c r="J481" s="78" t="str">
        <f>'Manual Entry'!J453</f>
        <v/>
      </c>
      <c r="K481" s="78" t="str">
        <f>'Manual Entry'!K453</f>
        <v/>
      </c>
      <c r="L481" s="78" t="str">
        <f>'Manual Entry'!L453</f>
        <v/>
      </c>
      <c r="M481" s="78" t="str">
        <f>'Manual Entry'!M453</f>
        <v/>
      </c>
      <c r="N481" s="78" t="str">
        <f>'Manual Entry'!N453</f>
        <v/>
      </c>
      <c r="O481" s="76">
        <f t="shared" si="6"/>
        <v>0</v>
      </c>
      <c r="P481" s="76">
        <f t="shared" si="7"/>
        <v>0</v>
      </c>
      <c r="Q481" s="76">
        <f t="shared" si="8"/>
        <v>0</v>
      </c>
      <c r="R481" s="76">
        <f t="shared" si="9"/>
        <v>0</v>
      </c>
      <c r="S481" s="76" t="str">
        <f t="shared" si="10"/>
        <v/>
      </c>
      <c r="T481" s="76" t="str">
        <f t="shared" si="11"/>
        <v/>
      </c>
      <c r="U481" s="76" t="str">
        <f t="shared" si="12"/>
        <v/>
      </c>
      <c r="V481" s="76" t="str">
        <f t="shared" si="13"/>
        <v/>
      </c>
      <c r="W481" s="76" t="str">
        <f t="shared" si="14"/>
        <v/>
      </c>
      <c r="X481" s="76" t="str">
        <f t="shared" si="15"/>
        <v/>
      </c>
      <c r="Y481" s="76" t="str">
        <f t="shared" si="16"/>
        <v/>
      </c>
      <c r="Z481" s="76" t="str">
        <f t="shared" si="17"/>
        <v/>
      </c>
      <c r="AA481" s="76" t="str">
        <f t="shared" si="18"/>
        <v/>
      </c>
      <c r="AB481" s="76" t="str">
        <f t="shared" si="19"/>
        <v/>
      </c>
      <c r="AC481" s="76" t="str">
        <f t="shared" si="20"/>
        <v/>
      </c>
      <c r="AD481" s="76" t="str">
        <f t="shared" si="21"/>
        <v/>
      </c>
      <c r="AE481" s="76" t="str">
        <f t="shared" si="22"/>
        <v/>
      </c>
      <c r="AF481" s="76" t="str">
        <f t="shared" si="23"/>
        <v/>
      </c>
      <c r="AG481" s="76" t="str">
        <f t="shared" si="24"/>
        <v/>
      </c>
      <c r="AH481" s="76" t="str">
        <f t="shared" si="25"/>
        <v/>
      </c>
      <c r="AI481" s="76" t="str">
        <f t="shared" si="26"/>
        <v/>
      </c>
      <c r="AJ481" s="76" t="str">
        <f t="shared" si="27"/>
        <v/>
      </c>
      <c r="AK481" s="76" t="str">
        <f t="shared" si="28"/>
        <v/>
      </c>
      <c r="AL481" s="76" t="str">
        <f t="shared" si="29"/>
        <v/>
      </c>
      <c r="AM481" s="76" t="str">
        <f t="shared" si="30"/>
        <v/>
      </c>
      <c r="AN481" s="76" t="str">
        <f t="shared" si="31"/>
        <v/>
      </c>
      <c r="AO481" s="76" t="str">
        <f t="shared" si="32"/>
        <v/>
      </c>
      <c r="AP481" s="76" t="str">
        <f t="shared" si="33"/>
        <v/>
      </c>
    </row>
    <row r="482" ht="15.75" customHeight="1">
      <c r="A482" s="76" t="str">
        <f>IF('Manual Entry'!A454="","",'Manual Entry'!A454)</f>
        <v/>
      </c>
      <c r="B482" s="76" t="str">
        <f t="shared" si="3"/>
        <v/>
      </c>
      <c r="C482" s="76" t="str">
        <f t="shared" si="4"/>
        <v/>
      </c>
      <c r="D482" s="76" t="str">
        <f>'Manual Entry'!D454</f>
        <v/>
      </c>
      <c r="E482" s="76" t="str">
        <f>'Manual Entry'!B454</f>
        <v/>
      </c>
      <c r="F482" s="76" t="str">
        <f>'Manual Entry'!F454</f>
        <v/>
      </c>
      <c r="G482" s="76" t="str">
        <f>'Manual Entry'!G454</f>
        <v/>
      </c>
      <c r="H482" s="76" t="str">
        <f>'Manual Entry'!H454</f>
        <v/>
      </c>
      <c r="I482" s="78" t="str">
        <f>'Manual Entry'!I454</f>
        <v/>
      </c>
      <c r="J482" s="78" t="str">
        <f>'Manual Entry'!J454</f>
        <v/>
      </c>
      <c r="K482" s="78" t="str">
        <f>'Manual Entry'!K454</f>
        <v/>
      </c>
      <c r="L482" s="78" t="str">
        <f>'Manual Entry'!L454</f>
        <v/>
      </c>
      <c r="M482" s="78" t="str">
        <f>'Manual Entry'!M454</f>
        <v/>
      </c>
      <c r="N482" s="78" t="str">
        <f>'Manual Entry'!N454</f>
        <v/>
      </c>
      <c r="O482" s="76">
        <f t="shared" si="6"/>
        <v>0</v>
      </c>
      <c r="P482" s="76">
        <f t="shared" si="7"/>
        <v>0</v>
      </c>
      <c r="Q482" s="76">
        <f t="shared" si="8"/>
        <v>0</v>
      </c>
      <c r="R482" s="76">
        <f t="shared" si="9"/>
        <v>0</v>
      </c>
      <c r="S482" s="76" t="str">
        <f t="shared" si="10"/>
        <v/>
      </c>
      <c r="T482" s="76" t="str">
        <f t="shared" si="11"/>
        <v/>
      </c>
      <c r="U482" s="76" t="str">
        <f t="shared" si="12"/>
        <v/>
      </c>
      <c r="V482" s="76" t="str">
        <f t="shared" si="13"/>
        <v/>
      </c>
      <c r="W482" s="76" t="str">
        <f t="shared" si="14"/>
        <v/>
      </c>
      <c r="X482" s="76" t="str">
        <f t="shared" si="15"/>
        <v/>
      </c>
      <c r="Y482" s="76" t="str">
        <f t="shared" si="16"/>
        <v/>
      </c>
      <c r="Z482" s="76" t="str">
        <f t="shared" si="17"/>
        <v/>
      </c>
      <c r="AA482" s="76" t="str">
        <f t="shared" si="18"/>
        <v/>
      </c>
      <c r="AB482" s="76" t="str">
        <f t="shared" si="19"/>
        <v/>
      </c>
      <c r="AC482" s="76" t="str">
        <f t="shared" si="20"/>
        <v/>
      </c>
      <c r="AD482" s="76" t="str">
        <f t="shared" si="21"/>
        <v/>
      </c>
      <c r="AE482" s="76" t="str">
        <f t="shared" si="22"/>
        <v/>
      </c>
      <c r="AF482" s="76" t="str">
        <f t="shared" si="23"/>
        <v/>
      </c>
      <c r="AG482" s="76" t="str">
        <f t="shared" si="24"/>
        <v/>
      </c>
      <c r="AH482" s="76" t="str">
        <f t="shared" si="25"/>
        <v/>
      </c>
      <c r="AI482" s="76" t="str">
        <f t="shared" si="26"/>
        <v/>
      </c>
      <c r="AJ482" s="76" t="str">
        <f t="shared" si="27"/>
        <v/>
      </c>
      <c r="AK482" s="76" t="str">
        <f t="shared" si="28"/>
        <v/>
      </c>
      <c r="AL482" s="76" t="str">
        <f t="shared" si="29"/>
        <v/>
      </c>
      <c r="AM482" s="76" t="str">
        <f t="shared" si="30"/>
        <v/>
      </c>
      <c r="AN482" s="76" t="str">
        <f t="shared" si="31"/>
        <v/>
      </c>
      <c r="AO482" s="76" t="str">
        <f t="shared" si="32"/>
        <v/>
      </c>
      <c r="AP482" s="76" t="str">
        <f t="shared" si="33"/>
        <v/>
      </c>
    </row>
    <row r="483" ht="15.75" customHeight="1">
      <c r="A483" s="76" t="str">
        <f>IF('Manual Entry'!A455="","",'Manual Entry'!A455)</f>
        <v/>
      </c>
      <c r="B483" s="76" t="str">
        <f t="shared" si="3"/>
        <v/>
      </c>
      <c r="C483" s="76" t="str">
        <f t="shared" si="4"/>
        <v/>
      </c>
      <c r="D483" s="76" t="str">
        <f>'Manual Entry'!D455</f>
        <v/>
      </c>
      <c r="E483" s="76" t="str">
        <f>'Manual Entry'!B455</f>
        <v/>
      </c>
      <c r="F483" s="76" t="str">
        <f>'Manual Entry'!F455</f>
        <v/>
      </c>
      <c r="G483" s="76" t="str">
        <f>'Manual Entry'!G455</f>
        <v/>
      </c>
      <c r="H483" s="76" t="str">
        <f>'Manual Entry'!H455</f>
        <v/>
      </c>
      <c r="I483" s="78" t="str">
        <f>'Manual Entry'!I455</f>
        <v/>
      </c>
      <c r="J483" s="78" t="str">
        <f>'Manual Entry'!J455</f>
        <v/>
      </c>
      <c r="K483" s="78" t="str">
        <f>'Manual Entry'!K455</f>
        <v/>
      </c>
      <c r="L483" s="78" t="str">
        <f>'Manual Entry'!L455</f>
        <v/>
      </c>
      <c r="M483" s="78" t="str">
        <f>'Manual Entry'!M455</f>
        <v/>
      </c>
      <c r="N483" s="78" t="str">
        <f>'Manual Entry'!N455</f>
        <v/>
      </c>
      <c r="O483" s="76">
        <f t="shared" si="6"/>
        <v>0</v>
      </c>
      <c r="P483" s="76">
        <f t="shared" si="7"/>
        <v>0</v>
      </c>
      <c r="Q483" s="76">
        <f t="shared" si="8"/>
        <v>0</v>
      </c>
      <c r="R483" s="76">
        <f t="shared" si="9"/>
        <v>0</v>
      </c>
      <c r="S483" s="76" t="str">
        <f t="shared" si="10"/>
        <v/>
      </c>
      <c r="T483" s="76" t="str">
        <f t="shared" si="11"/>
        <v/>
      </c>
      <c r="U483" s="76" t="str">
        <f t="shared" si="12"/>
        <v/>
      </c>
      <c r="V483" s="76" t="str">
        <f t="shared" si="13"/>
        <v/>
      </c>
      <c r="W483" s="76" t="str">
        <f t="shared" si="14"/>
        <v/>
      </c>
      <c r="X483" s="76" t="str">
        <f t="shared" si="15"/>
        <v/>
      </c>
      <c r="Y483" s="76" t="str">
        <f t="shared" si="16"/>
        <v/>
      </c>
      <c r="Z483" s="76" t="str">
        <f t="shared" si="17"/>
        <v/>
      </c>
      <c r="AA483" s="76" t="str">
        <f t="shared" si="18"/>
        <v/>
      </c>
      <c r="AB483" s="76" t="str">
        <f t="shared" si="19"/>
        <v/>
      </c>
      <c r="AC483" s="76" t="str">
        <f t="shared" si="20"/>
        <v/>
      </c>
      <c r="AD483" s="76" t="str">
        <f t="shared" si="21"/>
        <v/>
      </c>
      <c r="AE483" s="76" t="str">
        <f t="shared" si="22"/>
        <v/>
      </c>
      <c r="AF483" s="76" t="str">
        <f t="shared" si="23"/>
        <v/>
      </c>
      <c r="AG483" s="76" t="str">
        <f t="shared" si="24"/>
        <v/>
      </c>
      <c r="AH483" s="76" t="str">
        <f t="shared" si="25"/>
        <v/>
      </c>
      <c r="AI483" s="76" t="str">
        <f t="shared" si="26"/>
        <v/>
      </c>
      <c r="AJ483" s="76" t="str">
        <f t="shared" si="27"/>
        <v/>
      </c>
      <c r="AK483" s="76" t="str">
        <f t="shared" si="28"/>
        <v/>
      </c>
      <c r="AL483" s="76" t="str">
        <f t="shared" si="29"/>
        <v/>
      </c>
      <c r="AM483" s="76" t="str">
        <f t="shared" si="30"/>
        <v/>
      </c>
      <c r="AN483" s="76" t="str">
        <f t="shared" si="31"/>
        <v/>
      </c>
      <c r="AO483" s="76" t="str">
        <f t="shared" si="32"/>
        <v/>
      </c>
      <c r="AP483" s="76" t="str">
        <f t="shared" si="33"/>
        <v/>
      </c>
    </row>
    <row r="484" ht="15.75" customHeight="1">
      <c r="A484" s="76" t="str">
        <f>IF('Manual Entry'!A456="","",'Manual Entry'!A456)</f>
        <v/>
      </c>
      <c r="B484" s="76" t="str">
        <f t="shared" si="3"/>
        <v/>
      </c>
      <c r="C484" s="76" t="str">
        <f t="shared" si="4"/>
        <v/>
      </c>
      <c r="D484" s="76" t="str">
        <f>'Manual Entry'!D456</f>
        <v/>
      </c>
      <c r="E484" s="76" t="str">
        <f>'Manual Entry'!B456</f>
        <v/>
      </c>
      <c r="F484" s="76" t="str">
        <f>'Manual Entry'!F456</f>
        <v/>
      </c>
      <c r="G484" s="76" t="str">
        <f>'Manual Entry'!G456</f>
        <v/>
      </c>
      <c r="H484" s="76" t="str">
        <f>'Manual Entry'!H456</f>
        <v/>
      </c>
      <c r="I484" s="78" t="str">
        <f>'Manual Entry'!I456</f>
        <v/>
      </c>
      <c r="J484" s="78" t="str">
        <f>'Manual Entry'!J456</f>
        <v/>
      </c>
      <c r="K484" s="78" t="str">
        <f>'Manual Entry'!K456</f>
        <v/>
      </c>
      <c r="L484" s="78" t="str">
        <f>'Manual Entry'!L456</f>
        <v/>
      </c>
      <c r="M484" s="78" t="str">
        <f>'Manual Entry'!M456</f>
        <v/>
      </c>
      <c r="N484" s="78" t="str">
        <f>'Manual Entry'!N456</f>
        <v/>
      </c>
      <c r="O484" s="76">
        <f t="shared" si="6"/>
        <v>0</v>
      </c>
      <c r="P484" s="76">
        <f t="shared" si="7"/>
        <v>0</v>
      </c>
      <c r="Q484" s="76">
        <f t="shared" si="8"/>
        <v>0</v>
      </c>
      <c r="R484" s="76">
        <f t="shared" si="9"/>
        <v>0</v>
      </c>
      <c r="S484" s="76" t="str">
        <f t="shared" si="10"/>
        <v/>
      </c>
      <c r="T484" s="76" t="str">
        <f t="shared" si="11"/>
        <v/>
      </c>
      <c r="U484" s="76" t="str">
        <f t="shared" si="12"/>
        <v/>
      </c>
      <c r="V484" s="76" t="str">
        <f t="shared" si="13"/>
        <v/>
      </c>
      <c r="W484" s="76" t="str">
        <f t="shared" si="14"/>
        <v/>
      </c>
      <c r="X484" s="76" t="str">
        <f t="shared" si="15"/>
        <v/>
      </c>
      <c r="Y484" s="76" t="str">
        <f t="shared" si="16"/>
        <v/>
      </c>
      <c r="Z484" s="76" t="str">
        <f t="shared" si="17"/>
        <v/>
      </c>
      <c r="AA484" s="76" t="str">
        <f t="shared" si="18"/>
        <v/>
      </c>
      <c r="AB484" s="76" t="str">
        <f t="shared" si="19"/>
        <v/>
      </c>
      <c r="AC484" s="76" t="str">
        <f t="shared" si="20"/>
        <v/>
      </c>
      <c r="AD484" s="76" t="str">
        <f t="shared" si="21"/>
        <v/>
      </c>
      <c r="AE484" s="76" t="str">
        <f t="shared" si="22"/>
        <v/>
      </c>
      <c r="AF484" s="76" t="str">
        <f t="shared" si="23"/>
        <v/>
      </c>
      <c r="AG484" s="76" t="str">
        <f t="shared" si="24"/>
        <v/>
      </c>
      <c r="AH484" s="76" t="str">
        <f t="shared" si="25"/>
        <v/>
      </c>
      <c r="AI484" s="76" t="str">
        <f t="shared" si="26"/>
        <v/>
      </c>
      <c r="AJ484" s="76" t="str">
        <f t="shared" si="27"/>
        <v/>
      </c>
      <c r="AK484" s="76" t="str">
        <f t="shared" si="28"/>
        <v/>
      </c>
      <c r="AL484" s="76" t="str">
        <f t="shared" si="29"/>
        <v/>
      </c>
      <c r="AM484" s="76" t="str">
        <f t="shared" si="30"/>
        <v/>
      </c>
      <c r="AN484" s="76" t="str">
        <f t="shared" si="31"/>
        <v/>
      </c>
      <c r="AO484" s="76" t="str">
        <f t="shared" si="32"/>
        <v/>
      </c>
      <c r="AP484" s="76" t="str">
        <f t="shared" si="33"/>
        <v/>
      </c>
    </row>
    <row r="485" ht="15.75" customHeight="1">
      <c r="A485" s="76" t="str">
        <f>IF('Manual Entry'!A457="","",'Manual Entry'!A457)</f>
        <v/>
      </c>
      <c r="B485" s="76" t="str">
        <f t="shared" si="3"/>
        <v/>
      </c>
      <c r="C485" s="76" t="str">
        <f t="shared" si="4"/>
        <v/>
      </c>
      <c r="D485" s="76" t="str">
        <f>'Manual Entry'!D457</f>
        <v/>
      </c>
      <c r="E485" s="76" t="str">
        <f>'Manual Entry'!B457</f>
        <v/>
      </c>
      <c r="F485" s="76" t="str">
        <f>'Manual Entry'!F457</f>
        <v/>
      </c>
      <c r="G485" s="76" t="str">
        <f>'Manual Entry'!G457</f>
        <v/>
      </c>
      <c r="H485" s="76" t="str">
        <f>'Manual Entry'!H457</f>
        <v/>
      </c>
      <c r="I485" s="78" t="str">
        <f>'Manual Entry'!I457</f>
        <v/>
      </c>
      <c r="J485" s="78" t="str">
        <f>'Manual Entry'!J457</f>
        <v/>
      </c>
      <c r="K485" s="78" t="str">
        <f>'Manual Entry'!K457</f>
        <v/>
      </c>
      <c r="L485" s="78" t="str">
        <f>'Manual Entry'!L457</f>
        <v/>
      </c>
      <c r="M485" s="78" t="str">
        <f>'Manual Entry'!M457</f>
        <v/>
      </c>
      <c r="N485" s="78" t="str">
        <f>'Manual Entry'!N457</f>
        <v/>
      </c>
      <c r="O485" s="76">
        <f t="shared" si="6"/>
        <v>0</v>
      </c>
      <c r="P485" s="76">
        <f t="shared" si="7"/>
        <v>0</v>
      </c>
      <c r="Q485" s="76">
        <f t="shared" si="8"/>
        <v>0</v>
      </c>
      <c r="R485" s="76">
        <f t="shared" si="9"/>
        <v>0</v>
      </c>
      <c r="S485" s="76" t="str">
        <f t="shared" si="10"/>
        <v/>
      </c>
      <c r="T485" s="76" t="str">
        <f t="shared" si="11"/>
        <v/>
      </c>
      <c r="U485" s="76" t="str">
        <f t="shared" si="12"/>
        <v/>
      </c>
      <c r="V485" s="76" t="str">
        <f t="shared" si="13"/>
        <v/>
      </c>
      <c r="W485" s="76" t="str">
        <f t="shared" si="14"/>
        <v/>
      </c>
      <c r="X485" s="76" t="str">
        <f t="shared" si="15"/>
        <v/>
      </c>
      <c r="Y485" s="76" t="str">
        <f t="shared" si="16"/>
        <v/>
      </c>
      <c r="Z485" s="76" t="str">
        <f t="shared" si="17"/>
        <v/>
      </c>
      <c r="AA485" s="76" t="str">
        <f t="shared" si="18"/>
        <v/>
      </c>
      <c r="AB485" s="76" t="str">
        <f t="shared" si="19"/>
        <v/>
      </c>
      <c r="AC485" s="76" t="str">
        <f t="shared" si="20"/>
        <v/>
      </c>
      <c r="AD485" s="76" t="str">
        <f t="shared" si="21"/>
        <v/>
      </c>
      <c r="AE485" s="76" t="str">
        <f t="shared" si="22"/>
        <v/>
      </c>
      <c r="AF485" s="76" t="str">
        <f t="shared" si="23"/>
        <v/>
      </c>
      <c r="AG485" s="76" t="str">
        <f t="shared" si="24"/>
        <v/>
      </c>
      <c r="AH485" s="76" t="str">
        <f t="shared" si="25"/>
        <v/>
      </c>
      <c r="AI485" s="76" t="str">
        <f t="shared" si="26"/>
        <v/>
      </c>
      <c r="AJ485" s="76" t="str">
        <f t="shared" si="27"/>
        <v/>
      </c>
      <c r="AK485" s="76" t="str">
        <f t="shared" si="28"/>
        <v/>
      </c>
      <c r="AL485" s="76" t="str">
        <f t="shared" si="29"/>
        <v/>
      </c>
      <c r="AM485" s="76" t="str">
        <f t="shared" si="30"/>
        <v/>
      </c>
      <c r="AN485" s="76" t="str">
        <f t="shared" si="31"/>
        <v/>
      </c>
      <c r="AO485" s="76" t="str">
        <f t="shared" si="32"/>
        <v/>
      </c>
      <c r="AP485" s="76" t="str">
        <f t="shared" si="33"/>
        <v/>
      </c>
    </row>
    <row r="486" ht="15.75" customHeight="1">
      <c r="A486" s="76" t="str">
        <f>IF('Manual Entry'!A458="","",'Manual Entry'!A458)</f>
        <v/>
      </c>
      <c r="B486" s="76" t="str">
        <f t="shared" si="3"/>
        <v/>
      </c>
      <c r="C486" s="76" t="str">
        <f t="shared" si="4"/>
        <v/>
      </c>
      <c r="D486" s="76" t="str">
        <f>'Manual Entry'!D458</f>
        <v/>
      </c>
      <c r="E486" s="76" t="str">
        <f>'Manual Entry'!B458</f>
        <v/>
      </c>
      <c r="F486" s="76" t="str">
        <f>'Manual Entry'!F458</f>
        <v/>
      </c>
      <c r="G486" s="76" t="str">
        <f>'Manual Entry'!G458</f>
        <v/>
      </c>
      <c r="H486" s="76" t="str">
        <f>'Manual Entry'!H458</f>
        <v/>
      </c>
      <c r="I486" s="78" t="str">
        <f>'Manual Entry'!I458</f>
        <v/>
      </c>
      <c r="J486" s="78" t="str">
        <f>'Manual Entry'!J458</f>
        <v/>
      </c>
      <c r="K486" s="78" t="str">
        <f>'Manual Entry'!K458</f>
        <v/>
      </c>
      <c r="L486" s="78" t="str">
        <f>'Manual Entry'!L458</f>
        <v/>
      </c>
      <c r="M486" s="78" t="str">
        <f>'Manual Entry'!M458</f>
        <v/>
      </c>
      <c r="N486" s="78" t="str">
        <f>'Manual Entry'!N458</f>
        <v/>
      </c>
      <c r="O486" s="76">
        <f t="shared" si="6"/>
        <v>0</v>
      </c>
      <c r="P486" s="76">
        <f t="shared" si="7"/>
        <v>0</v>
      </c>
      <c r="Q486" s="76">
        <f t="shared" si="8"/>
        <v>0</v>
      </c>
      <c r="R486" s="76">
        <f t="shared" si="9"/>
        <v>0</v>
      </c>
      <c r="S486" s="76" t="str">
        <f t="shared" si="10"/>
        <v/>
      </c>
      <c r="T486" s="76" t="str">
        <f t="shared" si="11"/>
        <v/>
      </c>
      <c r="U486" s="76" t="str">
        <f t="shared" si="12"/>
        <v/>
      </c>
      <c r="V486" s="76" t="str">
        <f t="shared" si="13"/>
        <v/>
      </c>
      <c r="W486" s="76" t="str">
        <f t="shared" si="14"/>
        <v/>
      </c>
      <c r="X486" s="76" t="str">
        <f t="shared" si="15"/>
        <v/>
      </c>
      <c r="Y486" s="76" t="str">
        <f t="shared" si="16"/>
        <v/>
      </c>
      <c r="Z486" s="76" t="str">
        <f t="shared" si="17"/>
        <v/>
      </c>
      <c r="AA486" s="76" t="str">
        <f t="shared" si="18"/>
        <v/>
      </c>
      <c r="AB486" s="76" t="str">
        <f t="shared" si="19"/>
        <v/>
      </c>
      <c r="AC486" s="76" t="str">
        <f t="shared" si="20"/>
        <v/>
      </c>
      <c r="AD486" s="76" t="str">
        <f t="shared" si="21"/>
        <v/>
      </c>
      <c r="AE486" s="76" t="str">
        <f t="shared" si="22"/>
        <v/>
      </c>
      <c r="AF486" s="76" t="str">
        <f t="shared" si="23"/>
        <v/>
      </c>
      <c r="AG486" s="76" t="str">
        <f t="shared" si="24"/>
        <v/>
      </c>
      <c r="AH486" s="76" t="str">
        <f t="shared" si="25"/>
        <v/>
      </c>
      <c r="AI486" s="76" t="str">
        <f t="shared" si="26"/>
        <v/>
      </c>
      <c r="AJ486" s="76" t="str">
        <f t="shared" si="27"/>
        <v/>
      </c>
      <c r="AK486" s="76" t="str">
        <f t="shared" si="28"/>
        <v/>
      </c>
      <c r="AL486" s="76" t="str">
        <f t="shared" si="29"/>
        <v/>
      </c>
      <c r="AM486" s="76" t="str">
        <f t="shared" si="30"/>
        <v/>
      </c>
      <c r="AN486" s="76" t="str">
        <f t="shared" si="31"/>
        <v/>
      </c>
      <c r="AO486" s="76" t="str">
        <f t="shared" si="32"/>
        <v/>
      </c>
      <c r="AP486" s="76" t="str">
        <f t="shared" si="33"/>
        <v/>
      </c>
    </row>
    <row r="487" ht="15.75" customHeight="1">
      <c r="A487" s="76" t="str">
        <f>IF('Manual Entry'!A459="","",'Manual Entry'!A459)</f>
        <v/>
      </c>
      <c r="B487" s="76" t="str">
        <f t="shared" si="3"/>
        <v/>
      </c>
      <c r="C487" s="76" t="str">
        <f t="shared" si="4"/>
        <v/>
      </c>
      <c r="D487" s="76" t="str">
        <f>'Manual Entry'!D459</f>
        <v/>
      </c>
      <c r="E487" s="76" t="str">
        <f>'Manual Entry'!B459</f>
        <v/>
      </c>
      <c r="F487" s="76" t="str">
        <f>'Manual Entry'!F459</f>
        <v/>
      </c>
      <c r="G487" s="76" t="str">
        <f>'Manual Entry'!G459</f>
        <v/>
      </c>
      <c r="H487" s="76" t="str">
        <f>'Manual Entry'!H459</f>
        <v/>
      </c>
      <c r="I487" s="78" t="str">
        <f>'Manual Entry'!I459</f>
        <v/>
      </c>
      <c r="J487" s="78" t="str">
        <f>'Manual Entry'!J459</f>
        <v/>
      </c>
      <c r="K487" s="78" t="str">
        <f>'Manual Entry'!K459</f>
        <v/>
      </c>
      <c r="L487" s="78" t="str">
        <f>'Manual Entry'!L459</f>
        <v/>
      </c>
      <c r="M487" s="78" t="str">
        <f>'Manual Entry'!M459</f>
        <v/>
      </c>
      <c r="N487" s="78" t="str">
        <f>'Manual Entry'!N459</f>
        <v/>
      </c>
      <c r="O487" s="76">
        <f t="shared" si="6"/>
        <v>0</v>
      </c>
      <c r="P487" s="76">
        <f t="shared" si="7"/>
        <v>0</v>
      </c>
      <c r="Q487" s="76">
        <f t="shared" si="8"/>
        <v>0</v>
      </c>
      <c r="R487" s="76">
        <f t="shared" si="9"/>
        <v>0</v>
      </c>
      <c r="S487" s="76" t="str">
        <f t="shared" si="10"/>
        <v/>
      </c>
      <c r="T487" s="76" t="str">
        <f t="shared" si="11"/>
        <v/>
      </c>
      <c r="U487" s="76" t="str">
        <f t="shared" si="12"/>
        <v/>
      </c>
      <c r="V487" s="76" t="str">
        <f t="shared" si="13"/>
        <v/>
      </c>
      <c r="W487" s="76" t="str">
        <f t="shared" si="14"/>
        <v/>
      </c>
      <c r="X487" s="76" t="str">
        <f t="shared" si="15"/>
        <v/>
      </c>
      <c r="Y487" s="76" t="str">
        <f t="shared" si="16"/>
        <v/>
      </c>
      <c r="Z487" s="76" t="str">
        <f t="shared" si="17"/>
        <v/>
      </c>
      <c r="AA487" s="76" t="str">
        <f t="shared" si="18"/>
        <v/>
      </c>
      <c r="AB487" s="76" t="str">
        <f t="shared" si="19"/>
        <v/>
      </c>
      <c r="AC487" s="76" t="str">
        <f t="shared" si="20"/>
        <v/>
      </c>
      <c r="AD487" s="76" t="str">
        <f t="shared" si="21"/>
        <v/>
      </c>
      <c r="AE487" s="76" t="str">
        <f t="shared" si="22"/>
        <v/>
      </c>
      <c r="AF487" s="76" t="str">
        <f t="shared" si="23"/>
        <v/>
      </c>
      <c r="AG487" s="76" t="str">
        <f t="shared" si="24"/>
        <v/>
      </c>
      <c r="AH487" s="76" t="str">
        <f t="shared" si="25"/>
        <v/>
      </c>
      <c r="AI487" s="76" t="str">
        <f t="shared" si="26"/>
        <v/>
      </c>
      <c r="AJ487" s="76" t="str">
        <f t="shared" si="27"/>
        <v/>
      </c>
      <c r="AK487" s="76" t="str">
        <f t="shared" si="28"/>
        <v/>
      </c>
      <c r="AL487" s="76" t="str">
        <f t="shared" si="29"/>
        <v/>
      </c>
      <c r="AM487" s="76" t="str">
        <f t="shared" si="30"/>
        <v/>
      </c>
      <c r="AN487" s="76" t="str">
        <f t="shared" si="31"/>
        <v/>
      </c>
      <c r="AO487" s="76" t="str">
        <f t="shared" si="32"/>
        <v/>
      </c>
      <c r="AP487" s="76" t="str">
        <f t="shared" si="33"/>
        <v/>
      </c>
    </row>
    <row r="488" ht="15.75" customHeight="1">
      <c r="A488" s="76" t="str">
        <f>IF('Manual Entry'!A460="","",'Manual Entry'!A460)</f>
        <v/>
      </c>
      <c r="B488" s="76" t="str">
        <f t="shared" si="3"/>
        <v/>
      </c>
      <c r="C488" s="76" t="str">
        <f t="shared" si="4"/>
        <v/>
      </c>
      <c r="D488" s="76" t="str">
        <f>'Manual Entry'!D460</f>
        <v/>
      </c>
      <c r="E488" s="76" t="str">
        <f>'Manual Entry'!B460</f>
        <v/>
      </c>
      <c r="F488" s="76" t="str">
        <f>'Manual Entry'!F460</f>
        <v/>
      </c>
      <c r="G488" s="76" t="str">
        <f>'Manual Entry'!G460</f>
        <v/>
      </c>
      <c r="H488" s="76" t="str">
        <f>'Manual Entry'!H460</f>
        <v/>
      </c>
      <c r="I488" s="78" t="str">
        <f>'Manual Entry'!I460</f>
        <v/>
      </c>
      <c r="J488" s="78" t="str">
        <f>'Manual Entry'!J460</f>
        <v/>
      </c>
      <c r="K488" s="78" t="str">
        <f>'Manual Entry'!K460</f>
        <v/>
      </c>
      <c r="L488" s="78" t="str">
        <f>'Manual Entry'!L460</f>
        <v/>
      </c>
      <c r="M488" s="78" t="str">
        <f>'Manual Entry'!M460</f>
        <v/>
      </c>
      <c r="N488" s="78" t="str">
        <f>'Manual Entry'!N460</f>
        <v/>
      </c>
      <c r="O488" s="76">
        <f t="shared" si="6"/>
        <v>0</v>
      </c>
      <c r="P488" s="76">
        <f t="shared" si="7"/>
        <v>0</v>
      </c>
      <c r="Q488" s="76">
        <f t="shared" si="8"/>
        <v>0</v>
      </c>
      <c r="R488" s="76">
        <f t="shared" si="9"/>
        <v>0</v>
      </c>
      <c r="S488" s="76" t="str">
        <f t="shared" si="10"/>
        <v/>
      </c>
      <c r="T488" s="76" t="str">
        <f t="shared" si="11"/>
        <v/>
      </c>
      <c r="U488" s="76" t="str">
        <f t="shared" si="12"/>
        <v/>
      </c>
      <c r="V488" s="76" t="str">
        <f t="shared" si="13"/>
        <v/>
      </c>
      <c r="W488" s="76" t="str">
        <f t="shared" si="14"/>
        <v/>
      </c>
      <c r="X488" s="76" t="str">
        <f t="shared" si="15"/>
        <v/>
      </c>
      <c r="Y488" s="76" t="str">
        <f t="shared" si="16"/>
        <v/>
      </c>
      <c r="Z488" s="76" t="str">
        <f t="shared" si="17"/>
        <v/>
      </c>
      <c r="AA488" s="76" t="str">
        <f t="shared" si="18"/>
        <v/>
      </c>
      <c r="AB488" s="76" t="str">
        <f t="shared" si="19"/>
        <v/>
      </c>
      <c r="AC488" s="76" t="str">
        <f t="shared" si="20"/>
        <v/>
      </c>
      <c r="AD488" s="76" t="str">
        <f t="shared" si="21"/>
        <v/>
      </c>
      <c r="AE488" s="76" t="str">
        <f t="shared" si="22"/>
        <v/>
      </c>
      <c r="AF488" s="76" t="str">
        <f t="shared" si="23"/>
        <v/>
      </c>
      <c r="AG488" s="76" t="str">
        <f t="shared" si="24"/>
        <v/>
      </c>
      <c r="AH488" s="76" t="str">
        <f t="shared" si="25"/>
        <v/>
      </c>
      <c r="AI488" s="76" t="str">
        <f t="shared" si="26"/>
        <v/>
      </c>
      <c r="AJ488" s="76" t="str">
        <f t="shared" si="27"/>
        <v/>
      </c>
      <c r="AK488" s="76" t="str">
        <f t="shared" si="28"/>
        <v/>
      </c>
      <c r="AL488" s="76" t="str">
        <f t="shared" si="29"/>
        <v/>
      </c>
      <c r="AM488" s="76" t="str">
        <f t="shared" si="30"/>
        <v/>
      </c>
      <c r="AN488" s="76" t="str">
        <f t="shared" si="31"/>
        <v/>
      </c>
      <c r="AO488" s="76" t="str">
        <f t="shared" si="32"/>
        <v/>
      </c>
      <c r="AP488" s="76" t="str">
        <f t="shared" si="33"/>
        <v/>
      </c>
    </row>
    <row r="489" ht="15.75" customHeight="1">
      <c r="A489" s="76" t="str">
        <f>IF('Manual Entry'!A461="","",'Manual Entry'!A461)</f>
        <v/>
      </c>
      <c r="B489" s="76" t="str">
        <f t="shared" si="3"/>
        <v/>
      </c>
      <c r="C489" s="76" t="str">
        <f t="shared" si="4"/>
        <v/>
      </c>
      <c r="D489" s="76" t="str">
        <f>'Manual Entry'!D461</f>
        <v/>
      </c>
      <c r="E489" s="76" t="str">
        <f>'Manual Entry'!B461</f>
        <v/>
      </c>
      <c r="F489" s="76" t="str">
        <f>'Manual Entry'!F461</f>
        <v/>
      </c>
      <c r="G489" s="76" t="str">
        <f>'Manual Entry'!G461</f>
        <v/>
      </c>
      <c r="H489" s="76" t="str">
        <f>'Manual Entry'!H461</f>
        <v/>
      </c>
      <c r="I489" s="78" t="str">
        <f>'Manual Entry'!I461</f>
        <v/>
      </c>
      <c r="J489" s="78" t="str">
        <f>'Manual Entry'!J461</f>
        <v/>
      </c>
      <c r="K489" s="78" t="str">
        <f>'Manual Entry'!K461</f>
        <v/>
      </c>
      <c r="L489" s="78" t="str">
        <f>'Manual Entry'!L461</f>
        <v/>
      </c>
      <c r="M489" s="78" t="str">
        <f>'Manual Entry'!M461</f>
        <v/>
      </c>
      <c r="N489" s="78" t="str">
        <f>'Manual Entry'!N461</f>
        <v/>
      </c>
      <c r="O489" s="76">
        <f t="shared" si="6"/>
        <v>0</v>
      </c>
      <c r="P489" s="76">
        <f t="shared" si="7"/>
        <v>0</v>
      </c>
      <c r="Q489" s="76">
        <f t="shared" si="8"/>
        <v>0</v>
      </c>
      <c r="R489" s="76">
        <f t="shared" si="9"/>
        <v>0</v>
      </c>
      <c r="S489" s="76" t="str">
        <f t="shared" si="10"/>
        <v/>
      </c>
      <c r="T489" s="76" t="str">
        <f t="shared" si="11"/>
        <v/>
      </c>
      <c r="U489" s="76" t="str">
        <f t="shared" si="12"/>
        <v/>
      </c>
      <c r="V489" s="76" t="str">
        <f t="shared" si="13"/>
        <v/>
      </c>
      <c r="W489" s="76" t="str">
        <f t="shared" si="14"/>
        <v/>
      </c>
      <c r="X489" s="76" t="str">
        <f t="shared" si="15"/>
        <v/>
      </c>
      <c r="Y489" s="76" t="str">
        <f t="shared" si="16"/>
        <v/>
      </c>
      <c r="Z489" s="76" t="str">
        <f t="shared" si="17"/>
        <v/>
      </c>
      <c r="AA489" s="76" t="str">
        <f t="shared" si="18"/>
        <v/>
      </c>
      <c r="AB489" s="76" t="str">
        <f t="shared" si="19"/>
        <v/>
      </c>
      <c r="AC489" s="76" t="str">
        <f t="shared" si="20"/>
        <v/>
      </c>
      <c r="AD489" s="76" t="str">
        <f t="shared" si="21"/>
        <v/>
      </c>
      <c r="AE489" s="76" t="str">
        <f t="shared" si="22"/>
        <v/>
      </c>
      <c r="AF489" s="76" t="str">
        <f t="shared" si="23"/>
        <v/>
      </c>
      <c r="AG489" s="76" t="str">
        <f t="shared" si="24"/>
        <v/>
      </c>
      <c r="AH489" s="76" t="str">
        <f t="shared" si="25"/>
        <v/>
      </c>
      <c r="AI489" s="76" t="str">
        <f t="shared" si="26"/>
        <v/>
      </c>
      <c r="AJ489" s="76" t="str">
        <f t="shared" si="27"/>
        <v/>
      </c>
      <c r="AK489" s="76" t="str">
        <f t="shared" si="28"/>
        <v/>
      </c>
      <c r="AL489" s="76" t="str">
        <f t="shared" si="29"/>
        <v/>
      </c>
      <c r="AM489" s="76" t="str">
        <f t="shared" si="30"/>
        <v/>
      </c>
      <c r="AN489" s="76" t="str">
        <f t="shared" si="31"/>
        <v/>
      </c>
      <c r="AO489" s="76" t="str">
        <f t="shared" si="32"/>
        <v/>
      </c>
      <c r="AP489" s="76" t="str">
        <f t="shared" si="33"/>
        <v/>
      </c>
    </row>
    <row r="490" ht="15.75" customHeight="1">
      <c r="A490" s="76" t="str">
        <f>IF('Manual Entry'!A462="","",'Manual Entry'!A462)</f>
        <v/>
      </c>
      <c r="B490" s="76" t="str">
        <f t="shared" si="3"/>
        <v/>
      </c>
      <c r="C490" s="76" t="str">
        <f t="shared" si="4"/>
        <v/>
      </c>
      <c r="D490" s="76" t="str">
        <f>'Manual Entry'!D462</f>
        <v/>
      </c>
      <c r="E490" s="76" t="str">
        <f>'Manual Entry'!B462</f>
        <v/>
      </c>
      <c r="F490" s="76" t="str">
        <f>'Manual Entry'!F462</f>
        <v/>
      </c>
      <c r="G490" s="76" t="str">
        <f>'Manual Entry'!G462</f>
        <v/>
      </c>
      <c r="H490" s="76" t="str">
        <f>'Manual Entry'!H462</f>
        <v/>
      </c>
      <c r="I490" s="78" t="str">
        <f>'Manual Entry'!I462</f>
        <v/>
      </c>
      <c r="J490" s="78" t="str">
        <f>'Manual Entry'!J462</f>
        <v/>
      </c>
      <c r="K490" s="78" t="str">
        <f>'Manual Entry'!K462</f>
        <v/>
      </c>
      <c r="L490" s="78" t="str">
        <f>'Manual Entry'!L462</f>
        <v/>
      </c>
      <c r="M490" s="78" t="str">
        <f>'Manual Entry'!M462</f>
        <v/>
      </c>
      <c r="N490" s="78" t="str">
        <f>'Manual Entry'!N462</f>
        <v/>
      </c>
      <c r="O490" s="76">
        <f t="shared" si="6"/>
        <v>0</v>
      </c>
      <c r="P490" s="76">
        <f t="shared" si="7"/>
        <v>0</v>
      </c>
      <c r="Q490" s="76">
        <f t="shared" si="8"/>
        <v>0</v>
      </c>
      <c r="R490" s="76">
        <f t="shared" si="9"/>
        <v>0</v>
      </c>
      <c r="S490" s="76" t="str">
        <f t="shared" si="10"/>
        <v/>
      </c>
      <c r="T490" s="76" t="str">
        <f t="shared" si="11"/>
        <v/>
      </c>
      <c r="U490" s="76" t="str">
        <f t="shared" si="12"/>
        <v/>
      </c>
      <c r="V490" s="76" t="str">
        <f t="shared" si="13"/>
        <v/>
      </c>
      <c r="W490" s="76" t="str">
        <f t="shared" si="14"/>
        <v/>
      </c>
      <c r="X490" s="76" t="str">
        <f t="shared" si="15"/>
        <v/>
      </c>
      <c r="Y490" s="76" t="str">
        <f t="shared" si="16"/>
        <v/>
      </c>
      <c r="Z490" s="76" t="str">
        <f t="shared" si="17"/>
        <v/>
      </c>
      <c r="AA490" s="76" t="str">
        <f t="shared" si="18"/>
        <v/>
      </c>
      <c r="AB490" s="76" t="str">
        <f t="shared" si="19"/>
        <v/>
      </c>
      <c r="AC490" s="76" t="str">
        <f t="shared" si="20"/>
        <v/>
      </c>
      <c r="AD490" s="76" t="str">
        <f t="shared" si="21"/>
        <v/>
      </c>
      <c r="AE490" s="76" t="str">
        <f t="shared" si="22"/>
        <v/>
      </c>
      <c r="AF490" s="76" t="str">
        <f t="shared" si="23"/>
        <v/>
      </c>
      <c r="AG490" s="76" t="str">
        <f t="shared" si="24"/>
        <v/>
      </c>
      <c r="AH490" s="76" t="str">
        <f t="shared" si="25"/>
        <v/>
      </c>
      <c r="AI490" s="76" t="str">
        <f t="shared" si="26"/>
        <v/>
      </c>
      <c r="AJ490" s="76" t="str">
        <f t="shared" si="27"/>
        <v/>
      </c>
      <c r="AK490" s="76" t="str">
        <f t="shared" si="28"/>
        <v/>
      </c>
      <c r="AL490" s="76" t="str">
        <f t="shared" si="29"/>
        <v/>
      </c>
      <c r="AM490" s="76" t="str">
        <f t="shared" si="30"/>
        <v/>
      </c>
      <c r="AN490" s="76" t="str">
        <f t="shared" si="31"/>
        <v/>
      </c>
      <c r="AO490" s="76" t="str">
        <f t="shared" si="32"/>
        <v/>
      </c>
      <c r="AP490" s="76" t="str">
        <f t="shared" si="33"/>
        <v/>
      </c>
    </row>
    <row r="491" ht="15.75" customHeight="1">
      <c r="A491" s="76" t="str">
        <f>IF('Manual Entry'!A463="","",'Manual Entry'!A463)</f>
        <v/>
      </c>
      <c r="B491" s="76" t="str">
        <f t="shared" si="3"/>
        <v/>
      </c>
      <c r="C491" s="76" t="str">
        <f t="shared" si="4"/>
        <v/>
      </c>
      <c r="D491" s="76" t="str">
        <f>'Manual Entry'!D463</f>
        <v/>
      </c>
      <c r="E491" s="76" t="str">
        <f>'Manual Entry'!B463</f>
        <v/>
      </c>
      <c r="F491" s="76" t="str">
        <f>'Manual Entry'!F463</f>
        <v/>
      </c>
      <c r="G491" s="76" t="str">
        <f>'Manual Entry'!G463</f>
        <v/>
      </c>
      <c r="H491" s="76" t="str">
        <f>'Manual Entry'!H463</f>
        <v/>
      </c>
      <c r="I491" s="78" t="str">
        <f>'Manual Entry'!I463</f>
        <v/>
      </c>
      <c r="J491" s="78" t="str">
        <f>'Manual Entry'!J463</f>
        <v/>
      </c>
      <c r="K491" s="78" t="str">
        <f>'Manual Entry'!K463</f>
        <v/>
      </c>
      <c r="L491" s="78" t="str">
        <f>'Manual Entry'!L463</f>
        <v/>
      </c>
      <c r="M491" s="78" t="str">
        <f>'Manual Entry'!M463</f>
        <v/>
      </c>
      <c r="N491" s="78" t="str">
        <f>'Manual Entry'!N463</f>
        <v/>
      </c>
      <c r="O491" s="76">
        <f t="shared" si="6"/>
        <v>0</v>
      </c>
      <c r="P491" s="76">
        <f t="shared" si="7"/>
        <v>0</v>
      </c>
      <c r="Q491" s="76">
        <f t="shared" si="8"/>
        <v>0</v>
      </c>
      <c r="R491" s="76">
        <f t="shared" si="9"/>
        <v>0</v>
      </c>
      <c r="S491" s="76" t="str">
        <f t="shared" si="10"/>
        <v/>
      </c>
      <c r="T491" s="76" t="str">
        <f t="shared" si="11"/>
        <v/>
      </c>
      <c r="U491" s="76" t="str">
        <f t="shared" si="12"/>
        <v/>
      </c>
      <c r="V491" s="76" t="str">
        <f t="shared" si="13"/>
        <v/>
      </c>
      <c r="W491" s="76" t="str">
        <f t="shared" si="14"/>
        <v/>
      </c>
      <c r="X491" s="76" t="str">
        <f t="shared" si="15"/>
        <v/>
      </c>
      <c r="Y491" s="76" t="str">
        <f t="shared" si="16"/>
        <v/>
      </c>
      <c r="Z491" s="76" t="str">
        <f t="shared" si="17"/>
        <v/>
      </c>
      <c r="AA491" s="76" t="str">
        <f t="shared" si="18"/>
        <v/>
      </c>
      <c r="AB491" s="76" t="str">
        <f t="shared" si="19"/>
        <v/>
      </c>
      <c r="AC491" s="76" t="str">
        <f t="shared" si="20"/>
        <v/>
      </c>
      <c r="AD491" s="76" t="str">
        <f t="shared" si="21"/>
        <v/>
      </c>
      <c r="AE491" s="76" t="str">
        <f t="shared" si="22"/>
        <v/>
      </c>
      <c r="AF491" s="76" t="str">
        <f t="shared" si="23"/>
        <v/>
      </c>
      <c r="AG491" s="76" t="str">
        <f t="shared" si="24"/>
        <v/>
      </c>
      <c r="AH491" s="76" t="str">
        <f t="shared" si="25"/>
        <v/>
      </c>
      <c r="AI491" s="76" t="str">
        <f t="shared" si="26"/>
        <v/>
      </c>
      <c r="AJ491" s="76" t="str">
        <f t="shared" si="27"/>
        <v/>
      </c>
      <c r="AK491" s="76" t="str">
        <f t="shared" si="28"/>
        <v/>
      </c>
      <c r="AL491" s="76" t="str">
        <f t="shared" si="29"/>
        <v/>
      </c>
      <c r="AM491" s="76" t="str">
        <f t="shared" si="30"/>
        <v/>
      </c>
      <c r="AN491" s="76" t="str">
        <f t="shared" si="31"/>
        <v/>
      </c>
      <c r="AO491" s="76" t="str">
        <f t="shared" si="32"/>
        <v/>
      </c>
      <c r="AP491" s="76" t="str">
        <f t="shared" si="33"/>
        <v/>
      </c>
    </row>
    <row r="492" ht="15.75" customHeight="1">
      <c r="A492" s="76" t="str">
        <f>IF('Manual Entry'!A464="","",'Manual Entry'!A464)</f>
        <v/>
      </c>
      <c r="B492" s="76" t="str">
        <f t="shared" si="3"/>
        <v/>
      </c>
      <c r="C492" s="76" t="str">
        <f t="shared" si="4"/>
        <v/>
      </c>
      <c r="D492" s="76" t="str">
        <f>'Manual Entry'!D464</f>
        <v/>
      </c>
      <c r="E492" s="76" t="str">
        <f>'Manual Entry'!B464</f>
        <v/>
      </c>
      <c r="F492" s="76" t="str">
        <f>'Manual Entry'!F464</f>
        <v/>
      </c>
      <c r="G492" s="76" t="str">
        <f>'Manual Entry'!G464</f>
        <v/>
      </c>
      <c r="H492" s="76" t="str">
        <f>'Manual Entry'!H464</f>
        <v/>
      </c>
      <c r="I492" s="78" t="str">
        <f>'Manual Entry'!I464</f>
        <v/>
      </c>
      <c r="J492" s="78" t="str">
        <f>'Manual Entry'!J464</f>
        <v/>
      </c>
      <c r="K492" s="78" t="str">
        <f>'Manual Entry'!K464</f>
        <v/>
      </c>
      <c r="L492" s="78" t="str">
        <f>'Manual Entry'!L464</f>
        <v/>
      </c>
      <c r="M492" s="78" t="str">
        <f>'Manual Entry'!M464</f>
        <v/>
      </c>
      <c r="N492" s="78" t="str">
        <f>'Manual Entry'!N464</f>
        <v/>
      </c>
      <c r="O492" s="76">
        <f t="shared" si="6"/>
        <v>0</v>
      </c>
      <c r="P492" s="76">
        <f t="shared" si="7"/>
        <v>0</v>
      </c>
      <c r="Q492" s="76">
        <f t="shared" si="8"/>
        <v>0</v>
      </c>
      <c r="R492" s="76">
        <f t="shared" si="9"/>
        <v>0</v>
      </c>
      <c r="S492" s="76" t="str">
        <f t="shared" si="10"/>
        <v/>
      </c>
      <c r="T492" s="76" t="str">
        <f t="shared" si="11"/>
        <v/>
      </c>
      <c r="U492" s="76" t="str">
        <f t="shared" si="12"/>
        <v/>
      </c>
      <c r="V492" s="76" t="str">
        <f t="shared" si="13"/>
        <v/>
      </c>
      <c r="W492" s="76" t="str">
        <f t="shared" si="14"/>
        <v/>
      </c>
      <c r="X492" s="76" t="str">
        <f t="shared" si="15"/>
        <v/>
      </c>
      <c r="Y492" s="76" t="str">
        <f t="shared" si="16"/>
        <v/>
      </c>
      <c r="Z492" s="76" t="str">
        <f t="shared" si="17"/>
        <v/>
      </c>
      <c r="AA492" s="76" t="str">
        <f t="shared" si="18"/>
        <v/>
      </c>
      <c r="AB492" s="76" t="str">
        <f t="shared" si="19"/>
        <v/>
      </c>
      <c r="AC492" s="76" t="str">
        <f t="shared" si="20"/>
        <v/>
      </c>
      <c r="AD492" s="76" t="str">
        <f t="shared" si="21"/>
        <v/>
      </c>
      <c r="AE492" s="76" t="str">
        <f t="shared" si="22"/>
        <v/>
      </c>
      <c r="AF492" s="76" t="str">
        <f t="shared" si="23"/>
        <v/>
      </c>
      <c r="AG492" s="76" t="str">
        <f t="shared" si="24"/>
        <v/>
      </c>
      <c r="AH492" s="76" t="str">
        <f t="shared" si="25"/>
        <v/>
      </c>
      <c r="AI492" s="76" t="str">
        <f t="shared" si="26"/>
        <v/>
      </c>
      <c r="AJ492" s="76" t="str">
        <f t="shared" si="27"/>
        <v/>
      </c>
      <c r="AK492" s="76" t="str">
        <f t="shared" si="28"/>
        <v/>
      </c>
      <c r="AL492" s="76" t="str">
        <f t="shared" si="29"/>
        <v/>
      </c>
      <c r="AM492" s="76" t="str">
        <f t="shared" si="30"/>
        <v/>
      </c>
      <c r="AN492" s="76" t="str">
        <f t="shared" si="31"/>
        <v/>
      </c>
      <c r="AO492" s="76" t="str">
        <f t="shared" si="32"/>
        <v/>
      </c>
      <c r="AP492" s="76" t="str">
        <f t="shared" si="33"/>
        <v/>
      </c>
    </row>
    <row r="493" ht="15.75" customHeight="1">
      <c r="A493" s="76" t="str">
        <f>IF('Manual Entry'!A465="","",'Manual Entry'!A465)</f>
        <v/>
      </c>
      <c r="B493" s="76" t="str">
        <f t="shared" si="3"/>
        <v/>
      </c>
      <c r="C493" s="76" t="str">
        <f t="shared" si="4"/>
        <v/>
      </c>
      <c r="D493" s="76" t="str">
        <f>'Manual Entry'!D465</f>
        <v/>
      </c>
      <c r="E493" s="76" t="str">
        <f>'Manual Entry'!B465</f>
        <v/>
      </c>
      <c r="F493" s="76" t="str">
        <f>'Manual Entry'!F465</f>
        <v/>
      </c>
      <c r="G493" s="76" t="str">
        <f>'Manual Entry'!G465</f>
        <v/>
      </c>
      <c r="H493" s="76" t="str">
        <f>'Manual Entry'!H465</f>
        <v/>
      </c>
      <c r="I493" s="78" t="str">
        <f>'Manual Entry'!I465</f>
        <v/>
      </c>
      <c r="J493" s="78" t="str">
        <f>'Manual Entry'!J465</f>
        <v/>
      </c>
      <c r="K493" s="78" t="str">
        <f>'Manual Entry'!K465</f>
        <v/>
      </c>
      <c r="L493" s="78" t="str">
        <f>'Manual Entry'!L465</f>
        <v/>
      </c>
      <c r="M493" s="78" t="str">
        <f>'Manual Entry'!M465</f>
        <v/>
      </c>
      <c r="N493" s="78" t="str">
        <f>'Manual Entry'!N465</f>
        <v/>
      </c>
      <c r="O493" s="76">
        <f t="shared" si="6"/>
        <v>0</v>
      </c>
      <c r="P493" s="76">
        <f t="shared" si="7"/>
        <v>0</v>
      </c>
      <c r="Q493" s="76">
        <f t="shared" si="8"/>
        <v>0</v>
      </c>
      <c r="R493" s="76">
        <f t="shared" si="9"/>
        <v>0</v>
      </c>
      <c r="S493" s="76" t="str">
        <f t="shared" si="10"/>
        <v/>
      </c>
      <c r="T493" s="76" t="str">
        <f t="shared" si="11"/>
        <v/>
      </c>
      <c r="U493" s="76" t="str">
        <f t="shared" si="12"/>
        <v/>
      </c>
      <c r="V493" s="76" t="str">
        <f t="shared" si="13"/>
        <v/>
      </c>
      <c r="W493" s="76" t="str">
        <f t="shared" si="14"/>
        <v/>
      </c>
      <c r="X493" s="76" t="str">
        <f t="shared" si="15"/>
        <v/>
      </c>
      <c r="Y493" s="76" t="str">
        <f t="shared" si="16"/>
        <v/>
      </c>
      <c r="Z493" s="76" t="str">
        <f t="shared" si="17"/>
        <v/>
      </c>
      <c r="AA493" s="76" t="str">
        <f t="shared" si="18"/>
        <v/>
      </c>
      <c r="AB493" s="76" t="str">
        <f t="shared" si="19"/>
        <v/>
      </c>
      <c r="AC493" s="76" t="str">
        <f t="shared" si="20"/>
        <v/>
      </c>
      <c r="AD493" s="76" t="str">
        <f t="shared" si="21"/>
        <v/>
      </c>
      <c r="AE493" s="76" t="str">
        <f t="shared" si="22"/>
        <v/>
      </c>
      <c r="AF493" s="76" t="str">
        <f t="shared" si="23"/>
        <v/>
      </c>
      <c r="AG493" s="76" t="str">
        <f t="shared" si="24"/>
        <v/>
      </c>
      <c r="AH493" s="76" t="str">
        <f t="shared" si="25"/>
        <v/>
      </c>
      <c r="AI493" s="76" t="str">
        <f t="shared" si="26"/>
        <v/>
      </c>
      <c r="AJ493" s="76" t="str">
        <f t="shared" si="27"/>
        <v/>
      </c>
      <c r="AK493" s="76" t="str">
        <f t="shared" si="28"/>
        <v/>
      </c>
      <c r="AL493" s="76" t="str">
        <f t="shared" si="29"/>
        <v/>
      </c>
      <c r="AM493" s="76" t="str">
        <f t="shared" si="30"/>
        <v/>
      </c>
      <c r="AN493" s="76" t="str">
        <f t="shared" si="31"/>
        <v/>
      </c>
      <c r="AO493" s="76" t="str">
        <f t="shared" si="32"/>
        <v/>
      </c>
      <c r="AP493" s="76" t="str">
        <f t="shared" si="33"/>
        <v/>
      </c>
    </row>
    <row r="494" ht="15.75" customHeight="1">
      <c r="A494" s="76" t="str">
        <f>IF('Manual Entry'!A466="","",'Manual Entry'!A466)</f>
        <v/>
      </c>
      <c r="B494" s="76" t="str">
        <f t="shared" si="3"/>
        <v/>
      </c>
      <c r="C494" s="76" t="str">
        <f t="shared" si="4"/>
        <v/>
      </c>
      <c r="D494" s="76" t="str">
        <f>'Manual Entry'!D466</f>
        <v/>
      </c>
      <c r="E494" s="76" t="str">
        <f>'Manual Entry'!B466</f>
        <v/>
      </c>
      <c r="F494" s="76" t="str">
        <f>'Manual Entry'!F466</f>
        <v/>
      </c>
      <c r="G494" s="76" t="str">
        <f>'Manual Entry'!G466</f>
        <v/>
      </c>
      <c r="H494" s="76" t="str">
        <f>'Manual Entry'!H466</f>
        <v/>
      </c>
      <c r="I494" s="78" t="str">
        <f>'Manual Entry'!I466</f>
        <v/>
      </c>
      <c r="J494" s="78" t="str">
        <f>'Manual Entry'!J466</f>
        <v/>
      </c>
      <c r="K494" s="78" t="str">
        <f>'Manual Entry'!K466</f>
        <v/>
      </c>
      <c r="L494" s="78" t="str">
        <f>'Manual Entry'!L466</f>
        <v/>
      </c>
      <c r="M494" s="78" t="str">
        <f>'Manual Entry'!M466</f>
        <v/>
      </c>
      <c r="N494" s="78" t="str">
        <f>'Manual Entry'!N466</f>
        <v/>
      </c>
      <c r="O494" s="76">
        <f t="shared" si="6"/>
        <v>0</v>
      </c>
      <c r="P494" s="76">
        <f t="shared" si="7"/>
        <v>0</v>
      </c>
      <c r="Q494" s="76">
        <f t="shared" si="8"/>
        <v>0</v>
      </c>
      <c r="R494" s="76">
        <f t="shared" si="9"/>
        <v>0</v>
      </c>
      <c r="S494" s="76" t="str">
        <f t="shared" si="10"/>
        <v/>
      </c>
      <c r="T494" s="76" t="str">
        <f t="shared" si="11"/>
        <v/>
      </c>
      <c r="U494" s="76" t="str">
        <f t="shared" si="12"/>
        <v/>
      </c>
      <c r="V494" s="76" t="str">
        <f t="shared" si="13"/>
        <v/>
      </c>
      <c r="W494" s="76" t="str">
        <f t="shared" si="14"/>
        <v/>
      </c>
      <c r="X494" s="76" t="str">
        <f t="shared" si="15"/>
        <v/>
      </c>
      <c r="Y494" s="76" t="str">
        <f t="shared" si="16"/>
        <v/>
      </c>
      <c r="Z494" s="76" t="str">
        <f t="shared" si="17"/>
        <v/>
      </c>
      <c r="AA494" s="76" t="str">
        <f t="shared" si="18"/>
        <v/>
      </c>
      <c r="AB494" s="76" t="str">
        <f t="shared" si="19"/>
        <v/>
      </c>
      <c r="AC494" s="76" t="str">
        <f t="shared" si="20"/>
        <v/>
      </c>
      <c r="AD494" s="76" t="str">
        <f t="shared" si="21"/>
        <v/>
      </c>
      <c r="AE494" s="76" t="str">
        <f t="shared" si="22"/>
        <v/>
      </c>
      <c r="AF494" s="76" t="str">
        <f t="shared" si="23"/>
        <v/>
      </c>
      <c r="AG494" s="76" t="str">
        <f t="shared" si="24"/>
        <v/>
      </c>
      <c r="AH494" s="76" t="str">
        <f t="shared" si="25"/>
        <v/>
      </c>
      <c r="AI494" s="76" t="str">
        <f t="shared" si="26"/>
        <v/>
      </c>
      <c r="AJ494" s="76" t="str">
        <f t="shared" si="27"/>
        <v/>
      </c>
      <c r="AK494" s="76" t="str">
        <f t="shared" si="28"/>
        <v/>
      </c>
      <c r="AL494" s="76" t="str">
        <f t="shared" si="29"/>
        <v/>
      </c>
      <c r="AM494" s="76" t="str">
        <f t="shared" si="30"/>
        <v/>
      </c>
      <c r="AN494" s="76" t="str">
        <f t="shared" si="31"/>
        <v/>
      </c>
      <c r="AO494" s="76" t="str">
        <f t="shared" si="32"/>
        <v/>
      </c>
      <c r="AP494" s="76" t="str">
        <f t="shared" si="33"/>
        <v/>
      </c>
    </row>
    <row r="495" ht="15.75" customHeight="1">
      <c r="A495" s="76" t="str">
        <f>IF('Manual Entry'!A467="","",'Manual Entry'!A467)</f>
        <v/>
      </c>
      <c r="B495" s="76" t="str">
        <f t="shared" si="3"/>
        <v/>
      </c>
      <c r="C495" s="76" t="str">
        <f t="shared" si="4"/>
        <v/>
      </c>
      <c r="D495" s="76" t="str">
        <f>'Manual Entry'!D467</f>
        <v/>
      </c>
      <c r="E495" s="76" t="str">
        <f>'Manual Entry'!B467</f>
        <v/>
      </c>
      <c r="F495" s="76" t="str">
        <f>'Manual Entry'!F467</f>
        <v/>
      </c>
      <c r="G495" s="76" t="str">
        <f>'Manual Entry'!G467</f>
        <v/>
      </c>
      <c r="H495" s="76" t="str">
        <f>'Manual Entry'!H467</f>
        <v/>
      </c>
      <c r="I495" s="78" t="str">
        <f>'Manual Entry'!I467</f>
        <v/>
      </c>
      <c r="J495" s="78" t="str">
        <f>'Manual Entry'!J467</f>
        <v/>
      </c>
      <c r="K495" s="78" t="str">
        <f>'Manual Entry'!K467</f>
        <v/>
      </c>
      <c r="L495" s="78" t="str">
        <f>'Manual Entry'!L467</f>
        <v/>
      </c>
      <c r="M495" s="78" t="str">
        <f>'Manual Entry'!M467</f>
        <v/>
      </c>
      <c r="N495" s="78" t="str">
        <f>'Manual Entry'!N467</f>
        <v/>
      </c>
      <c r="O495" s="76">
        <f t="shared" si="6"/>
        <v>0</v>
      </c>
      <c r="P495" s="76">
        <f t="shared" si="7"/>
        <v>0</v>
      </c>
      <c r="Q495" s="76">
        <f t="shared" si="8"/>
        <v>0</v>
      </c>
      <c r="R495" s="76">
        <f t="shared" si="9"/>
        <v>0</v>
      </c>
      <c r="S495" s="76" t="str">
        <f t="shared" si="10"/>
        <v/>
      </c>
      <c r="T495" s="76" t="str">
        <f t="shared" si="11"/>
        <v/>
      </c>
      <c r="U495" s="76" t="str">
        <f t="shared" si="12"/>
        <v/>
      </c>
      <c r="V495" s="76" t="str">
        <f t="shared" si="13"/>
        <v/>
      </c>
      <c r="W495" s="76" t="str">
        <f t="shared" si="14"/>
        <v/>
      </c>
      <c r="X495" s="76" t="str">
        <f t="shared" si="15"/>
        <v/>
      </c>
      <c r="Y495" s="76" t="str">
        <f t="shared" si="16"/>
        <v/>
      </c>
      <c r="Z495" s="76" t="str">
        <f t="shared" si="17"/>
        <v/>
      </c>
      <c r="AA495" s="76" t="str">
        <f t="shared" si="18"/>
        <v/>
      </c>
      <c r="AB495" s="76" t="str">
        <f t="shared" si="19"/>
        <v/>
      </c>
      <c r="AC495" s="76" t="str">
        <f t="shared" si="20"/>
        <v/>
      </c>
      <c r="AD495" s="76" t="str">
        <f t="shared" si="21"/>
        <v/>
      </c>
      <c r="AE495" s="76" t="str">
        <f t="shared" si="22"/>
        <v/>
      </c>
      <c r="AF495" s="76" t="str">
        <f t="shared" si="23"/>
        <v/>
      </c>
      <c r="AG495" s="76" t="str">
        <f t="shared" si="24"/>
        <v/>
      </c>
      <c r="AH495" s="76" t="str">
        <f t="shared" si="25"/>
        <v/>
      </c>
      <c r="AI495" s="76" t="str">
        <f t="shared" si="26"/>
        <v/>
      </c>
      <c r="AJ495" s="76" t="str">
        <f t="shared" si="27"/>
        <v/>
      </c>
      <c r="AK495" s="76" t="str">
        <f t="shared" si="28"/>
        <v/>
      </c>
      <c r="AL495" s="76" t="str">
        <f t="shared" si="29"/>
        <v/>
      </c>
      <c r="AM495" s="76" t="str">
        <f t="shared" si="30"/>
        <v/>
      </c>
      <c r="AN495" s="76" t="str">
        <f t="shared" si="31"/>
        <v/>
      </c>
      <c r="AO495" s="76" t="str">
        <f t="shared" si="32"/>
        <v/>
      </c>
      <c r="AP495" s="76" t="str">
        <f t="shared" si="33"/>
        <v/>
      </c>
    </row>
    <row r="496" ht="15.75" customHeight="1">
      <c r="A496" s="76" t="str">
        <f>IF('Manual Entry'!A468="","",'Manual Entry'!A468)</f>
        <v/>
      </c>
      <c r="B496" s="76" t="str">
        <f t="shared" si="3"/>
        <v/>
      </c>
      <c r="C496" s="76" t="str">
        <f t="shared" si="4"/>
        <v/>
      </c>
      <c r="D496" s="76" t="str">
        <f>'Manual Entry'!D468</f>
        <v/>
      </c>
      <c r="E496" s="76" t="str">
        <f>'Manual Entry'!B468</f>
        <v/>
      </c>
      <c r="F496" s="76" t="str">
        <f>'Manual Entry'!F468</f>
        <v/>
      </c>
      <c r="G496" s="76" t="str">
        <f>'Manual Entry'!G468</f>
        <v/>
      </c>
      <c r="H496" s="76" t="str">
        <f>'Manual Entry'!H468</f>
        <v/>
      </c>
      <c r="I496" s="78" t="str">
        <f>'Manual Entry'!I468</f>
        <v/>
      </c>
      <c r="J496" s="78" t="str">
        <f>'Manual Entry'!J468</f>
        <v/>
      </c>
      <c r="K496" s="78" t="str">
        <f>'Manual Entry'!K468</f>
        <v/>
      </c>
      <c r="L496" s="78" t="str">
        <f>'Manual Entry'!L468</f>
        <v/>
      </c>
      <c r="M496" s="78" t="str">
        <f>'Manual Entry'!M468</f>
        <v/>
      </c>
      <c r="N496" s="78" t="str">
        <f>'Manual Entry'!N468</f>
        <v/>
      </c>
      <c r="O496" s="76">
        <f t="shared" si="6"/>
        <v>0</v>
      </c>
      <c r="P496" s="76">
        <f t="shared" si="7"/>
        <v>0</v>
      </c>
      <c r="Q496" s="76">
        <f t="shared" si="8"/>
        <v>0</v>
      </c>
      <c r="R496" s="76">
        <f t="shared" si="9"/>
        <v>0</v>
      </c>
      <c r="S496" s="76" t="str">
        <f t="shared" si="10"/>
        <v/>
      </c>
      <c r="T496" s="76" t="str">
        <f t="shared" si="11"/>
        <v/>
      </c>
      <c r="U496" s="76" t="str">
        <f t="shared" si="12"/>
        <v/>
      </c>
      <c r="V496" s="76" t="str">
        <f t="shared" si="13"/>
        <v/>
      </c>
      <c r="W496" s="76" t="str">
        <f t="shared" si="14"/>
        <v/>
      </c>
      <c r="X496" s="76" t="str">
        <f t="shared" si="15"/>
        <v/>
      </c>
      <c r="Y496" s="76" t="str">
        <f t="shared" si="16"/>
        <v/>
      </c>
      <c r="Z496" s="76" t="str">
        <f t="shared" si="17"/>
        <v/>
      </c>
      <c r="AA496" s="76" t="str">
        <f t="shared" si="18"/>
        <v/>
      </c>
      <c r="AB496" s="76" t="str">
        <f t="shared" si="19"/>
        <v/>
      </c>
      <c r="AC496" s="76" t="str">
        <f t="shared" si="20"/>
        <v/>
      </c>
      <c r="AD496" s="76" t="str">
        <f t="shared" si="21"/>
        <v/>
      </c>
      <c r="AE496" s="76" t="str">
        <f t="shared" si="22"/>
        <v/>
      </c>
      <c r="AF496" s="76" t="str">
        <f t="shared" si="23"/>
        <v/>
      </c>
      <c r="AG496" s="76" t="str">
        <f t="shared" si="24"/>
        <v/>
      </c>
      <c r="AH496" s="76" t="str">
        <f t="shared" si="25"/>
        <v/>
      </c>
      <c r="AI496" s="76" t="str">
        <f t="shared" si="26"/>
        <v/>
      </c>
      <c r="AJ496" s="76" t="str">
        <f t="shared" si="27"/>
        <v/>
      </c>
      <c r="AK496" s="76" t="str">
        <f t="shared" si="28"/>
        <v/>
      </c>
      <c r="AL496" s="76" t="str">
        <f t="shared" si="29"/>
        <v/>
      </c>
      <c r="AM496" s="76" t="str">
        <f t="shared" si="30"/>
        <v/>
      </c>
      <c r="AN496" s="76" t="str">
        <f t="shared" si="31"/>
        <v/>
      </c>
      <c r="AO496" s="76" t="str">
        <f t="shared" si="32"/>
        <v/>
      </c>
      <c r="AP496" s="76" t="str">
        <f t="shared" si="33"/>
        <v/>
      </c>
    </row>
    <row r="497" ht="15.75" customHeight="1">
      <c r="A497" s="76" t="str">
        <f>IF('Manual Entry'!A469="","",'Manual Entry'!A469)</f>
        <v/>
      </c>
      <c r="B497" s="76" t="str">
        <f t="shared" si="3"/>
        <v/>
      </c>
      <c r="C497" s="76" t="str">
        <f t="shared" si="4"/>
        <v/>
      </c>
      <c r="D497" s="76" t="str">
        <f>'Manual Entry'!D469</f>
        <v/>
      </c>
      <c r="E497" s="76" t="str">
        <f>'Manual Entry'!B469</f>
        <v/>
      </c>
      <c r="F497" s="76" t="str">
        <f>'Manual Entry'!F469</f>
        <v/>
      </c>
      <c r="G497" s="76" t="str">
        <f>'Manual Entry'!G469</f>
        <v/>
      </c>
      <c r="H497" s="76" t="str">
        <f>'Manual Entry'!H469</f>
        <v/>
      </c>
      <c r="I497" s="78" t="str">
        <f>'Manual Entry'!I469</f>
        <v/>
      </c>
      <c r="J497" s="78" t="str">
        <f>'Manual Entry'!J469</f>
        <v/>
      </c>
      <c r="K497" s="78" t="str">
        <f>'Manual Entry'!K469</f>
        <v/>
      </c>
      <c r="L497" s="78" t="str">
        <f>'Manual Entry'!L469</f>
        <v/>
      </c>
      <c r="M497" s="78" t="str">
        <f>'Manual Entry'!M469</f>
        <v/>
      </c>
      <c r="N497" s="78" t="str">
        <f>'Manual Entry'!N469</f>
        <v/>
      </c>
      <c r="O497" s="76">
        <f t="shared" si="6"/>
        <v>0</v>
      </c>
      <c r="P497" s="76">
        <f t="shared" si="7"/>
        <v>0</v>
      </c>
      <c r="Q497" s="76">
        <f t="shared" si="8"/>
        <v>0</v>
      </c>
      <c r="R497" s="76">
        <f t="shared" si="9"/>
        <v>0</v>
      </c>
      <c r="S497" s="76" t="str">
        <f t="shared" si="10"/>
        <v/>
      </c>
      <c r="T497" s="76" t="str">
        <f t="shared" si="11"/>
        <v/>
      </c>
      <c r="U497" s="76" t="str">
        <f t="shared" si="12"/>
        <v/>
      </c>
      <c r="V497" s="76" t="str">
        <f t="shared" si="13"/>
        <v/>
      </c>
      <c r="W497" s="76" t="str">
        <f t="shared" si="14"/>
        <v/>
      </c>
      <c r="X497" s="76" t="str">
        <f t="shared" si="15"/>
        <v/>
      </c>
      <c r="Y497" s="76" t="str">
        <f t="shared" si="16"/>
        <v/>
      </c>
      <c r="Z497" s="76" t="str">
        <f t="shared" si="17"/>
        <v/>
      </c>
      <c r="AA497" s="76" t="str">
        <f t="shared" si="18"/>
        <v/>
      </c>
      <c r="AB497" s="76" t="str">
        <f t="shared" si="19"/>
        <v/>
      </c>
      <c r="AC497" s="76" t="str">
        <f t="shared" si="20"/>
        <v/>
      </c>
      <c r="AD497" s="76" t="str">
        <f t="shared" si="21"/>
        <v/>
      </c>
      <c r="AE497" s="76" t="str">
        <f t="shared" si="22"/>
        <v/>
      </c>
      <c r="AF497" s="76" t="str">
        <f t="shared" si="23"/>
        <v/>
      </c>
      <c r="AG497" s="76" t="str">
        <f t="shared" si="24"/>
        <v/>
      </c>
      <c r="AH497" s="76" t="str">
        <f t="shared" si="25"/>
        <v/>
      </c>
      <c r="AI497" s="76" t="str">
        <f t="shared" si="26"/>
        <v/>
      </c>
      <c r="AJ497" s="76" t="str">
        <f t="shared" si="27"/>
        <v/>
      </c>
      <c r="AK497" s="76" t="str">
        <f t="shared" si="28"/>
        <v/>
      </c>
      <c r="AL497" s="76" t="str">
        <f t="shared" si="29"/>
        <v/>
      </c>
      <c r="AM497" s="76" t="str">
        <f t="shared" si="30"/>
        <v/>
      </c>
      <c r="AN497" s="76" t="str">
        <f t="shared" si="31"/>
        <v/>
      </c>
      <c r="AO497" s="76" t="str">
        <f t="shared" si="32"/>
        <v/>
      </c>
      <c r="AP497" s="76" t="str">
        <f t="shared" si="33"/>
        <v/>
      </c>
    </row>
    <row r="498" ht="15.75" customHeight="1">
      <c r="A498" s="76" t="str">
        <f>IF('Manual Entry'!A470="","",'Manual Entry'!A470)</f>
        <v/>
      </c>
      <c r="B498" s="76" t="str">
        <f t="shared" si="3"/>
        <v/>
      </c>
      <c r="C498" s="76" t="str">
        <f t="shared" si="4"/>
        <v/>
      </c>
      <c r="D498" s="76" t="str">
        <f>'Manual Entry'!D470</f>
        <v/>
      </c>
      <c r="E498" s="76" t="str">
        <f>'Manual Entry'!B470</f>
        <v/>
      </c>
      <c r="F498" s="76" t="str">
        <f>'Manual Entry'!F470</f>
        <v/>
      </c>
      <c r="G498" s="76" t="str">
        <f>'Manual Entry'!G470</f>
        <v/>
      </c>
      <c r="H498" s="76" t="str">
        <f>'Manual Entry'!H470</f>
        <v/>
      </c>
      <c r="I498" s="78" t="str">
        <f>'Manual Entry'!I470</f>
        <v/>
      </c>
      <c r="J498" s="78" t="str">
        <f>'Manual Entry'!J470</f>
        <v/>
      </c>
      <c r="K498" s="78" t="str">
        <f>'Manual Entry'!K470</f>
        <v/>
      </c>
      <c r="L498" s="78" t="str">
        <f>'Manual Entry'!L470</f>
        <v/>
      </c>
      <c r="M498" s="78" t="str">
        <f>'Manual Entry'!M470</f>
        <v/>
      </c>
      <c r="N498" s="78" t="str">
        <f>'Manual Entry'!N470</f>
        <v/>
      </c>
      <c r="O498" s="76">
        <f t="shared" si="6"/>
        <v>0</v>
      </c>
      <c r="P498" s="76">
        <f t="shared" si="7"/>
        <v>0</v>
      </c>
      <c r="Q498" s="76">
        <f t="shared" si="8"/>
        <v>0</v>
      </c>
      <c r="R498" s="76">
        <f t="shared" si="9"/>
        <v>0</v>
      </c>
      <c r="S498" s="76" t="str">
        <f t="shared" si="10"/>
        <v/>
      </c>
      <c r="T498" s="76" t="str">
        <f t="shared" si="11"/>
        <v/>
      </c>
      <c r="U498" s="76" t="str">
        <f t="shared" si="12"/>
        <v/>
      </c>
      <c r="V498" s="76" t="str">
        <f t="shared" si="13"/>
        <v/>
      </c>
      <c r="W498" s="76" t="str">
        <f t="shared" si="14"/>
        <v/>
      </c>
      <c r="X498" s="76" t="str">
        <f t="shared" si="15"/>
        <v/>
      </c>
      <c r="Y498" s="76" t="str">
        <f t="shared" si="16"/>
        <v/>
      </c>
      <c r="Z498" s="76" t="str">
        <f t="shared" si="17"/>
        <v/>
      </c>
      <c r="AA498" s="76" t="str">
        <f t="shared" si="18"/>
        <v/>
      </c>
      <c r="AB498" s="76" t="str">
        <f t="shared" si="19"/>
        <v/>
      </c>
      <c r="AC498" s="76" t="str">
        <f t="shared" si="20"/>
        <v/>
      </c>
      <c r="AD498" s="76" t="str">
        <f t="shared" si="21"/>
        <v/>
      </c>
      <c r="AE498" s="76" t="str">
        <f t="shared" si="22"/>
        <v/>
      </c>
      <c r="AF498" s="76" t="str">
        <f t="shared" si="23"/>
        <v/>
      </c>
      <c r="AG498" s="76" t="str">
        <f t="shared" si="24"/>
        <v/>
      </c>
      <c r="AH498" s="76" t="str">
        <f t="shared" si="25"/>
        <v/>
      </c>
      <c r="AI498" s="76" t="str">
        <f t="shared" si="26"/>
        <v/>
      </c>
      <c r="AJ498" s="76" t="str">
        <f t="shared" si="27"/>
        <v/>
      </c>
      <c r="AK498" s="76" t="str">
        <f t="shared" si="28"/>
        <v/>
      </c>
      <c r="AL498" s="76" t="str">
        <f t="shared" si="29"/>
        <v/>
      </c>
      <c r="AM498" s="76" t="str">
        <f t="shared" si="30"/>
        <v/>
      </c>
      <c r="AN498" s="76" t="str">
        <f t="shared" si="31"/>
        <v/>
      </c>
      <c r="AO498" s="76" t="str">
        <f t="shared" si="32"/>
        <v/>
      </c>
      <c r="AP498" s="76" t="str">
        <f t="shared" si="33"/>
        <v/>
      </c>
    </row>
    <row r="499" ht="15.75" customHeight="1">
      <c r="A499" s="76" t="str">
        <f>IF('Manual Entry'!A471="","",'Manual Entry'!A471)</f>
        <v/>
      </c>
      <c r="B499" s="76" t="str">
        <f t="shared" si="3"/>
        <v/>
      </c>
      <c r="C499" s="76" t="str">
        <f t="shared" si="4"/>
        <v/>
      </c>
      <c r="D499" s="76" t="str">
        <f>'Manual Entry'!D471</f>
        <v/>
      </c>
      <c r="E499" s="76" t="str">
        <f>'Manual Entry'!B471</f>
        <v/>
      </c>
      <c r="F499" s="76" t="str">
        <f>'Manual Entry'!F471</f>
        <v/>
      </c>
      <c r="G499" s="76" t="str">
        <f>'Manual Entry'!G471</f>
        <v/>
      </c>
      <c r="H499" s="76" t="str">
        <f>'Manual Entry'!H471</f>
        <v/>
      </c>
      <c r="I499" s="78" t="str">
        <f>'Manual Entry'!I471</f>
        <v/>
      </c>
      <c r="J499" s="78" t="str">
        <f>'Manual Entry'!J471</f>
        <v/>
      </c>
      <c r="K499" s="78" t="str">
        <f>'Manual Entry'!K471</f>
        <v/>
      </c>
      <c r="L499" s="78" t="str">
        <f>'Manual Entry'!L471</f>
        <v/>
      </c>
      <c r="M499" s="78" t="str">
        <f>'Manual Entry'!M471</f>
        <v/>
      </c>
      <c r="N499" s="78" t="str">
        <f>'Manual Entry'!N471</f>
        <v/>
      </c>
      <c r="O499" s="76">
        <f t="shared" si="6"/>
        <v>0</v>
      </c>
      <c r="P499" s="76">
        <f t="shared" si="7"/>
        <v>0</v>
      </c>
      <c r="Q499" s="76">
        <f t="shared" si="8"/>
        <v>0</v>
      </c>
      <c r="R499" s="76">
        <f t="shared" si="9"/>
        <v>0</v>
      </c>
      <c r="S499" s="76" t="str">
        <f t="shared" si="10"/>
        <v/>
      </c>
      <c r="T499" s="76" t="str">
        <f t="shared" si="11"/>
        <v/>
      </c>
      <c r="U499" s="76" t="str">
        <f t="shared" si="12"/>
        <v/>
      </c>
      <c r="V499" s="76" t="str">
        <f t="shared" si="13"/>
        <v/>
      </c>
      <c r="W499" s="76" t="str">
        <f t="shared" si="14"/>
        <v/>
      </c>
      <c r="X499" s="76" t="str">
        <f t="shared" si="15"/>
        <v/>
      </c>
      <c r="Y499" s="76" t="str">
        <f t="shared" si="16"/>
        <v/>
      </c>
      <c r="Z499" s="76" t="str">
        <f t="shared" si="17"/>
        <v/>
      </c>
      <c r="AA499" s="76" t="str">
        <f t="shared" si="18"/>
        <v/>
      </c>
      <c r="AB499" s="76" t="str">
        <f t="shared" si="19"/>
        <v/>
      </c>
      <c r="AC499" s="76" t="str">
        <f t="shared" si="20"/>
        <v/>
      </c>
      <c r="AD499" s="76" t="str">
        <f t="shared" si="21"/>
        <v/>
      </c>
      <c r="AE499" s="76" t="str">
        <f t="shared" si="22"/>
        <v/>
      </c>
      <c r="AF499" s="76" t="str">
        <f t="shared" si="23"/>
        <v/>
      </c>
      <c r="AG499" s="76" t="str">
        <f t="shared" si="24"/>
        <v/>
      </c>
      <c r="AH499" s="76" t="str">
        <f t="shared" si="25"/>
        <v/>
      </c>
      <c r="AI499" s="76" t="str">
        <f t="shared" si="26"/>
        <v/>
      </c>
      <c r="AJ499" s="76" t="str">
        <f t="shared" si="27"/>
        <v/>
      </c>
      <c r="AK499" s="76" t="str">
        <f t="shared" si="28"/>
        <v/>
      </c>
      <c r="AL499" s="76" t="str">
        <f t="shared" si="29"/>
        <v/>
      </c>
      <c r="AM499" s="76" t="str">
        <f t="shared" si="30"/>
        <v/>
      </c>
      <c r="AN499" s="76" t="str">
        <f t="shared" si="31"/>
        <v/>
      </c>
      <c r="AO499" s="76" t="str">
        <f t="shared" si="32"/>
        <v/>
      </c>
      <c r="AP499" s="76" t="str">
        <f t="shared" si="33"/>
        <v/>
      </c>
    </row>
    <row r="500" ht="15.75" customHeight="1">
      <c r="A500" s="76" t="str">
        <f>IF('Manual Entry'!A472="","",'Manual Entry'!A472)</f>
        <v/>
      </c>
      <c r="B500" s="76" t="str">
        <f t="shared" si="3"/>
        <v/>
      </c>
      <c r="C500" s="76" t="str">
        <f t="shared" si="4"/>
        <v/>
      </c>
      <c r="D500" s="76" t="str">
        <f>'Manual Entry'!D472</f>
        <v/>
      </c>
      <c r="E500" s="76" t="str">
        <f>'Manual Entry'!B472</f>
        <v/>
      </c>
      <c r="F500" s="76" t="str">
        <f>'Manual Entry'!F472</f>
        <v/>
      </c>
      <c r="G500" s="76" t="str">
        <f>'Manual Entry'!G472</f>
        <v/>
      </c>
      <c r="H500" s="76" t="str">
        <f>'Manual Entry'!H472</f>
        <v/>
      </c>
      <c r="I500" s="78" t="str">
        <f>'Manual Entry'!I472</f>
        <v/>
      </c>
      <c r="J500" s="78" t="str">
        <f>'Manual Entry'!J472</f>
        <v/>
      </c>
      <c r="K500" s="78" t="str">
        <f>'Manual Entry'!K472</f>
        <v/>
      </c>
      <c r="L500" s="78" t="str">
        <f>'Manual Entry'!L472</f>
        <v/>
      </c>
      <c r="M500" s="78" t="str">
        <f>'Manual Entry'!M472</f>
        <v/>
      </c>
      <c r="N500" s="78" t="str">
        <f>'Manual Entry'!N472</f>
        <v/>
      </c>
      <c r="O500" s="76">
        <f t="shared" si="6"/>
        <v>0</v>
      </c>
      <c r="P500" s="76">
        <f t="shared" si="7"/>
        <v>0</v>
      </c>
      <c r="Q500" s="76">
        <f t="shared" si="8"/>
        <v>0</v>
      </c>
      <c r="R500" s="76">
        <f t="shared" si="9"/>
        <v>0</v>
      </c>
      <c r="S500" s="76" t="str">
        <f t="shared" si="10"/>
        <v/>
      </c>
      <c r="T500" s="76" t="str">
        <f t="shared" si="11"/>
        <v/>
      </c>
      <c r="U500" s="76" t="str">
        <f t="shared" si="12"/>
        <v/>
      </c>
      <c r="V500" s="76" t="str">
        <f t="shared" si="13"/>
        <v/>
      </c>
      <c r="W500" s="76" t="str">
        <f t="shared" si="14"/>
        <v/>
      </c>
      <c r="X500" s="76" t="str">
        <f t="shared" si="15"/>
        <v/>
      </c>
      <c r="Y500" s="76" t="str">
        <f t="shared" si="16"/>
        <v/>
      </c>
      <c r="Z500" s="76" t="str">
        <f t="shared" si="17"/>
        <v/>
      </c>
      <c r="AA500" s="76" t="str">
        <f t="shared" si="18"/>
        <v/>
      </c>
      <c r="AB500" s="76" t="str">
        <f t="shared" si="19"/>
        <v/>
      </c>
      <c r="AC500" s="76" t="str">
        <f t="shared" si="20"/>
        <v/>
      </c>
      <c r="AD500" s="76" t="str">
        <f t="shared" si="21"/>
        <v/>
      </c>
      <c r="AE500" s="76" t="str">
        <f t="shared" si="22"/>
        <v/>
      </c>
      <c r="AF500" s="76" t="str">
        <f t="shared" si="23"/>
        <v/>
      </c>
      <c r="AG500" s="76" t="str">
        <f t="shared" si="24"/>
        <v/>
      </c>
      <c r="AH500" s="76" t="str">
        <f t="shared" si="25"/>
        <v/>
      </c>
      <c r="AI500" s="76" t="str">
        <f t="shared" si="26"/>
        <v/>
      </c>
      <c r="AJ500" s="76" t="str">
        <f t="shared" si="27"/>
        <v/>
      </c>
      <c r="AK500" s="76" t="str">
        <f t="shared" si="28"/>
        <v/>
      </c>
      <c r="AL500" s="76" t="str">
        <f t="shared" si="29"/>
        <v/>
      </c>
      <c r="AM500" s="76" t="str">
        <f t="shared" si="30"/>
        <v/>
      </c>
      <c r="AN500" s="76" t="str">
        <f t="shared" si="31"/>
        <v/>
      </c>
      <c r="AO500" s="76" t="str">
        <f t="shared" si="32"/>
        <v/>
      </c>
      <c r="AP500" s="76" t="str">
        <f t="shared" si="33"/>
        <v/>
      </c>
    </row>
    <row r="501" ht="15.75" customHeight="1">
      <c r="A501" s="76" t="str">
        <f>IF('Manual Entry'!A473="","",'Manual Entry'!A473)</f>
        <v/>
      </c>
      <c r="B501" s="76" t="str">
        <f t="shared" si="3"/>
        <v/>
      </c>
      <c r="C501" s="76" t="str">
        <f t="shared" si="4"/>
        <v/>
      </c>
      <c r="D501" s="76" t="str">
        <f>'Manual Entry'!D473</f>
        <v/>
      </c>
      <c r="E501" s="76" t="str">
        <f>'Manual Entry'!B473</f>
        <v/>
      </c>
      <c r="F501" s="76" t="str">
        <f>'Manual Entry'!F473</f>
        <v/>
      </c>
      <c r="G501" s="76" t="str">
        <f>'Manual Entry'!G473</f>
        <v/>
      </c>
      <c r="H501" s="76" t="str">
        <f>'Manual Entry'!H473</f>
        <v/>
      </c>
      <c r="I501" s="78" t="str">
        <f>'Manual Entry'!I473</f>
        <v/>
      </c>
      <c r="J501" s="78" t="str">
        <f>'Manual Entry'!J473</f>
        <v/>
      </c>
      <c r="K501" s="78" t="str">
        <f>'Manual Entry'!K473</f>
        <v/>
      </c>
      <c r="L501" s="78" t="str">
        <f>'Manual Entry'!L473</f>
        <v/>
      </c>
      <c r="M501" s="78" t="str">
        <f>'Manual Entry'!M473</f>
        <v/>
      </c>
      <c r="N501" s="78" t="str">
        <f>'Manual Entry'!N473</f>
        <v/>
      </c>
      <c r="O501" s="76">
        <f t="shared" si="6"/>
        <v>0</v>
      </c>
      <c r="P501" s="76">
        <f t="shared" si="7"/>
        <v>0</v>
      </c>
      <c r="Q501" s="76">
        <f t="shared" si="8"/>
        <v>0</v>
      </c>
      <c r="R501" s="76">
        <f t="shared" si="9"/>
        <v>0</v>
      </c>
      <c r="S501" s="76" t="str">
        <f t="shared" si="10"/>
        <v/>
      </c>
      <c r="T501" s="76" t="str">
        <f t="shared" si="11"/>
        <v/>
      </c>
      <c r="U501" s="76" t="str">
        <f t="shared" si="12"/>
        <v/>
      </c>
      <c r="V501" s="76" t="str">
        <f t="shared" si="13"/>
        <v/>
      </c>
      <c r="W501" s="76" t="str">
        <f t="shared" si="14"/>
        <v/>
      </c>
      <c r="X501" s="76" t="str">
        <f t="shared" si="15"/>
        <v/>
      </c>
      <c r="Y501" s="76" t="str">
        <f t="shared" si="16"/>
        <v/>
      </c>
      <c r="Z501" s="76" t="str">
        <f t="shared" si="17"/>
        <v/>
      </c>
      <c r="AA501" s="76" t="str">
        <f t="shared" si="18"/>
        <v/>
      </c>
      <c r="AB501" s="76" t="str">
        <f t="shared" si="19"/>
        <v/>
      </c>
      <c r="AC501" s="76" t="str">
        <f t="shared" si="20"/>
        <v/>
      </c>
      <c r="AD501" s="76" t="str">
        <f t="shared" si="21"/>
        <v/>
      </c>
      <c r="AE501" s="76" t="str">
        <f t="shared" si="22"/>
        <v/>
      </c>
      <c r="AF501" s="76" t="str">
        <f t="shared" si="23"/>
        <v/>
      </c>
      <c r="AG501" s="76" t="str">
        <f t="shared" si="24"/>
        <v/>
      </c>
      <c r="AH501" s="76" t="str">
        <f t="shared" si="25"/>
        <v/>
      </c>
      <c r="AI501" s="76" t="str">
        <f t="shared" si="26"/>
        <v/>
      </c>
      <c r="AJ501" s="76" t="str">
        <f t="shared" si="27"/>
        <v/>
      </c>
      <c r="AK501" s="76" t="str">
        <f t="shared" si="28"/>
        <v/>
      </c>
      <c r="AL501" s="76" t="str">
        <f t="shared" si="29"/>
        <v/>
      </c>
      <c r="AM501" s="76" t="str">
        <f t="shared" si="30"/>
        <v/>
      </c>
      <c r="AN501" s="76" t="str">
        <f t="shared" si="31"/>
        <v/>
      </c>
      <c r="AO501" s="76" t="str">
        <f t="shared" si="32"/>
        <v/>
      </c>
      <c r="AP501" s="76" t="str">
        <f t="shared" si="33"/>
        <v/>
      </c>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